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ather\Work\2025_05\графики\"/>
    </mc:Choice>
  </mc:AlternateContent>
  <xr:revisionPtr revIDLastSave="0" documentId="13_ncr:1_{6C755EEF-E1BB-405E-B29F-AE7EE9D12D39}" xr6:coauthVersionLast="47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Лист1!$A$2:$N$5630</definedName>
    <definedName name="_xlnm.Print_Area" localSheetId="0">Лист1!$A$1:$J$5690</definedName>
  </definedNames>
  <calcPr calcId="191029" refMode="R1C1"/>
</workbook>
</file>

<file path=xl/calcChain.xml><?xml version="1.0" encoding="utf-8"?>
<calcChain xmlns="http://schemas.openxmlformats.org/spreadsheetml/2006/main"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/>
  <c r="A6516" i="1" l="1"/>
  <c r="A6517" i="1" l="1"/>
  <c r="A6518" i="1" l="1"/>
  <c r="A6519" i="1" l="1"/>
  <c r="A6520" i="1"/>
  <c r="A6521" i="1" l="1"/>
  <c r="A6522" i="1" s="1"/>
  <c r="A6523" i="1" s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l="1"/>
  <c r="A6549" i="1" s="1"/>
</calcChain>
</file>

<file path=xl/sharedStrings.xml><?xml version="1.0" encoding="utf-8"?>
<sst xmlns="http://schemas.openxmlformats.org/spreadsheetml/2006/main" count="41072" uniqueCount="1450">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</sst>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43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</fonts>
  <fills count="4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7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</borders>
  <cellStyleXfs count="143">
    <xf numFmtId="0" fontId="0" fillId="0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3" borderId="0"/>
    <xf numFmtId="0" fontId="2" fillId="3" borderId="0"/>
    <xf numFmtId="0" fontId="2" fillId="2" borderId="0"/>
    <xf numFmtId="0" fontId="2" fillId="2" borderId="0"/>
    <xf numFmtId="0" fontId="2" fillId="4" borderId="0"/>
    <xf numFmtId="0" fontId="2" fillId="4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2" fillId="2" borderId="0"/>
    <xf numFmtId="0" fontId="3" fillId="2" borderId="1"/>
    <xf numFmtId="0" fontId="3" fillId="2" borderId="1"/>
    <xf numFmtId="0" fontId="4" fillId="2" borderId="2"/>
    <xf numFmtId="0" fontId="4" fillId="2" borderId="2"/>
    <xf numFmtId="0" fontId="5" fillId="2" borderId="1"/>
    <xf numFmtId="0" fontId="5" fillId="2" borderId="1"/>
    <xf numFmtId="0" fontId="6" fillId="0" borderId="3"/>
    <xf numFmtId="0" fontId="6" fillId="0" borderId="3"/>
    <xf numFmtId="0" fontId="7" fillId="0" borderId="4"/>
    <xf numFmtId="0" fontId="7" fillId="0" borderId="4"/>
    <xf numFmtId="0" fontId="8" fillId="0" borderId="5"/>
    <xf numFmtId="0" fontId="8" fillId="0" borderId="5"/>
    <xf numFmtId="0" fontId="8" fillId="0" borderId="0"/>
    <xf numFmtId="0" fontId="8" fillId="0" borderId="0"/>
    <xf numFmtId="0" fontId="5" fillId="0" borderId="6"/>
    <xf numFmtId="0" fontId="5" fillId="0" borderId="6"/>
    <xf numFmtId="0" fontId="5" fillId="2" borderId="7"/>
    <xf numFmtId="0" fontId="5" fillId="2" borderId="7"/>
    <xf numFmtId="0" fontId="9" fillId="0" borderId="0"/>
    <xf numFmtId="0" fontId="9" fillId="0" borderId="0"/>
    <xf numFmtId="0" fontId="10" fillId="2" borderId="0"/>
    <xf numFmtId="0" fontId="10" fillId="2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0" fontId="11" fillId="0" borderId="0"/>
    <xf numFmtId="0" fontId="2" fillId="2" borderId="0"/>
    <xf numFmtId="0" fontId="2" fillId="2" borderId="0"/>
    <xf numFmtId="0" fontId="13" fillId="0" borderId="0"/>
    <xf numFmtId="0" fontId="13" fillId="0" borderId="0"/>
    <xf numFmtId="0" fontId="11" fillId="2" borderId="1"/>
    <xf numFmtId="0" fontId="11" fillId="2" borderId="1"/>
    <xf numFmtId="0" fontId="11" fillId="2" borderId="1"/>
    <xf numFmtId="0" fontId="11" fillId="2" borderId="1"/>
    <xf numFmtId="0" fontId="2" fillId="0" borderId="8"/>
    <xf numFmtId="0" fontId="2" fillId="0" borderId="8"/>
    <xf numFmtId="0" fontId="2" fillId="0" borderId="0"/>
    <xf numFmtId="0" fontId="2" fillId="0" borderId="0"/>
    <xf numFmtId="0" fontId="2" fillId="2" borderId="0"/>
    <xf numFmtId="0" fontId="2" fillId="2" borderId="0"/>
    <xf numFmtId="0" fontId="22" fillId="21" borderId="0"/>
    <xf numFmtId="0" fontId="22" fillId="22" borderId="0"/>
    <xf numFmtId="0" fontId="22" fillId="23" borderId="0"/>
    <xf numFmtId="0" fontId="22" fillId="24" borderId="0"/>
    <xf numFmtId="0" fontId="22" fillId="20" borderId="0"/>
    <xf numFmtId="0" fontId="22" fillId="18" borderId="0"/>
    <xf numFmtId="0" fontId="22" fillId="28" borderId="0"/>
    <xf numFmtId="0" fontId="22" fillId="26" borderId="0"/>
    <xf numFmtId="0" fontId="22" fillId="29" borderId="0"/>
    <xf numFmtId="0" fontId="22" fillId="24" borderId="0"/>
    <xf numFmtId="0" fontId="22" fillId="28" borderId="0"/>
    <xf numFmtId="0" fontId="22" fillId="30" borderId="0"/>
    <xf numFmtId="0" fontId="23" fillId="32" borderId="0"/>
    <xf numFmtId="0" fontId="23" fillId="26" borderId="0"/>
    <xf numFmtId="0" fontId="23" fillId="29" borderId="0"/>
    <xf numFmtId="0" fontId="23" fillId="33" borderId="0"/>
    <xf numFmtId="0" fontId="23" fillId="31" borderId="0"/>
    <xf numFmtId="0" fontId="23" fillId="34" borderId="0"/>
    <xf numFmtId="0" fontId="23" fillId="39" borderId="0"/>
    <xf numFmtId="0" fontId="23" fillId="35" borderId="0"/>
    <xf numFmtId="0" fontId="23" fillId="36" borderId="0"/>
    <xf numFmtId="0" fontId="23" fillId="33" borderId="0"/>
    <xf numFmtId="0" fontId="23" fillId="31" borderId="0"/>
    <xf numFmtId="0" fontId="23" fillId="37" borderId="0"/>
    <xf numFmtId="0" fontId="24" fillId="18" borderId="58"/>
    <xf numFmtId="0" fontId="25" fillId="25" borderId="63"/>
    <xf numFmtId="0" fontId="26" fillId="25" borderId="58"/>
    <xf numFmtId="0" fontId="27" fillId="0" borderId="64"/>
    <xf numFmtId="0" fontId="28" fillId="0" borderId="60"/>
    <xf numFmtId="0" fontId="29" fillId="0" borderId="65"/>
    <xf numFmtId="0" fontId="29" fillId="0" borderId="0"/>
    <xf numFmtId="0" fontId="30" fillId="0" borderId="66"/>
    <xf numFmtId="0" fontId="31" fillId="38" borderId="59"/>
    <xf numFmtId="0" fontId="32" fillId="0" borderId="0"/>
    <xf numFmtId="0" fontId="33" fillId="27" borderId="0"/>
    <xf numFmtId="0" fontId="1" fillId="0" borderId="0"/>
    <xf numFmtId="0" fontId="1" fillId="0" borderId="0"/>
    <xf numFmtId="0" fontId="1" fillId="0" borderId="0"/>
    <xf numFmtId="0" fontId="34" fillId="22" borderId="0"/>
    <xf numFmtId="0" fontId="35" fillId="0" borderId="0"/>
    <xf numFmtId="0" fontId="11" fillId="19" borderId="62"/>
    <xf numFmtId="0" fontId="11" fillId="19" borderId="62"/>
    <xf numFmtId="0" fontId="36" fillId="0" borderId="61"/>
    <xf numFmtId="0" fontId="37" fillId="0" borderId="0"/>
    <xf numFmtId="0" fontId="38" fillId="23" borderId="0"/>
  </cellStyleXfs>
  <cellXfs count="767">
    <xf numFmtId="0" fontId="0" fillId="0" borderId="0" xfId="0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164" fontId="14" fillId="0" borderId="0" xfId="0" applyNumberFormat="1" applyFont="1" applyAlignment="1">
      <alignment horizontal="center" vertical="center" wrapText="1"/>
    </xf>
    <xf numFmtId="164" fontId="15" fillId="0" borderId="0" xfId="0" applyNumberFormat="1" applyFont="1" applyAlignment="1">
      <alignment horizontal="center" vertical="center" wrapText="1"/>
    </xf>
    <xf numFmtId="49" fontId="14" fillId="0" borderId="0" xfId="0" applyNumberFormat="1" applyFont="1" applyAlignment="1">
      <alignment horizontal="left" vertical="center" wrapText="1"/>
    </xf>
    <xf numFmtId="0" fontId="16" fillId="0" borderId="0" xfId="0" applyFont="1" applyAlignment="1">
      <alignment horizontal="center" vertical="center" wrapText="1"/>
    </xf>
    <xf numFmtId="49" fontId="14" fillId="0" borderId="0" xfId="0" applyNumberFormat="1" applyFont="1" applyAlignment="1">
      <alignment horizontal="center" vertical="center" wrapText="1"/>
    </xf>
    <xf numFmtId="0" fontId="17" fillId="5" borderId="10" xfId="0" applyFont="1" applyFill="1" applyBorder="1" applyAlignment="1">
      <alignment vertical="center" wrapText="1"/>
    </xf>
    <xf numFmtId="0" fontId="17" fillId="5" borderId="11" xfId="0" applyFont="1" applyFill="1" applyBorder="1" applyAlignment="1">
      <alignment horizontal="center" vertical="center" wrapText="1"/>
    </xf>
    <xf numFmtId="0" fontId="17" fillId="5" borderId="12" xfId="0" applyFont="1" applyFill="1" applyBorder="1" applyAlignment="1">
      <alignment vertical="center" wrapText="1"/>
    </xf>
    <xf numFmtId="0" fontId="17" fillId="5" borderId="13" xfId="0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164" fontId="15" fillId="5" borderId="13" xfId="0" applyNumberFormat="1" applyFont="1" applyFill="1" applyBorder="1" applyAlignment="1">
      <alignment vertical="center" wrapText="1"/>
    </xf>
    <xf numFmtId="49" fontId="17" fillId="5" borderId="13" xfId="0" applyNumberFormat="1" applyFont="1" applyFill="1" applyBorder="1" applyAlignment="1">
      <alignment vertical="center" wrapText="1"/>
    </xf>
    <xf numFmtId="0" fontId="16" fillId="5" borderId="13" xfId="0" applyFont="1" applyFill="1" applyBorder="1" applyAlignment="1">
      <alignment vertical="center" wrapText="1"/>
    </xf>
    <xf numFmtId="49" fontId="17" fillId="5" borderId="14" xfId="0" applyNumberFormat="1" applyFont="1" applyFill="1" applyBorder="1" applyAlignment="1">
      <alignment vertical="center" wrapText="1"/>
    </xf>
    <xf numFmtId="0" fontId="17" fillId="5" borderId="13" xfId="0" applyFont="1" applyFill="1" applyBorder="1" applyAlignment="1">
      <alignment horizontal="center" vertical="center" wrapText="1"/>
    </xf>
    <xf numFmtId="0" fontId="17" fillId="5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vertical="center" wrapText="1"/>
    </xf>
    <xf numFmtId="164" fontId="14" fillId="6" borderId="16" xfId="0" applyNumberFormat="1" applyFont="1" applyFill="1" applyBorder="1" applyAlignment="1">
      <alignment horizontal="center" vertical="center" wrapText="1"/>
    </xf>
    <xf numFmtId="164" fontId="15" fillId="6" borderId="16" xfId="0" applyNumberFormat="1" applyFont="1" applyFill="1" applyBorder="1" applyAlignment="1">
      <alignment horizontal="center" vertical="center" wrapText="1"/>
    </xf>
    <xf numFmtId="0" fontId="14" fillId="6" borderId="16" xfId="0" applyFont="1" applyFill="1" applyBorder="1" applyAlignment="1">
      <alignment horizontal="center" vertical="center" wrapText="1"/>
    </xf>
    <xf numFmtId="49" fontId="14" fillId="6" borderId="16" xfId="0" applyNumberFormat="1" applyFont="1" applyFill="1" applyBorder="1" applyAlignment="1">
      <alignment horizontal="left" vertical="center" wrapText="1"/>
    </xf>
    <xf numFmtId="49" fontId="14" fillId="6" borderId="16" xfId="0" applyNumberFormat="1" applyFont="1" applyFill="1" applyBorder="1" applyAlignment="1">
      <alignment horizontal="center" vertical="center" wrapText="1"/>
    </xf>
    <xf numFmtId="49" fontId="15" fillId="6" borderId="16" xfId="0" applyNumberFormat="1" applyFont="1" applyFill="1" applyBorder="1" applyAlignment="1">
      <alignment horizontal="center" vertical="center" wrapText="1"/>
    </xf>
    <xf numFmtId="49" fontId="14" fillId="6" borderId="17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vertical="center" wrapText="1"/>
    </xf>
    <xf numFmtId="164" fontId="14" fillId="6" borderId="18" xfId="0" applyNumberFormat="1" applyFont="1" applyFill="1" applyBorder="1" applyAlignment="1">
      <alignment horizontal="center" vertical="center" wrapText="1"/>
    </xf>
    <xf numFmtId="164" fontId="15" fillId="6" borderId="18" xfId="0" applyNumberFormat="1" applyFont="1" applyFill="1" applyBorder="1" applyAlignment="1">
      <alignment horizontal="center" vertical="center" wrapText="1"/>
    </xf>
    <xf numFmtId="0" fontId="14" fillId="6" borderId="18" xfId="0" applyFont="1" applyFill="1" applyBorder="1" applyAlignment="1">
      <alignment horizontal="center" vertical="center" wrapText="1"/>
    </xf>
    <xf numFmtId="49" fontId="14" fillId="6" borderId="18" xfId="0" applyNumberFormat="1" applyFont="1" applyFill="1" applyBorder="1" applyAlignment="1">
      <alignment horizontal="left" vertical="center" wrapText="1"/>
    </xf>
    <xf numFmtId="49" fontId="14" fillId="6" borderId="18" xfId="0" applyNumberFormat="1" applyFont="1" applyFill="1" applyBorder="1" applyAlignment="1">
      <alignment horizontal="center" vertical="center" wrapText="1"/>
    </xf>
    <xf numFmtId="49" fontId="15" fillId="6" borderId="18" xfId="0" applyNumberFormat="1" applyFont="1" applyFill="1" applyBorder="1" applyAlignment="1">
      <alignment horizontal="center" vertical="center" wrapText="1"/>
    </xf>
    <xf numFmtId="49" fontId="14" fillId="6" borderId="19" xfId="0" applyNumberFormat="1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vertical="center" wrapText="1"/>
    </xf>
    <xf numFmtId="164" fontId="14" fillId="7" borderId="13" xfId="0" applyNumberFormat="1" applyFont="1" applyFill="1" applyBorder="1" applyAlignment="1">
      <alignment horizontal="center" vertical="center" wrapText="1"/>
    </xf>
    <xf numFmtId="164" fontId="15" fillId="7" borderId="13" xfId="0" applyNumberFormat="1" applyFont="1" applyFill="1" applyBorder="1" applyAlignment="1">
      <alignment horizontal="center" vertical="center" wrapText="1"/>
    </xf>
    <xf numFmtId="0" fontId="14" fillId="7" borderId="13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0" fontId="16" fillId="7" borderId="14" xfId="0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vertical="center" wrapText="1"/>
    </xf>
    <xf numFmtId="164" fontId="14" fillId="6" borderId="20" xfId="0" applyNumberFormat="1" applyFont="1" applyFill="1" applyBorder="1" applyAlignment="1">
      <alignment horizontal="center" vertical="center" wrapText="1"/>
    </xf>
    <xf numFmtId="164" fontId="15" fillId="6" borderId="20" xfId="0" applyNumberFormat="1" applyFont="1" applyFill="1" applyBorder="1" applyAlignment="1">
      <alignment horizontal="center" vertical="center" wrapText="1"/>
    </xf>
    <xf numFmtId="0" fontId="14" fillId="6" borderId="20" xfId="0" applyFont="1" applyFill="1" applyBorder="1" applyAlignment="1">
      <alignment horizontal="center" vertical="center" wrapText="1"/>
    </xf>
    <xf numFmtId="49" fontId="14" fillId="6" borderId="20" xfId="0" applyNumberFormat="1" applyFont="1" applyFill="1" applyBorder="1" applyAlignment="1">
      <alignment horizontal="left" vertical="center" wrapText="1"/>
    </xf>
    <xf numFmtId="49" fontId="14" fillId="6" borderId="20" xfId="0" applyNumberFormat="1" applyFont="1" applyFill="1" applyBorder="1" applyAlignment="1">
      <alignment horizontal="center" vertical="center" wrapText="1"/>
    </xf>
    <xf numFmtId="49" fontId="15" fillId="6" borderId="20" xfId="0" applyNumberFormat="1" applyFont="1" applyFill="1" applyBorder="1" applyAlignment="1">
      <alignment horizontal="center" vertical="center" wrapText="1"/>
    </xf>
    <xf numFmtId="49" fontId="14" fillId="6" borderId="2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vertical="center" wrapText="1"/>
    </xf>
    <xf numFmtId="164" fontId="14" fillId="6" borderId="1" xfId="0" applyNumberFormat="1" applyFont="1" applyFill="1" applyBorder="1" applyAlignment="1">
      <alignment horizontal="center" vertical="center" wrapText="1"/>
    </xf>
    <xf numFmtId="164" fontId="15" fillId="6" borderId="1" xfId="0" applyNumberFormat="1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49" fontId="14" fillId="6" borderId="1" xfId="0" applyNumberFormat="1" applyFont="1" applyFill="1" applyBorder="1" applyAlignment="1">
      <alignment horizontal="left" vertical="center" wrapText="1"/>
    </xf>
    <xf numFmtId="49" fontId="14" fillId="6" borderId="1" xfId="0" applyNumberFormat="1" applyFont="1" applyFill="1" applyBorder="1" applyAlignment="1">
      <alignment horizontal="center" vertical="center" wrapText="1"/>
    </xf>
    <xf numFmtId="49" fontId="15" fillId="6" borderId="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23" xfId="0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vertical="center" wrapText="1"/>
    </xf>
    <xf numFmtId="164" fontId="14" fillId="7" borderId="24" xfId="0" applyNumberFormat="1" applyFont="1" applyFill="1" applyBorder="1" applyAlignment="1">
      <alignment horizontal="center" vertical="center" wrapText="1"/>
    </xf>
    <xf numFmtId="164" fontId="15" fillId="7" borderId="24" xfId="0" applyNumberFormat="1" applyFont="1" applyFill="1" applyBorder="1" applyAlignment="1">
      <alignment horizontal="center" vertical="center" wrapText="1"/>
    </xf>
    <xf numFmtId="0" fontId="14" fillId="7" borderId="24" xfId="0" applyFont="1" applyFill="1" applyBorder="1" applyAlignment="1">
      <alignment horizontal="center" vertical="center" wrapText="1"/>
    </xf>
    <xf numFmtId="49" fontId="14" fillId="7" borderId="24" xfId="0" applyNumberFormat="1" applyFont="1" applyFill="1" applyBorder="1" applyAlignment="1">
      <alignment horizontal="left" vertical="center" wrapText="1"/>
    </xf>
    <xf numFmtId="0" fontId="16" fillId="7" borderId="25" xfId="0" applyFont="1" applyFill="1" applyBorder="1" applyAlignment="1">
      <alignment horizontal="center" vertical="center" wrapText="1"/>
    </xf>
    <xf numFmtId="49" fontId="14" fillId="7" borderId="25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vertical="center" wrapText="1"/>
    </xf>
    <xf numFmtId="164" fontId="15" fillId="6" borderId="11" xfId="0" applyNumberFormat="1" applyFont="1" applyFill="1" applyBorder="1" applyAlignment="1">
      <alignment horizontal="center" vertical="center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vertical="center" wrapText="1"/>
    </xf>
    <xf numFmtId="164" fontId="14" fillId="6" borderId="13" xfId="0" applyNumberFormat="1" applyFont="1" applyFill="1" applyBorder="1" applyAlignment="1">
      <alignment horizontal="center" vertical="center" wrapText="1"/>
    </xf>
    <xf numFmtId="164" fontId="15" fillId="6" borderId="13" xfId="0" applyNumberFormat="1" applyFont="1" applyFill="1" applyBorder="1" applyAlignment="1">
      <alignment horizontal="center" vertical="center" wrapText="1"/>
    </xf>
    <xf numFmtId="0" fontId="14" fillId="6" borderId="13" xfId="0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6" fillId="6" borderId="14" xfId="0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vertical="center" wrapText="1"/>
    </xf>
    <xf numFmtId="164" fontId="14" fillId="7" borderId="20" xfId="0" applyNumberFormat="1" applyFont="1" applyFill="1" applyBorder="1" applyAlignment="1">
      <alignment horizontal="center" vertical="center" wrapText="1"/>
    </xf>
    <xf numFmtId="164" fontId="15" fillId="7" borderId="20" xfId="0" applyNumberFormat="1" applyFont="1" applyFill="1" applyBorder="1" applyAlignment="1">
      <alignment horizontal="center" vertical="center" wrapText="1"/>
    </xf>
    <xf numFmtId="0" fontId="14" fillId="7" borderId="20" xfId="0" applyFont="1" applyFill="1" applyBorder="1" applyAlignment="1">
      <alignment horizontal="center" vertical="center" wrapText="1"/>
    </xf>
    <xf numFmtId="49" fontId="14" fillId="7" borderId="20" xfId="0" applyNumberFormat="1" applyFont="1" applyFill="1" applyBorder="1" applyAlignment="1">
      <alignment horizontal="left" vertical="center" wrapText="1"/>
    </xf>
    <xf numFmtId="49" fontId="14" fillId="7" borderId="20" xfId="0" applyNumberFormat="1" applyFont="1" applyFill="1" applyBorder="1" applyAlignment="1">
      <alignment horizontal="center" vertical="center" wrapText="1"/>
    </xf>
    <xf numFmtId="49" fontId="15" fillId="7" borderId="20" xfId="0" applyNumberFormat="1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vertical="center" wrapText="1"/>
    </xf>
    <xf numFmtId="164" fontId="14" fillId="7" borderId="18" xfId="0" applyNumberFormat="1" applyFont="1" applyFill="1" applyBorder="1" applyAlignment="1">
      <alignment horizontal="center" vertical="center" wrapText="1"/>
    </xf>
    <xf numFmtId="164" fontId="15" fillId="7" borderId="11" xfId="0" applyNumberFormat="1" applyFont="1" applyFill="1" applyBorder="1" applyAlignment="1">
      <alignment horizontal="center" vertical="center" wrapText="1"/>
    </xf>
    <xf numFmtId="0" fontId="14" fillId="7" borderId="11" xfId="0" applyFont="1" applyFill="1" applyBorder="1" applyAlignment="1">
      <alignment horizontal="center" vertical="center" wrapText="1"/>
    </xf>
    <xf numFmtId="49" fontId="14" fillId="7" borderId="18" xfId="0" applyNumberFormat="1" applyFont="1" applyFill="1" applyBorder="1" applyAlignment="1">
      <alignment horizontal="left" vertical="center" wrapText="1"/>
    </xf>
    <xf numFmtId="49" fontId="14" fillId="7" borderId="18" xfId="0" applyNumberFormat="1" applyFont="1" applyFill="1" applyBorder="1" applyAlignment="1">
      <alignment horizontal="center" vertical="center" wrapText="1"/>
    </xf>
    <xf numFmtId="49" fontId="15" fillId="7" borderId="18" xfId="0" applyNumberFormat="1" applyFont="1" applyFill="1" applyBorder="1" applyAlignment="1">
      <alignment horizontal="center" vertical="center" wrapText="1"/>
    </xf>
    <xf numFmtId="49" fontId="14" fillId="7" borderId="19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vertical="center" wrapText="1"/>
    </xf>
    <xf numFmtId="164" fontId="14" fillId="7" borderId="1" xfId="0" applyNumberFormat="1" applyFont="1" applyFill="1" applyBorder="1" applyAlignment="1">
      <alignment horizontal="center" vertical="center" wrapText="1"/>
    </xf>
    <xf numFmtId="164" fontId="15" fillId="7" borderId="16" xfId="0" applyNumberFormat="1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horizontal="center" vertical="center" wrapText="1"/>
    </xf>
    <xf numFmtId="49" fontId="14" fillId="7" borderId="1" xfId="0" applyNumberFormat="1" applyFont="1" applyFill="1" applyBorder="1" applyAlignment="1">
      <alignment horizontal="left" vertical="center" wrapText="1"/>
    </xf>
    <xf numFmtId="49" fontId="14" fillId="7" borderId="1" xfId="0" applyNumberFormat="1" applyFont="1" applyFill="1" applyBorder="1" applyAlignment="1">
      <alignment horizontal="center" vertical="center" wrapText="1"/>
    </xf>
    <xf numFmtId="49" fontId="15" fillId="7" borderId="1" xfId="0" applyNumberFormat="1" applyFont="1" applyFill="1" applyBorder="1" applyAlignment="1">
      <alignment horizontal="center" vertical="center" wrapText="1"/>
    </xf>
    <xf numFmtId="49" fontId="14" fillId="7" borderId="22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vertical="center" wrapText="1"/>
    </xf>
    <xf numFmtId="0" fontId="16" fillId="7" borderId="13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164" fontId="15" fillId="7" borderId="18" xfId="0" applyNumberFormat="1" applyFont="1" applyFill="1" applyBorder="1" applyAlignment="1">
      <alignment horizontal="center" vertical="center" wrapText="1"/>
    </xf>
    <xf numFmtId="0" fontId="14" fillId="7" borderId="18" xfId="0" applyFont="1" applyFill="1" applyBorder="1" applyAlignment="1">
      <alignment horizontal="center" vertical="center" wrapText="1"/>
    </xf>
    <xf numFmtId="164" fontId="15" fillId="7" borderId="1" xfId="0" applyNumberFormat="1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6" borderId="26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5" fillId="7" borderId="20" xfId="0" applyFont="1" applyFill="1" applyBorder="1" applyAlignment="1">
      <alignment horizontal="center" vertical="center" wrapText="1"/>
    </xf>
    <xf numFmtId="0" fontId="15" fillId="7" borderId="18" xfId="0" applyFont="1" applyFill="1" applyBorder="1" applyAlignment="1">
      <alignment horizontal="center" vertical="center" wrapText="1"/>
    </xf>
    <xf numFmtId="0" fontId="15" fillId="6" borderId="20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8" xfId="0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vertical="center" wrapText="1"/>
    </xf>
    <xf numFmtId="164" fontId="14" fillId="7" borderId="10" xfId="0" applyNumberFormat="1" applyFont="1" applyFill="1" applyBorder="1" applyAlignment="1">
      <alignment horizontal="center" vertical="center" wrapText="1"/>
    </xf>
    <xf numFmtId="164" fontId="15" fillId="7" borderId="10" xfId="0" applyNumberFormat="1" applyFont="1" applyFill="1" applyBorder="1" applyAlignment="1">
      <alignment horizontal="center" vertical="center" wrapText="1"/>
    </xf>
    <xf numFmtId="0" fontId="14" fillId="7" borderId="10" xfId="0" applyFont="1" applyFill="1" applyBorder="1" applyAlignment="1">
      <alignment horizontal="center" vertical="center" wrapText="1"/>
    </xf>
    <xf numFmtId="0" fontId="15" fillId="7" borderId="10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vertical="center" wrapText="1"/>
    </xf>
    <xf numFmtId="164" fontId="14" fillId="7" borderId="29" xfId="0" applyNumberFormat="1" applyFont="1" applyFill="1" applyBorder="1" applyAlignment="1">
      <alignment horizontal="center" vertical="center" wrapText="1"/>
    </xf>
    <xf numFmtId="164" fontId="15" fillId="7" borderId="29" xfId="0" applyNumberFormat="1" applyFont="1" applyFill="1" applyBorder="1" applyAlignment="1">
      <alignment horizontal="center" vertical="center" wrapText="1"/>
    </xf>
    <xf numFmtId="0" fontId="14" fillId="7" borderId="29" xfId="0" applyFont="1" applyFill="1" applyBorder="1" applyAlignment="1">
      <alignment horizontal="center" vertical="center" wrapText="1"/>
    </xf>
    <xf numFmtId="49" fontId="14" fillId="7" borderId="29" xfId="0" applyNumberFormat="1" applyFont="1" applyFill="1" applyBorder="1" applyAlignment="1">
      <alignment horizontal="left" vertical="center" wrapText="1"/>
    </xf>
    <xf numFmtId="0" fontId="15" fillId="7" borderId="29" xfId="0" applyFont="1" applyFill="1" applyBorder="1" applyAlignment="1">
      <alignment horizontal="center" vertical="center" wrapText="1"/>
    </xf>
    <xf numFmtId="49" fontId="14" fillId="7" borderId="30" xfId="0" applyNumberFormat="1" applyFont="1" applyFill="1" applyBorder="1" applyAlignment="1">
      <alignment horizontal="center" vertical="center" wrapText="1"/>
    </xf>
    <xf numFmtId="0" fontId="14" fillId="6" borderId="32" xfId="0" applyFont="1" applyFill="1" applyBorder="1" applyAlignment="1">
      <alignment horizontal="center" vertical="center" wrapText="1"/>
    </xf>
    <xf numFmtId="0" fontId="14" fillId="6" borderId="33" xfId="0" applyFont="1" applyFill="1" applyBorder="1" applyAlignment="1">
      <alignment horizontal="center" vertical="center" wrapText="1"/>
    </xf>
    <xf numFmtId="0" fontId="14" fillId="7" borderId="34" xfId="0" applyFont="1" applyFill="1" applyBorder="1" applyAlignment="1">
      <alignment horizontal="center" vertical="center" wrapText="1"/>
    </xf>
    <xf numFmtId="0" fontId="14" fillId="7" borderId="16" xfId="0" applyFont="1" applyFill="1" applyBorder="1" applyAlignment="1">
      <alignment vertical="center" wrapText="1"/>
    </xf>
    <xf numFmtId="164" fontId="14" fillId="7" borderId="16" xfId="0" applyNumberFormat="1" applyFont="1" applyFill="1" applyBorder="1" applyAlignment="1">
      <alignment horizontal="center" vertical="center" wrapText="1"/>
    </xf>
    <xf numFmtId="49" fontId="14" fillId="7" borderId="16" xfId="0" applyNumberFormat="1" applyFont="1" applyFill="1" applyBorder="1" applyAlignment="1">
      <alignment horizontal="left" vertical="center" wrapText="1"/>
    </xf>
    <xf numFmtId="0" fontId="15" fillId="7" borderId="16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horizontal="center" vertical="center" wrapText="1"/>
    </xf>
    <xf numFmtId="0" fontId="14" fillId="7" borderId="35" xfId="0" applyFont="1" applyFill="1" applyBorder="1" applyAlignment="1">
      <alignment horizontal="center" vertical="center" wrapText="1"/>
    </xf>
    <xf numFmtId="0" fontId="14" fillId="7" borderId="36" xfId="0" applyFont="1" applyFill="1" applyBorder="1" applyAlignment="1">
      <alignment horizontal="center" vertical="center" wrapText="1"/>
    </xf>
    <xf numFmtId="0" fontId="14" fillId="6" borderId="37" xfId="0" applyFont="1" applyFill="1" applyBorder="1" applyAlignment="1">
      <alignment horizontal="center" vertical="center" wrapText="1"/>
    </xf>
    <xf numFmtId="0" fontId="14" fillId="6" borderId="36" xfId="0" applyFont="1" applyFill="1" applyBorder="1" applyAlignment="1">
      <alignment horizontal="center" vertical="center" wrapText="1"/>
    </xf>
    <xf numFmtId="0" fontId="14" fillId="7" borderId="37" xfId="0" applyFont="1" applyFill="1" applyBorder="1" applyAlignment="1">
      <alignment horizontal="center" vertical="center" wrapText="1"/>
    </xf>
    <xf numFmtId="0" fontId="14" fillId="6" borderId="35" xfId="0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0" fontId="14" fillId="7" borderId="39" xfId="0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left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0" fontId="14" fillId="6" borderId="39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vertical="center" wrapText="1"/>
    </xf>
    <xf numFmtId="164" fontId="14" fillId="6" borderId="10" xfId="0" applyNumberFormat="1" applyFont="1" applyFill="1" applyBorder="1" applyAlignment="1">
      <alignment horizontal="center" vertical="center" wrapText="1"/>
    </xf>
    <xf numFmtId="164" fontId="15" fillId="6" borderId="10" xfId="0" applyNumberFormat="1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left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4" fillId="6" borderId="27" xfId="0" applyNumberFormat="1" applyFont="1" applyFill="1" applyBorder="1" applyAlignment="1">
      <alignment horizontal="center" vertical="center" wrapText="1"/>
    </xf>
    <xf numFmtId="0" fontId="15" fillId="6" borderId="13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0" fontId="14" fillId="6" borderId="40" xfId="0" applyFont="1" applyFill="1" applyBorder="1" applyAlignment="1">
      <alignment horizontal="center" vertical="center" wrapText="1"/>
    </xf>
    <xf numFmtId="164" fontId="14" fillId="6" borderId="11" xfId="0" applyNumberFormat="1" applyFont="1" applyFill="1" applyBorder="1" applyAlignment="1">
      <alignment horizontal="center" vertical="center" wrapText="1"/>
    </xf>
    <xf numFmtId="49" fontId="14" fillId="6" borderId="11" xfId="0" applyNumberFormat="1" applyFont="1" applyFill="1" applyBorder="1" applyAlignment="1">
      <alignment horizontal="left" vertical="center" wrapText="1"/>
    </xf>
    <xf numFmtId="0" fontId="16" fillId="6" borderId="11" xfId="0" applyFont="1" applyFill="1" applyBorder="1" applyAlignment="1">
      <alignment horizontal="center" vertical="center" wrapText="1"/>
    </xf>
    <xf numFmtId="49" fontId="14" fillId="6" borderId="41" xfId="0" applyNumberFormat="1" applyFont="1" applyFill="1" applyBorder="1" applyAlignment="1">
      <alignment horizontal="center" vertical="center" wrapText="1"/>
    </xf>
    <xf numFmtId="0" fontId="14" fillId="7" borderId="40" xfId="0" applyFont="1" applyFill="1" applyBorder="1" applyAlignment="1">
      <alignment horizontal="center" vertical="center" wrapText="1"/>
    </xf>
    <xf numFmtId="164" fontId="14" fillId="7" borderId="11" xfId="0" applyNumberFormat="1" applyFont="1" applyFill="1" applyBorder="1" applyAlignment="1">
      <alignment horizontal="center" vertical="center" wrapText="1"/>
    </xf>
    <xf numFmtId="49" fontId="14" fillId="7" borderId="11" xfId="0" applyNumberFormat="1" applyFont="1" applyFill="1" applyBorder="1" applyAlignment="1">
      <alignment horizontal="left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4" fillId="7" borderId="4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 wrapText="1"/>
    </xf>
    <xf numFmtId="0" fontId="15" fillId="7" borderId="11" xfId="0" applyFont="1" applyFill="1" applyBorder="1" applyAlignment="1">
      <alignment horizontal="center" vertical="center" wrapText="1"/>
    </xf>
    <xf numFmtId="0" fontId="14" fillId="6" borderId="34" xfId="0" applyFont="1" applyFill="1" applyBorder="1" applyAlignment="1">
      <alignment horizontal="center" vertical="center" wrapText="1"/>
    </xf>
    <xf numFmtId="0" fontId="15" fillId="6" borderId="16" xfId="0" applyFont="1" applyFill="1" applyBorder="1" applyAlignment="1">
      <alignment horizontal="center" vertical="center" wrapText="1"/>
    </xf>
    <xf numFmtId="0" fontId="15" fillId="7" borderId="13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0" fontId="14" fillId="8" borderId="9" xfId="0" applyFont="1" applyFill="1" applyBorder="1" applyAlignment="1">
      <alignment horizontal="center" vertical="center" wrapText="1"/>
    </xf>
    <xf numFmtId="0" fontId="14" fillId="8" borderId="26" xfId="0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vertical="center" wrapText="1"/>
    </xf>
    <xf numFmtId="164" fontId="14" fillId="8" borderId="13" xfId="0" applyNumberFormat="1" applyFont="1" applyFill="1" applyBorder="1" applyAlignment="1">
      <alignment horizontal="center" vertical="center" wrapText="1"/>
    </xf>
    <xf numFmtId="164" fontId="15" fillId="8" borderId="13" xfId="0" applyNumberFormat="1" applyFont="1" applyFill="1" applyBorder="1" applyAlignment="1">
      <alignment horizontal="center" vertical="center" wrapText="1"/>
    </xf>
    <xf numFmtId="0" fontId="14" fillId="8" borderId="13" xfId="0" applyFont="1" applyFill="1" applyBorder="1" applyAlignment="1">
      <alignment horizontal="center" vertical="center" wrapText="1"/>
    </xf>
    <xf numFmtId="49" fontId="14" fillId="8" borderId="13" xfId="0" applyNumberFormat="1" applyFont="1" applyFill="1" applyBorder="1" applyAlignment="1">
      <alignment horizontal="left" vertical="center" wrapText="1"/>
    </xf>
    <xf numFmtId="0" fontId="16" fillId="6" borderId="18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4" fillId="6" borderId="42" xfId="0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vertical="center" wrapText="1"/>
    </xf>
    <xf numFmtId="164" fontId="14" fillId="6" borderId="29" xfId="0" applyNumberFormat="1" applyFont="1" applyFill="1" applyBorder="1" applyAlignment="1">
      <alignment horizontal="center" vertical="center" wrapText="1"/>
    </xf>
    <xf numFmtId="164" fontId="15" fillId="6" borderId="29" xfId="0" applyNumberFormat="1" applyFont="1" applyFill="1" applyBorder="1" applyAlignment="1">
      <alignment horizontal="center" vertical="center" wrapText="1"/>
    </xf>
    <xf numFmtId="0" fontId="14" fillId="6" borderId="29" xfId="0" applyFont="1" applyFill="1" applyBorder="1" applyAlignment="1">
      <alignment horizontal="center" vertical="center" wrapText="1"/>
    </xf>
    <xf numFmtId="49" fontId="14" fillId="6" borderId="29" xfId="0" applyNumberFormat="1" applyFont="1" applyFill="1" applyBorder="1" applyAlignment="1">
      <alignment horizontal="left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4" fillId="6" borderId="30" xfId="0" applyNumberFormat="1" applyFont="1" applyFill="1" applyBorder="1" applyAlignment="1">
      <alignment horizontal="center" vertical="center" wrapText="1"/>
    </xf>
    <xf numFmtId="0" fontId="14" fillId="9" borderId="36" xfId="0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vertical="center" wrapText="1"/>
    </xf>
    <xf numFmtId="164" fontId="14" fillId="9" borderId="18" xfId="0" applyNumberFormat="1" applyFont="1" applyFill="1" applyBorder="1" applyAlignment="1">
      <alignment horizontal="center" vertical="center" wrapText="1"/>
    </xf>
    <xf numFmtId="164" fontId="15" fillId="9" borderId="18" xfId="0" applyNumberFormat="1" applyFont="1" applyFill="1" applyBorder="1" applyAlignment="1">
      <alignment horizontal="center" vertical="center" wrapText="1"/>
    </xf>
    <xf numFmtId="0" fontId="14" fillId="9" borderId="18" xfId="0" applyFont="1" applyFill="1" applyBorder="1" applyAlignment="1">
      <alignment horizontal="center" vertical="center" wrapText="1"/>
    </xf>
    <xf numFmtId="49" fontId="14" fillId="9" borderId="18" xfId="0" applyNumberFormat="1" applyFont="1" applyFill="1" applyBorder="1" applyAlignment="1">
      <alignment horizontal="left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4" fillId="9" borderId="19" xfId="0" applyNumberFormat="1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6" borderId="21" xfId="0" applyFont="1" applyFill="1" applyBorder="1" applyAlignment="1">
      <alignment horizontal="center" vertical="center" wrapText="1"/>
    </xf>
    <xf numFmtId="0" fontId="16" fillId="6" borderId="44" xfId="0" applyFont="1" applyFill="1" applyBorder="1" applyAlignment="1">
      <alignment horizontal="center" vertical="center" wrapText="1"/>
    </xf>
    <xf numFmtId="0" fontId="16" fillId="6" borderId="45" xfId="0" applyFont="1" applyFill="1" applyBorder="1" applyAlignment="1">
      <alignment horizontal="center" vertical="center" wrapText="1"/>
    </xf>
    <xf numFmtId="0" fontId="16" fillId="7" borderId="44" xfId="0" applyFont="1" applyFill="1" applyBorder="1" applyAlignment="1">
      <alignment horizontal="center" vertical="center" wrapText="1"/>
    </xf>
    <xf numFmtId="0" fontId="16" fillId="7" borderId="46" xfId="0" applyFont="1" applyFill="1" applyBorder="1" applyAlignment="1">
      <alignment horizontal="center" vertical="center" wrapText="1"/>
    </xf>
    <xf numFmtId="0" fontId="16" fillId="7" borderId="45" xfId="0" applyFont="1" applyFill="1" applyBorder="1" applyAlignment="1">
      <alignment horizontal="center" vertical="center" wrapText="1"/>
    </xf>
    <xf numFmtId="0" fontId="14" fillId="9" borderId="9" xfId="0" applyFont="1" applyFill="1" applyBorder="1" applyAlignment="1">
      <alignment horizontal="center" vertical="center" wrapText="1"/>
    </xf>
    <xf numFmtId="0" fontId="14" fillId="9" borderId="26" xfId="0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vertical="center" wrapText="1"/>
    </xf>
    <xf numFmtId="164" fontId="14" fillId="9" borderId="13" xfId="0" applyNumberFormat="1" applyFont="1" applyFill="1" applyBorder="1" applyAlignment="1">
      <alignment horizontal="center" vertical="center" wrapText="1"/>
    </xf>
    <xf numFmtId="164" fontId="15" fillId="9" borderId="13" xfId="0" applyNumberFormat="1" applyFont="1" applyFill="1" applyBorder="1" applyAlignment="1">
      <alignment horizontal="center" vertical="center" wrapText="1"/>
    </xf>
    <xf numFmtId="0" fontId="14" fillId="9" borderId="13" xfId="0" applyFont="1" applyFill="1" applyBorder="1" applyAlignment="1">
      <alignment horizontal="center" vertical="center" wrapText="1"/>
    </xf>
    <xf numFmtId="49" fontId="14" fillId="9" borderId="13" xfId="0" applyNumberFormat="1" applyFont="1" applyFill="1" applyBorder="1" applyAlignment="1">
      <alignment horizontal="left" vertical="center" wrapText="1"/>
    </xf>
    <xf numFmtId="49" fontId="14" fillId="9" borderId="41" xfId="0" applyNumberFormat="1" applyFont="1" applyFill="1" applyBorder="1" applyAlignment="1">
      <alignment horizontal="center" vertical="center" wrapText="1"/>
    </xf>
    <xf numFmtId="0" fontId="14" fillId="11" borderId="9" xfId="0" applyFont="1" applyFill="1" applyBorder="1" applyAlignment="1">
      <alignment horizontal="center" vertical="center" wrapText="1"/>
    </xf>
    <xf numFmtId="0" fontId="14" fillId="11" borderId="26" xfId="0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vertical="center" wrapText="1"/>
    </xf>
    <xf numFmtId="164" fontId="14" fillId="11" borderId="13" xfId="0" applyNumberFormat="1" applyFont="1" applyFill="1" applyBorder="1" applyAlignment="1">
      <alignment horizontal="center" vertical="center" wrapText="1"/>
    </xf>
    <xf numFmtId="164" fontId="15" fillId="11" borderId="13" xfId="0" applyNumberFormat="1" applyFont="1" applyFill="1" applyBorder="1" applyAlignment="1">
      <alignment horizontal="center" vertical="center" wrapText="1"/>
    </xf>
    <xf numFmtId="0" fontId="14" fillId="11" borderId="13" xfId="0" applyFont="1" applyFill="1" applyBorder="1" applyAlignment="1">
      <alignment horizontal="center" vertical="center" wrapText="1"/>
    </xf>
    <xf numFmtId="49" fontId="14" fillId="11" borderId="13" xfId="0" applyNumberFormat="1" applyFont="1" applyFill="1" applyBorder="1" applyAlignment="1">
      <alignment horizontal="left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4" fillId="11" borderId="14" xfId="0" applyNumberFormat="1" applyFont="1" applyFill="1" applyBorder="1" applyAlignment="1">
      <alignment horizontal="center" vertical="center" wrapText="1"/>
    </xf>
    <xf numFmtId="0" fontId="14" fillId="7" borderId="32" xfId="0" applyFont="1" applyFill="1" applyBorder="1" applyAlignment="1">
      <alignment horizontal="center" vertical="center" wrapText="1"/>
    </xf>
    <xf numFmtId="49" fontId="14" fillId="7" borderId="27" xfId="0" applyNumberFormat="1" applyFont="1" applyFill="1" applyBorder="1" applyAlignment="1">
      <alignment vertical="center" wrapText="1"/>
    </xf>
    <xf numFmtId="0" fontId="15" fillId="11" borderId="13" xfId="0" applyFont="1" applyFill="1" applyBorder="1" applyAlignment="1">
      <alignment horizontal="center" vertical="center" wrapText="1"/>
    </xf>
    <xf numFmtId="0" fontId="14" fillId="7" borderId="47" xfId="0" applyFont="1" applyFill="1" applyBorder="1" applyAlignment="1">
      <alignment horizontal="center" vertical="center" wrapText="1"/>
    </xf>
    <xf numFmtId="49" fontId="14" fillId="7" borderId="17" xfId="0" applyNumberFormat="1" applyFont="1" applyFill="1" applyBorder="1" applyAlignment="1">
      <alignment vertical="center" wrapText="1"/>
    </xf>
    <xf numFmtId="0" fontId="14" fillId="9" borderId="48" xfId="0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vertical="center" wrapText="1"/>
    </xf>
    <xf numFmtId="164" fontId="14" fillId="9" borderId="1" xfId="0" applyNumberFormat="1" applyFont="1" applyFill="1" applyBorder="1" applyAlignment="1">
      <alignment horizontal="center" vertical="center" wrapText="1"/>
    </xf>
    <xf numFmtId="164" fontId="15" fillId="9" borderId="1" xfId="0" applyNumberFormat="1" applyFont="1" applyFill="1" applyBorder="1" applyAlignment="1">
      <alignment horizontal="center" vertical="center" wrapText="1"/>
    </xf>
    <xf numFmtId="0" fontId="14" fillId="9" borderId="1" xfId="0" applyFont="1" applyFill="1" applyBorder="1" applyAlignment="1">
      <alignment horizontal="center" vertical="center" wrapText="1"/>
    </xf>
    <xf numFmtId="49" fontId="14" fillId="9" borderId="1" xfId="0" applyNumberFormat="1" applyFont="1" applyFill="1" applyBorder="1" applyAlignment="1">
      <alignment horizontal="left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4" fillId="9" borderId="22" xfId="0" applyNumberFormat="1" applyFont="1" applyFill="1" applyBorder="1" applyAlignment="1">
      <alignment horizontal="center" vertical="center" wrapText="1"/>
    </xf>
    <xf numFmtId="0" fontId="14" fillId="11" borderId="33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vertical="center" wrapText="1"/>
    </xf>
    <xf numFmtId="164" fontId="14" fillId="11" borderId="18" xfId="0" applyNumberFormat="1" applyFont="1" applyFill="1" applyBorder="1" applyAlignment="1">
      <alignment horizontal="center" vertical="center" wrapText="1"/>
    </xf>
    <xf numFmtId="164" fontId="15" fillId="11" borderId="18" xfId="0" applyNumberFormat="1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49" fontId="14" fillId="11" borderId="18" xfId="0" applyNumberFormat="1" applyFont="1" applyFill="1" applyBorder="1" applyAlignment="1">
      <alignment horizontal="left" vertical="center" wrapText="1"/>
    </xf>
    <xf numFmtId="0" fontId="16" fillId="11" borderId="11" xfId="0" applyFont="1" applyFill="1" applyBorder="1" applyAlignment="1">
      <alignment horizontal="center" vertical="center" wrapText="1"/>
    </xf>
    <xf numFmtId="49" fontId="14" fillId="11" borderId="19" xfId="0" applyNumberFormat="1" applyFont="1" applyFill="1" applyBorder="1" applyAlignment="1">
      <alignment horizontal="center" vertical="center" wrapText="1"/>
    </xf>
    <xf numFmtId="0" fontId="14" fillId="9" borderId="49" xfId="0" applyFont="1" applyFill="1" applyBorder="1" applyAlignment="1">
      <alignment horizontal="center" vertical="center" wrapText="1"/>
    </xf>
    <xf numFmtId="0" fontId="14" fillId="9" borderId="50" xfId="0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vertical="center" wrapText="1"/>
    </xf>
    <xf numFmtId="164" fontId="14" fillId="9" borderId="24" xfId="0" applyNumberFormat="1" applyFont="1" applyFill="1" applyBorder="1" applyAlignment="1">
      <alignment horizontal="center" vertical="center" wrapText="1"/>
    </xf>
    <xf numFmtId="164" fontId="15" fillId="9" borderId="24" xfId="0" applyNumberFormat="1" applyFont="1" applyFill="1" applyBorder="1" applyAlignment="1">
      <alignment horizontal="center" vertical="center" wrapText="1"/>
    </xf>
    <xf numFmtId="0" fontId="14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left" vertical="center" wrapText="1"/>
    </xf>
    <xf numFmtId="0" fontId="15" fillId="9" borderId="24" xfId="0" applyFont="1" applyFill="1" applyBorder="1" applyAlignment="1">
      <alignment horizontal="center" vertical="center" wrapText="1"/>
    </xf>
    <xf numFmtId="49" fontId="14" fillId="9" borderId="24" xfId="0" applyNumberFormat="1" applyFont="1" applyFill="1" applyBorder="1" applyAlignment="1">
      <alignment horizontal="center" vertical="center" wrapText="1"/>
    </xf>
    <xf numFmtId="0" fontId="14" fillId="12" borderId="9" xfId="0" applyFont="1" applyFill="1" applyBorder="1" applyAlignment="1">
      <alignment horizontal="center" vertical="center" wrapText="1"/>
    </xf>
    <xf numFmtId="0" fontId="14" fillId="12" borderId="2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vertical="center" wrapText="1"/>
    </xf>
    <xf numFmtId="164" fontId="14" fillId="12" borderId="13" xfId="0" applyNumberFormat="1" applyFont="1" applyFill="1" applyBorder="1" applyAlignment="1">
      <alignment horizontal="center" vertical="center" wrapText="1"/>
    </xf>
    <xf numFmtId="164" fontId="15" fillId="12" borderId="13" xfId="0" applyNumberFormat="1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49" fontId="14" fillId="12" borderId="13" xfId="0" applyNumberFormat="1" applyFont="1" applyFill="1" applyBorder="1" applyAlignment="1">
      <alignment horizontal="left" vertical="center" wrapText="1"/>
    </xf>
    <xf numFmtId="0" fontId="15" fillId="12" borderId="13" xfId="0" applyFont="1" applyFill="1" applyBorder="1" applyAlignment="1">
      <alignment horizontal="center" vertical="center" wrapText="1"/>
    </xf>
    <xf numFmtId="49" fontId="14" fillId="12" borderId="14" xfId="0" applyNumberFormat="1" applyFont="1" applyFill="1" applyBorder="1" applyAlignment="1">
      <alignment horizontal="center" vertical="center" wrapText="1"/>
    </xf>
    <xf numFmtId="0" fontId="14" fillId="12" borderId="37" xfId="0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vertical="center" wrapText="1"/>
    </xf>
    <xf numFmtId="164" fontId="14" fillId="12" borderId="20" xfId="0" applyNumberFormat="1" applyFont="1" applyFill="1" applyBorder="1" applyAlignment="1">
      <alignment horizontal="center" vertical="center" wrapText="1"/>
    </xf>
    <xf numFmtId="164" fontId="15" fillId="12" borderId="20" xfId="0" applyNumberFormat="1" applyFont="1" applyFill="1" applyBorder="1" applyAlignment="1">
      <alignment horizontal="center" vertical="center" wrapText="1"/>
    </xf>
    <xf numFmtId="0" fontId="14" fillId="12" borderId="20" xfId="0" applyFont="1" applyFill="1" applyBorder="1" applyAlignment="1">
      <alignment horizontal="center" vertical="center" wrapText="1"/>
    </xf>
    <xf numFmtId="49" fontId="14" fillId="12" borderId="20" xfId="0" applyNumberFormat="1" applyFont="1" applyFill="1" applyBorder="1" applyAlignment="1">
      <alignment horizontal="left" vertical="center" wrapText="1"/>
    </xf>
    <xf numFmtId="0" fontId="15" fillId="12" borderId="20" xfId="0" applyFont="1" applyFill="1" applyBorder="1" applyAlignment="1">
      <alignment horizontal="center" vertical="center" wrapText="1"/>
    </xf>
    <xf numFmtId="49" fontId="14" fillId="12" borderId="21" xfId="0" applyNumberFormat="1" applyFont="1" applyFill="1" applyBorder="1" applyAlignment="1">
      <alignment horizontal="center" vertical="center" wrapText="1"/>
    </xf>
    <xf numFmtId="0" fontId="14" fillId="7" borderId="51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0" fontId="14" fillId="6" borderId="51" xfId="0" applyFont="1" applyFill="1" applyBorder="1" applyAlignment="1">
      <alignment horizontal="center" vertical="center" wrapText="1"/>
    </xf>
    <xf numFmtId="0" fontId="14" fillId="7" borderId="52" xfId="0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0" fontId="14" fillId="7" borderId="50" xfId="0" applyFont="1" applyFill="1" applyBorder="1" applyAlignment="1">
      <alignment horizontal="center" vertical="center" wrapText="1"/>
    </xf>
    <xf numFmtId="0" fontId="15" fillId="7" borderId="24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0" fontId="14" fillId="6" borderId="52" xfId="0" applyFont="1" applyFill="1" applyBorder="1" applyAlignment="1">
      <alignment horizontal="center" vertical="center" wrapText="1"/>
    </xf>
    <xf numFmtId="0" fontId="14" fillId="6" borderId="47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50" xfId="0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vertical="center" wrapText="1"/>
    </xf>
    <xf numFmtId="164" fontId="14" fillId="6" borderId="24" xfId="0" applyNumberFormat="1" applyFont="1" applyFill="1" applyBorder="1" applyAlignment="1">
      <alignment horizontal="center" vertical="center" wrapText="1"/>
    </xf>
    <xf numFmtId="164" fontId="15" fillId="6" borderId="24" xfId="0" applyNumberFormat="1" applyFont="1" applyFill="1" applyBorder="1" applyAlignment="1">
      <alignment horizontal="center" vertical="center" wrapText="1"/>
    </xf>
    <xf numFmtId="0" fontId="14" fillId="6" borderId="24" xfId="0" applyFont="1" applyFill="1" applyBorder="1" applyAlignment="1">
      <alignment horizontal="center" vertical="center" wrapText="1"/>
    </xf>
    <xf numFmtId="49" fontId="14" fillId="6" borderId="24" xfId="0" applyNumberFormat="1" applyFont="1" applyFill="1" applyBorder="1" applyAlignment="1">
      <alignment horizontal="left" vertical="center" wrapText="1"/>
    </xf>
    <xf numFmtId="0" fontId="15" fillId="6" borderId="24" xfId="0" applyFont="1" applyFill="1" applyBorder="1" applyAlignment="1">
      <alignment horizontal="center" vertical="center" wrapText="1"/>
    </xf>
    <xf numFmtId="49" fontId="14" fillId="6" borderId="25" xfId="0" applyNumberFormat="1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4" fillId="9" borderId="35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4" fillId="9" borderId="53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4" fillId="6" borderId="53" xfId="0" applyFont="1" applyFill="1" applyBorder="1" applyAlignment="1">
      <alignment horizontal="center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4" fillId="6" borderId="54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8" fillId="7" borderId="11" xfId="0" applyFont="1" applyFill="1" applyBorder="1" applyAlignment="1">
      <alignment horizontal="center" vertical="center" wrapText="1"/>
    </xf>
    <xf numFmtId="0" fontId="14" fillId="6" borderId="55" xfId="0" applyFont="1" applyFill="1" applyBorder="1" applyAlignment="1">
      <alignment horizontal="center" vertical="center" wrapText="1"/>
    </xf>
    <xf numFmtId="0" fontId="14" fillId="7" borderId="55" xfId="0" applyFont="1" applyFill="1" applyBorder="1" applyAlignment="1">
      <alignment horizontal="center" vertical="center" wrapText="1"/>
    </xf>
    <xf numFmtId="0" fontId="14" fillId="7" borderId="54" xfId="0" applyFont="1" applyFill="1" applyBorder="1" applyAlignment="1">
      <alignment horizontal="center" vertical="center" wrapText="1"/>
    </xf>
    <xf numFmtId="0" fontId="14" fillId="6" borderId="56" xfId="0" applyFont="1" applyFill="1" applyBorder="1" applyAlignment="1">
      <alignment horizontal="center" vertical="center" wrapText="1"/>
    </xf>
    <xf numFmtId="0" fontId="14" fillId="7" borderId="21" xfId="0" applyFont="1" applyFill="1" applyBorder="1" applyAlignment="1">
      <alignment horizontal="center" vertical="center" wrapText="1"/>
    </xf>
    <xf numFmtId="0" fontId="14" fillId="7" borderId="22" xfId="0" applyFont="1" applyFill="1" applyBorder="1" applyAlignment="1">
      <alignment horizontal="center" vertical="center" wrapText="1"/>
    </xf>
    <xf numFmtId="0" fontId="14" fillId="7" borderId="19" xfId="0" applyFont="1" applyFill="1" applyBorder="1" applyAlignment="1">
      <alignment horizontal="center" vertical="center" wrapText="1"/>
    </xf>
    <xf numFmtId="0" fontId="14" fillId="7" borderId="53" xfId="0" applyFont="1" applyFill="1" applyBorder="1" applyAlignment="1">
      <alignment horizontal="center" vertical="center" wrapText="1"/>
    </xf>
    <xf numFmtId="20" fontId="14" fillId="6" borderId="21" xfId="0" applyNumberFormat="1" applyFont="1" applyFill="1" applyBorder="1" applyAlignment="1">
      <alignment horizontal="center" vertical="center" wrapText="1"/>
    </xf>
    <xf numFmtId="20" fontId="14" fillId="6" borderId="19" xfId="0" applyNumberFormat="1" applyFont="1" applyFill="1" applyBorder="1" applyAlignment="1">
      <alignment horizontal="center" vertical="center" wrapText="1"/>
    </xf>
    <xf numFmtId="20" fontId="14" fillId="7" borderId="14" xfId="0" applyNumberFormat="1" applyFont="1" applyFill="1" applyBorder="1" applyAlignment="1">
      <alignment horizontal="center" vertical="center" wrapText="1"/>
    </xf>
    <xf numFmtId="20" fontId="14" fillId="6" borderId="22" xfId="0" applyNumberFormat="1" applyFont="1" applyFill="1" applyBorder="1" applyAlignment="1">
      <alignment horizontal="center" vertical="center" wrapText="1"/>
    </xf>
    <xf numFmtId="20" fontId="14" fillId="7" borderId="21" xfId="0" applyNumberFormat="1" applyFont="1" applyFill="1" applyBorder="1" applyAlignment="1">
      <alignment horizontal="center" vertical="center" wrapText="1"/>
    </xf>
    <xf numFmtId="20" fontId="14" fillId="7" borderId="22" xfId="0" applyNumberFormat="1" applyFont="1" applyFill="1" applyBorder="1" applyAlignment="1">
      <alignment horizontal="center" vertical="center" wrapText="1"/>
    </xf>
    <xf numFmtId="20" fontId="14" fillId="7" borderId="19" xfId="0" applyNumberFormat="1" applyFont="1" applyFill="1" applyBorder="1" applyAlignment="1">
      <alignment horizontal="center" vertical="center" wrapText="1"/>
    </xf>
    <xf numFmtId="20" fontId="14" fillId="6" borderId="14" xfId="0" applyNumberFormat="1" applyFont="1" applyFill="1" applyBorder="1" applyAlignment="1">
      <alignment horizontal="center" vertical="center" wrapText="1"/>
    </xf>
    <xf numFmtId="20" fontId="14" fillId="6" borderId="41" xfId="0" applyNumberFormat="1" applyFont="1" applyFill="1" applyBorder="1" applyAlignment="1">
      <alignment horizontal="center" vertical="center" wrapText="1"/>
    </xf>
    <xf numFmtId="20" fontId="14" fillId="6" borderId="30" xfId="0" applyNumberFormat="1" applyFont="1" applyFill="1" applyBorder="1" applyAlignment="1">
      <alignment horizontal="center" vertical="center" wrapText="1"/>
    </xf>
    <xf numFmtId="20" fontId="14" fillId="7" borderId="41" xfId="0" applyNumberFormat="1" applyFont="1" applyFill="1" applyBorder="1" applyAlignment="1">
      <alignment horizontal="center" vertical="center" wrapText="1"/>
    </xf>
    <xf numFmtId="0" fontId="14" fillId="7" borderId="42" xfId="0" applyFont="1" applyFill="1" applyBorder="1" applyAlignment="1">
      <alignment horizontal="center" vertical="center" wrapText="1"/>
    </xf>
    <xf numFmtId="20" fontId="14" fillId="7" borderId="30" xfId="0" applyNumberFormat="1" applyFont="1" applyFill="1" applyBorder="1" applyAlignment="1">
      <alignment horizontal="center" vertical="center" wrapText="1"/>
    </xf>
    <xf numFmtId="0" fontId="14" fillId="6" borderId="57" xfId="0" applyFont="1" applyFill="1" applyBorder="1" applyAlignment="1">
      <alignment horizontal="center" vertical="center" wrapText="1"/>
    </xf>
    <xf numFmtId="20" fontId="14" fillId="6" borderId="17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vertical="center" wrapText="1"/>
    </xf>
    <xf numFmtId="164" fontId="14" fillId="13" borderId="11" xfId="0" applyNumberFormat="1" applyFont="1" applyFill="1" applyBorder="1" applyAlignment="1">
      <alignment horizontal="center" vertical="center" wrapText="1"/>
    </xf>
    <xf numFmtId="164" fontId="15" fillId="13" borderId="11" xfId="0" applyNumberFormat="1" applyFont="1" applyFill="1" applyBorder="1" applyAlignment="1">
      <alignment horizontal="center" vertical="center" wrapText="1"/>
    </xf>
    <xf numFmtId="0" fontId="14" fillId="13" borderId="11" xfId="0" applyFont="1" applyFill="1" applyBorder="1" applyAlignment="1">
      <alignment horizontal="center" vertical="center" wrapText="1"/>
    </xf>
    <xf numFmtId="49" fontId="14" fillId="13" borderId="11" xfId="0" applyNumberFormat="1" applyFont="1" applyFill="1" applyBorder="1" applyAlignment="1">
      <alignment horizontal="left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4" fillId="13" borderId="41" xfId="0" applyNumberFormat="1" applyFont="1" applyFill="1" applyBorder="1" applyAlignment="1">
      <alignment horizontal="center" vertical="center" wrapText="1"/>
    </xf>
    <xf numFmtId="0" fontId="14" fillId="13" borderId="37" xfId="0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vertical="center" wrapText="1"/>
    </xf>
    <xf numFmtId="164" fontId="14" fillId="13" borderId="20" xfId="0" applyNumberFormat="1" applyFont="1" applyFill="1" applyBorder="1" applyAlignment="1">
      <alignment horizontal="center" vertical="center" wrapText="1"/>
    </xf>
    <xf numFmtId="164" fontId="15" fillId="13" borderId="20" xfId="0" applyNumberFormat="1" applyFont="1" applyFill="1" applyBorder="1" applyAlignment="1">
      <alignment horizontal="center" vertical="center" wrapText="1"/>
    </xf>
    <xf numFmtId="0" fontId="14" fillId="13" borderId="20" xfId="0" applyFont="1" applyFill="1" applyBorder="1" applyAlignment="1">
      <alignment horizontal="center" vertical="center" wrapText="1"/>
    </xf>
    <xf numFmtId="49" fontId="14" fillId="13" borderId="20" xfId="0" applyNumberFormat="1" applyFont="1" applyFill="1" applyBorder="1" applyAlignment="1">
      <alignment horizontal="left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4" fillId="13" borderId="21" xfId="0" applyNumberFormat="1" applyFont="1" applyFill="1" applyBorder="1" applyAlignment="1">
      <alignment horizontal="center" vertical="center" wrapText="1"/>
    </xf>
    <xf numFmtId="0" fontId="14" fillId="12" borderId="34" xfId="0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vertical="center" wrapText="1"/>
    </xf>
    <xf numFmtId="164" fontId="14" fillId="12" borderId="16" xfId="0" applyNumberFormat="1" applyFont="1" applyFill="1" applyBorder="1" applyAlignment="1">
      <alignment horizontal="center" vertical="center" wrapText="1"/>
    </xf>
    <xf numFmtId="164" fontId="15" fillId="12" borderId="16" xfId="0" applyNumberFormat="1" applyFont="1" applyFill="1" applyBorder="1" applyAlignment="1">
      <alignment horizontal="center" vertical="center" wrapText="1"/>
    </xf>
    <xf numFmtId="0" fontId="14" fillId="12" borderId="16" xfId="0" applyFont="1" applyFill="1" applyBorder="1" applyAlignment="1">
      <alignment horizontal="center" vertical="center" wrapText="1"/>
    </xf>
    <xf numFmtId="49" fontId="14" fillId="12" borderId="16" xfId="0" applyNumberFormat="1" applyFont="1" applyFill="1" applyBorder="1" applyAlignment="1">
      <alignment horizontal="left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4" fillId="12" borderId="17" xfId="0" applyNumberFormat="1" applyFont="1" applyFill="1" applyBorder="1" applyAlignment="1">
      <alignment horizontal="center" vertical="center" wrapText="1"/>
    </xf>
    <xf numFmtId="0" fontId="14" fillId="12" borderId="40" xfId="0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vertical="center" wrapText="1"/>
    </xf>
    <xf numFmtId="164" fontId="14" fillId="12" borderId="11" xfId="0" applyNumberFormat="1" applyFont="1" applyFill="1" applyBorder="1" applyAlignment="1">
      <alignment horizontal="center" vertical="center" wrapText="1"/>
    </xf>
    <xf numFmtId="164" fontId="15" fillId="12" borderId="11" xfId="0" applyNumberFormat="1" applyFont="1" applyFill="1" applyBorder="1" applyAlignment="1">
      <alignment horizontal="center" vertical="center" wrapText="1"/>
    </xf>
    <xf numFmtId="0" fontId="14" fillId="12" borderId="11" xfId="0" applyFont="1" applyFill="1" applyBorder="1" applyAlignment="1">
      <alignment horizontal="center" vertical="center" wrapText="1"/>
    </xf>
    <xf numFmtId="49" fontId="14" fillId="12" borderId="11" xfId="0" applyNumberFormat="1" applyFont="1" applyFill="1" applyBorder="1" applyAlignment="1">
      <alignment horizontal="left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4" fillId="12" borderId="41" xfId="0" applyNumberFormat="1" applyFont="1" applyFill="1" applyBorder="1" applyAlignment="1">
      <alignment horizontal="center" vertical="center" wrapText="1"/>
    </xf>
    <xf numFmtId="49" fontId="15" fillId="6" borderId="21" xfId="0" applyNumberFormat="1" applyFont="1" applyFill="1" applyBorder="1" applyAlignment="1">
      <alignment horizontal="center" vertical="center" wrapText="1"/>
    </xf>
    <xf numFmtId="20" fontId="14" fillId="7" borderId="17" xfId="0" applyNumberFormat="1" applyFont="1" applyFill="1" applyBorder="1" applyAlignment="1">
      <alignment horizontal="center" vertical="center" wrapText="1"/>
    </xf>
    <xf numFmtId="20" fontId="14" fillId="7" borderId="27" xfId="0" applyNumberFormat="1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0" fontId="14" fillId="9" borderId="39" xfId="0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vertical="center" wrapText="1"/>
    </xf>
    <xf numFmtId="164" fontId="14" fillId="9" borderId="10" xfId="0" applyNumberFormat="1" applyFont="1" applyFill="1" applyBorder="1" applyAlignment="1">
      <alignment horizontal="center" vertical="center" wrapText="1"/>
    </xf>
    <xf numFmtId="164" fontId="15" fillId="9" borderId="10" xfId="0" applyNumberFormat="1" applyFont="1" applyFill="1" applyBorder="1" applyAlignment="1">
      <alignment horizontal="center" vertical="center" wrapText="1"/>
    </xf>
    <xf numFmtId="0" fontId="14" fillId="9" borderId="10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left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4" fillId="9" borderId="27" xfId="0" applyNumberFormat="1" applyFont="1" applyFill="1" applyBorder="1" applyAlignment="1">
      <alignment horizontal="center" vertical="center" wrapText="1"/>
    </xf>
    <xf numFmtId="20" fontId="14" fillId="9" borderId="27" xfId="0" applyNumberFormat="1" applyFont="1" applyFill="1" applyBorder="1" applyAlignment="1">
      <alignment horizontal="center" vertical="center" wrapText="1"/>
    </xf>
    <xf numFmtId="0" fontId="19" fillId="7" borderId="13" xfId="0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left" vertical="center" wrapText="1"/>
    </xf>
    <xf numFmtId="49" fontId="19" fillId="7" borderId="13" xfId="0" applyNumberFormat="1" applyFont="1" applyFill="1" applyBorder="1" applyAlignment="1">
      <alignment horizontal="left"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left" vertical="center" wrapText="1"/>
    </xf>
    <xf numFmtId="0" fontId="16" fillId="6" borderId="24" xfId="0" applyFont="1" applyFill="1" applyBorder="1" applyAlignment="1">
      <alignment horizontal="center" vertical="center" wrapText="1"/>
    </xf>
    <xf numFmtId="20" fontId="14" fillId="6" borderId="25" xfId="0" applyNumberFormat="1" applyFont="1" applyFill="1" applyBorder="1" applyAlignment="1">
      <alignment horizontal="center" vertical="center" wrapText="1"/>
    </xf>
    <xf numFmtId="0" fontId="14" fillId="14" borderId="9" xfId="0" applyFont="1" applyFill="1" applyBorder="1" applyAlignment="1">
      <alignment horizontal="center" vertical="center" wrapText="1"/>
    </xf>
    <xf numFmtId="0" fontId="14" fillId="14" borderId="2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vertical="center" wrapText="1"/>
    </xf>
    <xf numFmtId="164" fontId="14" fillId="14" borderId="13" xfId="0" applyNumberFormat="1" applyFont="1" applyFill="1" applyBorder="1" applyAlignment="1">
      <alignment horizontal="center" vertical="center" wrapText="1"/>
    </xf>
    <xf numFmtId="164" fontId="15" fillId="14" borderId="13" xfId="0" applyNumberFormat="1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49" fontId="14" fillId="14" borderId="13" xfId="0" applyNumberFormat="1" applyFont="1" applyFill="1" applyBorder="1" applyAlignment="1">
      <alignment horizontal="left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4" fillId="14" borderId="14" xfId="0" applyNumberFormat="1" applyFont="1" applyFill="1" applyBorder="1" applyAlignment="1">
      <alignment horizontal="center" vertical="center" wrapText="1"/>
    </xf>
    <xf numFmtId="20" fontId="14" fillId="14" borderId="14" xfId="0" applyNumberFormat="1" applyFont="1" applyFill="1" applyBorder="1" applyAlignment="1">
      <alignment horizontal="center" vertical="center" wrapText="1"/>
    </xf>
    <xf numFmtId="164" fontId="19" fillId="6" borderId="18" xfId="0" applyNumberFormat="1" applyFont="1" applyFill="1" applyBorder="1" applyAlignment="1">
      <alignment horizontal="center" vertical="center" wrapText="1"/>
    </xf>
    <xf numFmtId="164" fontId="19" fillId="7" borderId="13" xfId="0" applyNumberFormat="1" applyFont="1" applyFill="1" applyBorder="1" applyAlignment="1">
      <alignment horizontal="center" vertical="center" wrapText="1"/>
    </xf>
    <xf numFmtId="164" fontId="19" fillId="6" borderId="20" xfId="0" applyNumberFormat="1" applyFont="1" applyFill="1" applyBorder="1" applyAlignment="1">
      <alignment horizontal="center" vertical="center" wrapText="1"/>
    </xf>
    <xf numFmtId="164" fontId="19" fillId="6" borderId="1" xfId="0" applyNumberFormat="1" applyFont="1" applyFill="1" applyBorder="1" applyAlignment="1">
      <alignment horizontal="center" vertical="center" wrapText="1"/>
    </xf>
    <xf numFmtId="164" fontId="19" fillId="7" borderId="20" xfId="0" applyNumberFormat="1" applyFont="1" applyFill="1" applyBorder="1" applyAlignment="1">
      <alignment horizontal="center" vertical="center" wrapText="1"/>
    </xf>
    <xf numFmtId="164" fontId="19" fillId="7" borderId="18" xfId="0" applyNumberFormat="1" applyFont="1" applyFill="1" applyBorder="1" applyAlignment="1">
      <alignment horizontal="center" vertical="center" wrapText="1"/>
    </xf>
    <xf numFmtId="164" fontId="19" fillId="7" borderId="1" xfId="0" applyNumberFormat="1" applyFont="1" applyFill="1" applyBorder="1" applyAlignment="1">
      <alignment horizontal="center" vertical="center" wrapText="1"/>
    </xf>
    <xf numFmtId="49" fontId="15" fillId="7" borderId="11" xfId="0" applyNumberFormat="1" applyFont="1" applyFill="1" applyBorder="1" applyAlignment="1">
      <alignment horizontal="left" vertical="center" wrapText="1"/>
    </xf>
    <xf numFmtId="164" fontId="19" fillId="6" borderId="13" xfId="0" applyNumberFormat="1" applyFont="1" applyFill="1" applyBorder="1" applyAlignment="1">
      <alignment horizontal="center" vertical="center" wrapText="1"/>
    </xf>
    <xf numFmtId="4" fontId="14" fillId="6" borderId="13" xfId="0" applyNumberFormat="1" applyFont="1" applyFill="1" applyBorder="1" applyAlignment="1">
      <alignment horizontal="center" vertical="center" wrapText="1"/>
    </xf>
    <xf numFmtId="0" fontId="14" fillId="15" borderId="37" xfId="0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vertical="center" wrapText="1"/>
    </xf>
    <xf numFmtId="164" fontId="14" fillId="15" borderId="20" xfId="0" applyNumberFormat="1" applyFont="1" applyFill="1" applyBorder="1" applyAlignment="1">
      <alignment horizontal="center" vertical="center" wrapText="1"/>
    </xf>
    <xf numFmtId="164" fontId="15" fillId="15" borderId="20" xfId="0" applyNumberFormat="1" applyFont="1" applyFill="1" applyBorder="1" applyAlignment="1">
      <alignment horizontal="center" vertical="center" wrapText="1"/>
    </xf>
    <xf numFmtId="0" fontId="14" fillId="15" borderId="20" xfId="0" applyFont="1" applyFill="1" applyBorder="1" applyAlignment="1">
      <alignment horizontal="center" vertical="center" wrapText="1"/>
    </xf>
    <xf numFmtId="0" fontId="15" fillId="15" borderId="20" xfId="0" applyFont="1" applyFill="1" applyBorder="1" applyAlignment="1">
      <alignment horizontal="center" vertical="center" wrapText="1"/>
    </xf>
    <xf numFmtId="20" fontId="14" fillId="15" borderId="21" xfId="0" applyNumberFormat="1" applyFont="1" applyFill="1" applyBorder="1" applyAlignment="1">
      <alignment horizontal="center" vertical="center" wrapText="1"/>
    </xf>
    <xf numFmtId="0" fontId="14" fillId="15" borderId="34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vertical="center" wrapText="1"/>
    </xf>
    <xf numFmtId="164" fontId="14" fillId="15" borderId="1" xfId="0" applyNumberFormat="1" applyFont="1" applyFill="1" applyBorder="1" applyAlignment="1">
      <alignment horizontal="center" vertical="center" wrapText="1"/>
    </xf>
    <xf numFmtId="164" fontId="15" fillId="15" borderId="1" xfId="0" applyNumberFormat="1" applyFont="1" applyFill="1" applyBorder="1" applyAlignment="1">
      <alignment horizontal="center" vertical="center" wrapText="1"/>
    </xf>
    <xf numFmtId="0" fontId="14" fillId="15" borderId="16" xfId="0" applyFont="1" applyFill="1" applyBorder="1" applyAlignment="1">
      <alignment horizontal="center" vertical="center" wrapText="1"/>
    </xf>
    <xf numFmtId="0" fontId="15" fillId="15" borderId="16" xfId="0" applyFont="1" applyFill="1" applyBorder="1" applyAlignment="1">
      <alignment horizontal="center" vertical="center" wrapText="1"/>
    </xf>
    <xf numFmtId="0" fontId="14" fillId="15" borderId="1" xfId="0" applyFont="1" applyFill="1" applyBorder="1" applyAlignment="1">
      <alignment horizontal="center" vertical="center" wrapText="1"/>
    </xf>
    <xf numFmtId="20" fontId="14" fillId="15" borderId="22" xfId="0" applyNumberFormat="1" applyFont="1" applyFill="1" applyBorder="1" applyAlignment="1">
      <alignment horizontal="center" vertical="center" wrapText="1"/>
    </xf>
    <xf numFmtId="0" fontId="14" fillId="15" borderId="40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vertical="center" wrapText="1"/>
    </xf>
    <xf numFmtId="164" fontId="14" fillId="15" borderId="18" xfId="0" applyNumberFormat="1" applyFont="1" applyFill="1" applyBorder="1" applyAlignment="1">
      <alignment horizontal="center" vertical="center" wrapText="1"/>
    </xf>
    <xf numFmtId="164" fontId="15" fillId="15" borderId="18" xfId="0" applyNumberFormat="1" applyFont="1" applyFill="1" applyBorder="1" applyAlignment="1">
      <alignment horizontal="center" vertical="center" wrapText="1"/>
    </xf>
    <xf numFmtId="0" fontId="14" fillId="15" borderId="11" xfId="0" applyFont="1" applyFill="1" applyBorder="1" applyAlignment="1">
      <alignment horizontal="center" vertical="center" wrapText="1"/>
    </xf>
    <xf numFmtId="0" fontId="15" fillId="15" borderId="11" xfId="0" applyFont="1" applyFill="1" applyBorder="1" applyAlignment="1">
      <alignment horizontal="center" vertical="center" wrapText="1"/>
    </xf>
    <xf numFmtId="0" fontId="14" fillId="15" borderId="18" xfId="0" applyFont="1" applyFill="1" applyBorder="1" applyAlignment="1">
      <alignment horizontal="center" vertical="center" wrapText="1"/>
    </xf>
    <xf numFmtId="20" fontId="14" fillId="15" borderId="19" xfId="0" applyNumberFormat="1" applyFont="1" applyFill="1" applyBorder="1" applyAlignment="1">
      <alignment horizontal="center" vertical="center" wrapText="1"/>
    </xf>
    <xf numFmtId="20" fontId="14" fillId="6" borderId="27" xfId="0" applyNumberFormat="1" applyFont="1" applyFill="1" applyBorder="1" applyAlignment="1">
      <alignment horizontal="center" vertical="center" wrapText="1"/>
    </xf>
    <xf numFmtId="20" fontId="14" fillId="7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20" fillId="6" borderId="16" xfId="0" applyFont="1" applyFill="1" applyBorder="1" applyAlignment="1">
      <alignment horizontal="center" vertical="center" wrapText="1"/>
    </xf>
    <xf numFmtId="0" fontId="20" fillId="6" borderId="11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4" fillId="9" borderId="14" xfId="0" applyNumberFormat="1" applyFont="1" applyFill="1" applyBorder="1" applyAlignment="1">
      <alignment horizontal="center" vertical="center" wrapText="1"/>
    </xf>
    <xf numFmtId="20" fontId="14" fillId="9" borderId="14" xfId="0" applyNumberFormat="1" applyFont="1" applyFill="1" applyBorder="1" applyAlignment="1">
      <alignment horizontal="center" vertical="center" wrapText="1"/>
    </xf>
    <xf numFmtId="0" fontId="14" fillId="9" borderId="37" xfId="0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vertical="center" wrapText="1"/>
    </xf>
    <xf numFmtId="164" fontId="14" fillId="9" borderId="20" xfId="0" applyNumberFormat="1" applyFont="1" applyFill="1" applyBorder="1" applyAlignment="1">
      <alignment horizontal="center" vertical="center" wrapText="1"/>
    </xf>
    <xf numFmtId="164" fontId="15" fillId="9" borderId="20" xfId="0" applyNumberFormat="1" applyFont="1" applyFill="1" applyBorder="1" applyAlignment="1">
      <alignment horizontal="center" vertical="center" wrapText="1"/>
    </xf>
    <xf numFmtId="0" fontId="14" fillId="9" borderId="20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49" fontId="14" fillId="9" borderId="21" xfId="0" applyNumberFormat="1" applyFont="1" applyFill="1" applyBorder="1" applyAlignment="1">
      <alignment horizontal="center" vertical="center" wrapText="1"/>
    </xf>
    <xf numFmtId="20" fontId="14" fillId="9" borderId="21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4" fillId="9" borderId="25" xfId="0" applyNumberFormat="1" applyFont="1" applyFill="1" applyBorder="1" applyAlignment="1">
      <alignment horizontal="center" vertical="center" wrapText="1"/>
    </xf>
    <xf numFmtId="20" fontId="14" fillId="9" borderId="25" xfId="0" applyNumberFormat="1" applyFont="1" applyFill="1" applyBorder="1" applyAlignment="1">
      <alignment horizontal="center" vertical="center" wrapText="1"/>
    </xf>
    <xf numFmtId="0" fontId="14" fillId="7" borderId="33" xfId="0" applyFont="1" applyFill="1" applyBorder="1" applyAlignment="1">
      <alignment horizontal="center" vertical="center" wrapText="1"/>
    </xf>
    <xf numFmtId="49" fontId="19" fillId="7" borderId="14" xfId="0" applyNumberFormat="1" applyFont="1" applyFill="1" applyBorder="1" applyAlignment="1">
      <alignment horizontal="center" vertical="center" wrapText="1"/>
    </xf>
    <xf numFmtId="2" fontId="14" fillId="7" borderId="1" xfId="0" applyNumberFormat="1" applyFont="1" applyFill="1" applyBorder="1" applyAlignment="1">
      <alignment horizontal="center" vertical="center" wrapText="1"/>
    </xf>
    <xf numFmtId="2" fontId="15" fillId="7" borderId="1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2" fontId="14" fillId="7" borderId="11" xfId="0" applyNumberFormat="1" applyFont="1" applyFill="1" applyBorder="1" applyAlignment="1">
      <alignment horizontal="center" vertical="center" wrapText="1"/>
    </xf>
    <xf numFmtId="2" fontId="15" fillId="7" borderId="11" xfId="0" applyNumberFormat="1" applyFont="1" applyFill="1" applyBorder="1" applyAlignment="1">
      <alignment horizontal="center" vertical="center" wrapText="1"/>
    </xf>
    <xf numFmtId="2" fontId="15" fillId="6" borderId="16" xfId="0" applyNumberFormat="1" applyFont="1" applyFill="1" applyBorder="1" applyAlignment="1">
      <alignment horizontal="center" vertical="center" wrapText="1"/>
    </xf>
    <xf numFmtId="2" fontId="14" fillId="6" borderId="11" xfId="0" applyNumberFormat="1" applyFont="1" applyFill="1" applyBorder="1" applyAlignment="1">
      <alignment horizontal="center" vertical="center" wrapText="1"/>
    </xf>
    <xf numFmtId="2" fontId="15" fillId="6" borderId="11" xfId="0" applyNumberFormat="1" applyFont="1" applyFill="1" applyBorder="1" applyAlignment="1">
      <alignment horizontal="center" vertical="center" wrapText="1"/>
    </xf>
    <xf numFmtId="2" fontId="14" fillId="7" borderId="16" xfId="0" applyNumberFormat="1" applyFont="1" applyFill="1" applyBorder="1" applyAlignment="1">
      <alignment horizontal="center" vertical="center" wrapText="1"/>
    </xf>
    <xf numFmtId="2" fontId="15" fillId="7" borderId="16" xfId="0" applyNumberFormat="1" applyFont="1" applyFill="1" applyBorder="1" applyAlignment="1">
      <alignment horizontal="center" vertical="center" wrapText="1"/>
    </xf>
    <xf numFmtId="164" fontId="19" fillId="7" borderId="11" xfId="0" applyNumberFormat="1" applyFont="1" applyFill="1" applyBorder="1" applyAlignment="1">
      <alignment horizontal="center" vertical="center" wrapText="1"/>
    </xf>
    <xf numFmtId="164" fontId="19" fillId="6" borderId="11" xfId="0" applyNumberFormat="1" applyFont="1" applyFill="1" applyBorder="1" applyAlignment="1">
      <alignment horizontal="center" vertical="center" wrapText="1"/>
    </xf>
    <xf numFmtId="164" fontId="19" fillId="7" borderId="16" xfId="0" applyNumberFormat="1" applyFont="1" applyFill="1" applyBorder="1" applyAlignment="1">
      <alignment horizontal="center" vertical="center" wrapText="1"/>
    </xf>
    <xf numFmtId="164" fontId="19" fillId="7" borderId="24" xfId="0" applyNumberFormat="1" applyFont="1" applyFill="1" applyBorder="1" applyAlignment="1">
      <alignment horizontal="center" vertical="center" wrapText="1"/>
    </xf>
    <xf numFmtId="0" fontId="14" fillId="7" borderId="0" xfId="0" applyFont="1" applyFill="1" applyAlignment="1">
      <alignment horizontal="center" vertical="center" wrapText="1"/>
    </xf>
    <xf numFmtId="164" fontId="14" fillId="7" borderId="50" xfId="0" applyNumberFormat="1" applyFont="1" applyFill="1" applyBorder="1" applyAlignment="1">
      <alignment horizontal="center" vertical="center" wrapText="1"/>
    </xf>
    <xf numFmtId="0" fontId="20" fillId="6" borderId="24" xfId="0" applyFont="1" applyFill="1" applyBorder="1" applyAlignment="1">
      <alignment horizontal="center" vertical="center" wrapText="1"/>
    </xf>
    <xf numFmtId="0" fontId="21" fillId="7" borderId="16" xfId="0" applyFont="1" applyFill="1" applyBorder="1" applyAlignment="1">
      <alignment horizontal="center" vertical="center" wrapText="1"/>
    </xf>
    <xf numFmtId="0" fontId="21" fillId="7" borderId="24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vertical="center" wrapText="1"/>
    </xf>
    <xf numFmtId="164" fontId="14" fillId="0" borderId="16" xfId="0" applyNumberFormat="1" applyFont="1" applyBorder="1" applyAlignment="1">
      <alignment horizontal="center" vertical="center" wrapText="1"/>
    </xf>
    <xf numFmtId="164" fontId="15" fillId="0" borderId="16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left" vertical="center" wrapText="1"/>
    </xf>
    <xf numFmtId="0" fontId="16" fillId="0" borderId="16" xfId="0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  <xf numFmtId="0" fontId="14" fillId="16" borderId="37" xfId="0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vertical="center" wrapText="1"/>
    </xf>
    <xf numFmtId="164" fontId="14" fillId="16" borderId="20" xfId="0" applyNumberFormat="1" applyFont="1" applyFill="1" applyBorder="1" applyAlignment="1">
      <alignment horizontal="center" vertical="center" wrapText="1"/>
    </xf>
    <xf numFmtId="164" fontId="15" fillId="16" borderId="20" xfId="0" applyNumberFormat="1" applyFont="1" applyFill="1" applyBorder="1" applyAlignment="1">
      <alignment horizontal="center" vertical="center" wrapText="1"/>
    </xf>
    <xf numFmtId="0" fontId="14" fillId="16" borderId="20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49" fontId="14" fillId="16" borderId="21" xfId="0" applyNumberFormat="1" applyFont="1" applyFill="1" applyBorder="1" applyAlignment="1">
      <alignment horizontal="center" vertical="center" wrapText="1"/>
    </xf>
    <xf numFmtId="20" fontId="14" fillId="16" borderId="21" xfId="0" applyNumberFormat="1" applyFont="1" applyFill="1" applyBorder="1" applyAlignment="1">
      <alignment horizontal="center" vertical="center" wrapText="1"/>
    </xf>
    <xf numFmtId="0" fontId="14" fillId="16" borderId="40" xfId="0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vertical="center" wrapText="1"/>
    </xf>
    <xf numFmtId="164" fontId="14" fillId="16" borderId="11" xfId="0" applyNumberFormat="1" applyFont="1" applyFill="1" applyBorder="1" applyAlignment="1">
      <alignment horizontal="center" vertical="center" wrapText="1"/>
    </xf>
    <xf numFmtId="164" fontId="15" fillId="16" borderId="11" xfId="0" applyNumberFormat="1" applyFont="1" applyFill="1" applyBorder="1" applyAlignment="1">
      <alignment horizontal="center" vertical="center" wrapText="1"/>
    </xf>
    <xf numFmtId="0" fontId="14" fillId="16" borderId="11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49" fontId="14" fillId="16" borderId="41" xfId="0" applyNumberFormat="1" applyFont="1" applyFill="1" applyBorder="1" applyAlignment="1">
      <alignment horizontal="center" vertical="center" wrapText="1"/>
    </xf>
    <xf numFmtId="20" fontId="14" fillId="16" borderId="41" xfId="0" applyNumberFormat="1" applyFont="1" applyFill="1" applyBorder="1" applyAlignment="1">
      <alignment horizontal="center" vertical="center" wrapText="1"/>
    </xf>
    <xf numFmtId="0" fontId="14" fillId="16" borderId="50" xfId="0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vertical="center" wrapText="1"/>
    </xf>
    <xf numFmtId="164" fontId="14" fillId="16" borderId="24" xfId="0" applyNumberFormat="1" applyFont="1" applyFill="1" applyBorder="1" applyAlignment="1">
      <alignment horizontal="center" vertical="center" wrapText="1"/>
    </xf>
    <xf numFmtId="164" fontId="15" fillId="16" borderId="24" xfId="0" applyNumberFormat="1" applyFont="1" applyFill="1" applyBorder="1" applyAlignment="1">
      <alignment horizontal="center" vertical="center" wrapText="1"/>
    </xf>
    <xf numFmtId="0" fontId="14" fillId="16" borderId="24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49" fontId="14" fillId="16" borderId="25" xfId="0" applyNumberFormat="1" applyFont="1" applyFill="1" applyBorder="1" applyAlignment="1">
      <alignment horizontal="center" vertical="center" wrapText="1"/>
    </xf>
    <xf numFmtId="20" fontId="14" fillId="16" borderId="25" xfId="0" applyNumberFormat="1" applyFont="1" applyFill="1" applyBorder="1" applyAlignment="1">
      <alignment horizontal="center" vertical="center" wrapText="1"/>
    </xf>
    <xf numFmtId="0" fontId="14" fillId="17" borderId="9" xfId="0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vertical="center" wrapText="1"/>
    </xf>
    <xf numFmtId="164" fontId="14" fillId="17" borderId="13" xfId="0" applyNumberFormat="1" applyFont="1" applyFill="1" applyBorder="1" applyAlignment="1">
      <alignment horizontal="center" vertical="center" wrapText="1"/>
    </xf>
    <xf numFmtId="164" fontId="15" fillId="17" borderId="13" xfId="0" applyNumberFormat="1" applyFont="1" applyFill="1" applyBorder="1" applyAlignment="1">
      <alignment horizontal="center" vertical="center" wrapText="1"/>
    </xf>
    <xf numFmtId="0" fontId="14" fillId="17" borderId="13" xfId="0" applyFont="1" applyFill="1" applyBorder="1" applyAlignment="1">
      <alignment horizontal="center" vertical="center" wrapText="1"/>
    </xf>
    <xf numFmtId="49" fontId="14" fillId="17" borderId="13" xfId="0" applyNumberFormat="1" applyFont="1" applyFill="1" applyBorder="1" applyAlignment="1">
      <alignment horizontal="left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4" fillId="17" borderId="14" xfId="0" applyNumberFormat="1" applyFont="1" applyFill="1" applyBorder="1" applyAlignment="1">
      <alignment horizontal="center" vertical="center" wrapText="1"/>
    </xf>
    <xf numFmtId="20" fontId="14" fillId="17" borderId="14" xfId="0" applyNumberFormat="1" applyFont="1" applyFill="1" applyBorder="1" applyAlignment="1">
      <alignment horizontal="center" vertical="center" wrapText="1"/>
    </xf>
    <xf numFmtId="0" fontId="14" fillId="16" borderId="9" xfId="0" applyFont="1" applyFill="1" applyBorder="1" applyAlignment="1">
      <alignment horizontal="center" vertical="center" wrapText="1"/>
    </xf>
    <xf numFmtId="0" fontId="14" fillId="16" borderId="26" xfId="0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vertical="center" wrapText="1"/>
    </xf>
    <xf numFmtId="164" fontId="14" fillId="16" borderId="13" xfId="0" applyNumberFormat="1" applyFont="1" applyFill="1" applyBorder="1" applyAlignment="1">
      <alignment horizontal="center" vertical="center" wrapText="1"/>
    </xf>
    <xf numFmtId="164" fontId="15" fillId="16" borderId="13" xfId="0" applyNumberFormat="1" applyFont="1" applyFill="1" applyBorder="1" applyAlignment="1">
      <alignment horizontal="center" vertical="center" wrapText="1"/>
    </xf>
    <xf numFmtId="0" fontId="14" fillId="16" borderId="13" xfId="0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left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4" fillId="16" borderId="14" xfId="0" applyNumberFormat="1" applyFont="1" applyFill="1" applyBorder="1" applyAlignment="1">
      <alignment horizontal="center" vertical="center" wrapText="1"/>
    </xf>
    <xf numFmtId="20" fontId="14" fillId="16" borderId="14" xfId="0" applyNumberFormat="1" applyFont="1" applyFill="1" applyBorder="1" applyAlignment="1">
      <alignment horizontal="center" vertical="center" wrapText="1"/>
    </xf>
    <xf numFmtId="0" fontId="14" fillId="16" borderId="34" xfId="0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vertical="center" wrapText="1"/>
    </xf>
    <xf numFmtId="164" fontId="14" fillId="16" borderId="16" xfId="0" applyNumberFormat="1" applyFont="1" applyFill="1" applyBorder="1" applyAlignment="1">
      <alignment horizontal="center" vertical="center" wrapText="1"/>
    </xf>
    <xf numFmtId="164" fontId="15" fillId="16" borderId="16" xfId="0" applyNumberFormat="1" applyFont="1" applyFill="1" applyBorder="1" applyAlignment="1">
      <alignment horizontal="center" vertical="center" wrapText="1"/>
    </xf>
    <xf numFmtId="0" fontId="14" fillId="16" borderId="16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49" fontId="14" fillId="16" borderId="17" xfId="0" applyNumberFormat="1" applyFont="1" applyFill="1" applyBorder="1" applyAlignment="1">
      <alignment horizontal="center" vertical="center" wrapText="1"/>
    </xf>
    <xf numFmtId="20" fontId="14" fillId="16" borderId="17" xfId="0" applyNumberFormat="1" applyFont="1" applyFill="1" applyBorder="1" applyAlignment="1">
      <alignment horizontal="center" vertical="center" wrapText="1"/>
    </xf>
    <xf numFmtId="0" fontId="14" fillId="17" borderId="37" xfId="0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vertical="center" wrapText="1"/>
    </xf>
    <xf numFmtId="164" fontId="14" fillId="17" borderId="20" xfId="0" applyNumberFormat="1" applyFont="1" applyFill="1" applyBorder="1" applyAlignment="1">
      <alignment horizontal="center" vertical="center" wrapText="1"/>
    </xf>
    <xf numFmtId="164" fontId="15" fillId="17" borderId="20" xfId="0" applyNumberFormat="1" applyFont="1" applyFill="1" applyBorder="1" applyAlignment="1">
      <alignment horizontal="center" vertical="center" wrapText="1"/>
    </xf>
    <xf numFmtId="0" fontId="14" fillId="17" borderId="20" xfId="0" applyFont="1" applyFill="1" applyBorder="1" applyAlignment="1">
      <alignment horizontal="center" vertical="center" wrapText="1"/>
    </xf>
    <xf numFmtId="49" fontId="14" fillId="17" borderId="20" xfId="0" applyNumberFormat="1" applyFont="1" applyFill="1" applyBorder="1" applyAlignment="1">
      <alignment horizontal="left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4" fillId="17" borderId="21" xfId="0" applyNumberFormat="1" applyFont="1" applyFill="1" applyBorder="1" applyAlignment="1">
      <alignment horizontal="center" vertical="center" wrapText="1"/>
    </xf>
    <xf numFmtId="20" fontId="14" fillId="17" borderId="21" xfId="0" applyNumberFormat="1" applyFont="1" applyFill="1" applyBorder="1" applyAlignment="1">
      <alignment horizontal="center" vertical="center" wrapText="1"/>
    </xf>
    <xf numFmtId="0" fontId="14" fillId="17" borderId="40" xfId="0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vertical="center" wrapText="1"/>
    </xf>
    <xf numFmtId="164" fontId="14" fillId="17" borderId="11" xfId="0" applyNumberFormat="1" applyFont="1" applyFill="1" applyBorder="1" applyAlignment="1">
      <alignment horizontal="center" vertical="center" wrapText="1"/>
    </xf>
    <xf numFmtId="164" fontId="15" fillId="17" borderId="11" xfId="0" applyNumberFormat="1" applyFont="1" applyFill="1" applyBorder="1" applyAlignment="1">
      <alignment horizontal="center" vertical="center" wrapText="1"/>
    </xf>
    <xf numFmtId="0" fontId="14" fillId="17" borderId="11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left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4" fillId="17" borderId="41" xfId="0" applyNumberFormat="1" applyFont="1" applyFill="1" applyBorder="1" applyAlignment="1">
      <alignment horizontal="center" vertical="center" wrapText="1"/>
    </xf>
    <xf numFmtId="20" fontId="14" fillId="17" borderId="41" xfId="0" applyNumberFormat="1" applyFont="1" applyFill="1" applyBorder="1" applyAlignment="1">
      <alignment horizontal="center" vertical="center" wrapText="1"/>
    </xf>
    <xf numFmtId="49" fontId="14" fillId="16" borderId="20" xfId="0" applyNumberFormat="1" applyFont="1" applyFill="1" applyBorder="1" applyAlignment="1">
      <alignment horizontal="left" vertical="center" wrapText="1"/>
    </xf>
    <xf numFmtId="49" fontId="14" fillId="16" borderId="11" xfId="0" applyNumberFormat="1" applyFont="1" applyFill="1" applyBorder="1" applyAlignment="1">
      <alignment horizontal="left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39" xfId="0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vertical="center" wrapText="1"/>
    </xf>
    <xf numFmtId="164" fontId="14" fillId="17" borderId="10" xfId="0" applyNumberFormat="1" applyFont="1" applyFill="1" applyBorder="1" applyAlignment="1">
      <alignment horizontal="center" vertical="center" wrapText="1"/>
    </xf>
    <xf numFmtId="164" fontId="15" fillId="17" borderId="10" xfId="0" applyNumberFormat="1" applyFont="1" applyFill="1" applyBorder="1" applyAlignment="1">
      <alignment horizontal="center" vertical="center" wrapText="1"/>
    </xf>
    <xf numFmtId="0" fontId="14" fillId="17" borderId="10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left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4" fillId="17" borderId="27" xfId="0" applyNumberFormat="1" applyFont="1" applyFill="1" applyBorder="1" applyAlignment="1">
      <alignment horizontal="center" vertical="center" wrapText="1"/>
    </xf>
    <xf numFmtId="20" fontId="14" fillId="17" borderId="27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left" vertical="center" wrapText="1"/>
    </xf>
    <xf numFmtId="49" fontId="14" fillId="16" borderId="24" xfId="0" applyNumberFormat="1" applyFont="1" applyFill="1" applyBorder="1" applyAlignment="1">
      <alignment horizontal="left" vertical="center" wrapText="1"/>
    </xf>
    <xf numFmtId="0" fontId="14" fillId="17" borderId="34" xfId="0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vertical="center" wrapText="1"/>
    </xf>
    <xf numFmtId="164" fontId="14" fillId="17" borderId="16" xfId="0" applyNumberFormat="1" applyFont="1" applyFill="1" applyBorder="1" applyAlignment="1">
      <alignment horizontal="center" vertical="center" wrapText="1"/>
    </xf>
    <xf numFmtId="164" fontId="15" fillId="17" borderId="16" xfId="0" applyNumberFormat="1" applyFont="1" applyFill="1" applyBorder="1" applyAlignment="1">
      <alignment horizontal="center" vertical="center" wrapText="1"/>
    </xf>
    <xf numFmtId="0" fontId="14" fillId="17" borderId="16" xfId="0" applyFont="1" applyFill="1" applyBorder="1" applyAlignment="1">
      <alignment horizontal="center" vertical="center" wrapText="1"/>
    </xf>
    <xf numFmtId="49" fontId="14" fillId="17" borderId="16" xfId="0" applyNumberFormat="1" applyFont="1" applyFill="1" applyBorder="1" applyAlignment="1">
      <alignment horizontal="left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center" vertical="center" wrapText="1"/>
    </xf>
    <xf numFmtId="20" fontId="14" fillId="17" borderId="17" xfId="0" applyNumberFormat="1" applyFont="1" applyFill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39" xfId="0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vertical="center" wrapText="1"/>
    </xf>
    <xf numFmtId="164" fontId="14" fillId="16" borderId="10" xfId="0" applyNumberFormat="1" applyFont="1" applyFill="1" applyBorder="1" applyAlignment="1">
      <alignment horizontal="center" vertical="center" wrapText="1"/>
    </xf>
    <xf numFmtId="164" fontId="15" fillId="16" borderId="10" xfId="0" applyNumberFormat="1" applyFont="1" applyFill="1" applyBorder="1" applyAlignment="1">
      <alignment horizontal="center" vertical="center" wrapText="1"/>
    </xf>
    <xf numFmtId="0" fontId="14" fillId="16" borderId="10" xfId="0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left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4" fillId="16" borderId="27" xfId="0" applyNumberFormat="1" applyFont="1" applyFill="1" applyBorder="1" applyAlignment="1">
      <alignment horizontal="center" vertical="center" wrapText="1"/>
    </xf>
    <xf numFmtId="20" fontId="14" fillId="16" borderId="27" xfId="0" applyNumberFormat="1" applyFont="1" applyFill="1" applyBorder="1" applyAlignment="1">
      <alignment horizontal="center" vertical="center" wrapText="1"/>
    </xf>
    <xf numFmtId="0" fontId="14" fillId="17" borderId="36" xfId="0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vertical="center" wrapText="1"/>
    </xf>
    <xf numFmtId="164" fontId="14" fillId="17" borderId="18" xfId="0" applyNumberFormat="1" applyFont="1" applyFill="1" applyBorder="1" applyAlignment="1">
      <alignment horizontal="center" vertical="center" wrapText="1"/>
    </xf>
    <xf numFmtId="164" fontId="15" fillId="17" borderId="18" xfId="0" applyNumberFormat="1" applyFont="1" applyFill="1" applyBorder="1" applyAlignment="1">
      <alignment horizontal="center" vertical="center" wrapText="1"/>
    </xf>
    <xf numFmtId="0" fontId="14" fillId="17" borderId="18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49" fontId="14" fillId="17" borderId="19" xfId="0" applyNumberFormat="1" applyFont="1" applyFill="1" applyBorder="1" applyAlignment="1">
      <alignment horizontal="center" vertical="center" wrapText="1"/>
    </xf>
    <xf numFmtId="20" fontId="14" fillId="17" borderId="19" xfId="0" applyNumberFormat="1" applyFont="1" applyFill="1" applyBorder="1" applyAlignment="1">
      <alignment horizontal="center" vertical="center" wrapText="1"/>
    </xf>
    <xf numFmtId="0" fontId="14" fillId="17" borderId="50" xfId="0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vertical="center" wrapText="1"/>
    </xf>
    <xf numFmtId="164" fontId="14" fillId="17" borderId="24" xfId="0" applyNumberFormat="1" applyFont="1" applyFill="1" applyBorder="1" applyAlignment="1">
      <alignment horizontal="center" vertical="center" wrapText="1"/>
    </xf>
    <xf numFmtId="164" fontId="15" fillId="17" borderId="24" xfId="0" applyNumberFormat="1" applyFont="1" applyFill="1" applyBorder="1" applyAlignment="1">
      <alignment horizontal="center" vertical="center" wrapText="1"/>
    </xf>
    <xf numFmtId="0" fontId="14" fillId="17" borderId="24" xfId="0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left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4" fillId="17" borderId="25" xfId="0" applyNumberFormat="1" applyFont="1" applyFill="1" applyBorder="1" applyAlignment="1">
      <alignment horizontal="center" vertical="center" wrapText="1"/>
    </xf>
    <xf numFmtId="20" fontId="14" fillId="17" borderId="25" xfId="0" applyNumberFormat="1" applyFont="1" applyFill="1" applyBorder="1" applyAlignment="1">
      <alignment horizontal="center" vertical="center" wrapText="1"/>
    </xf>
    <xf numFmtId="164" fontId="19" fillId="17" borderId="10" xfId="0" applyNumberFormat="1" applyFont="1" applyFill="1" applyBorder="1" applyAlignment="1">
      <alignment horizontal="center" vertical="center" wrapText="1"/>
    </xf>
    <xf numFmtId="2" fontId="14" fillId="17" borderId="16" xfId="0" applyNumberFormat="1" applyFont="1" applyFill="1" applyBorder="1" applyAlignment="1">
      <alignment horizontal="center" vertical="center" wrapText="1"/>
    </xf>
    <xf numFmtId="2" fontId="14" fillId="16" borderId="16" xfId="0" applyNumberFormat="1" applyFont="1" applyFill="1" applyBorder="1" applyAlignment="1">
      <alignment horizontal="center" vertical="center" wrapText="1"/>
    </xf>
    <xf numFmtId="2" fontId="15" fillId="16" borderId="16" xfId="0" applyNumberFormat="1" applyFont="1" applyFill="1" applyBorder="1" applyAlignment="1">
      <alignment horizontal="center" vertical="center" wrapText="1"/>
    </xf>
    <xf numFmtId="2" fontId="15" fillId="17" borderId="16" xfId="0" applyNumberFormat="1" applyFont="1" applyFill="1" applyBorder="1" applyAlignment="1">
      <alignment horizontal="center" vertical="center" wrapText="1"/>
    </xf>
    <xf numFmtId="0" fontId="14" fillId="16" borderId="48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horizontal="center" vertical="center" wrapText="1"/>
    </xf>
    <xf numFmtId="0" fontId="14" fillId="16" borderId="1" xfId="0" applyFont="1" applyFill="1" applyBorder="1" applyAlignment="1">
      <alignment vertical="center" wrapText="1"/>
    </xf>
    <xf numFmtId="164" fontId="14" fillId="16" borderId="1" xfId="0" applyNumberFormat="1" applyFont="1" applyFill="1" applyBorder="1" applyAlignment="1">
      <alignment horizontal="center" vertical="center" wrapText="1"/>
    </xf>
    <xf numFmtId="164" fontId="15" fillId="16" borderId="1" xfId="0" applyNumberFormat="1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4" fillId="16" borderId="32" xfId="0" applyFont="1" applyFill="1" applyBorder="1" applyAlignment="1">
      <alignment horizontal="center" vertical="center" wrapText="1"/>
    </xf>
    <xf numFmtId="49" fontId="14" fillId="16" borderId="22" xfId="0" applyNumberFormat="1" applyFont="1" applyFill="1" applyBorder="1" applyAlignment="1">
      <alignment horizontal="center" vertical="center" wrapText="1"/>
    </xf>
    <xf numFmtId="0" fontId="14" fillId="16" borderId="15" xfId="0" applyFont="1" applyFill="1" applyBorder="1" applyAlignment="1">
      <alignment horizontal="center" vertical="center" wrapText="1"/>
    </xf>
    <xf numFmtId="20" fontId="14" fillId="16" borderId="22" xfId="0" applyNumberFormat="1" applyFont="1" applyFill="1" applyBorder="1" applyAlignment="1">
      <alignment horizontal="center" vertical="center" wrapText="1"/>
    </xf>
    <xf numFmtId="2" fontId="14" fillId="16" borderId="11" xfId="0" applyNumberFormat="1" applyFont="1" applyFill="1" applyBorder="1" applyAlignment="1">
      <alignment horizontal="center" vertical="center" wrapText="1"/>
    </xf>
    <xf numFmtId="2" fontId="15" fillId="16" borderId="11" xfId="0" applyNumberFormat="1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horizontal="center" vertical="center" wrapText="1"/>
    </xf>
    <xf numFmtId="0" fontId="14" fillId="17" borderId="1" xfId="0" applyFont="1" applyFill="1" applyBorder="1" applyAlignment="1">
      <alignment vertical="center" wrapText="1"/>
    </xf>
    <xf numFmtId="164" fontId="14" fillId="17" borderId="1" xfId="0" applyNumberFormat="1" applyFont="1" applyFill="1" applyBorder="1" applyAlignment="1">
      <alignment horizontal="center" vertical="center" wrapText="1"/>
    </xf>
    <xf numFmtId="164" fontId="15" fillId="17" borderId="1" xfId="0" applyNumberFormat="1" applyFont="1" applyFill="1" applyBorder="1" applyAlignment="1">
      <alignment horizontal="center" vertical="center" wrapText="1"/>
    </xf>
    <xf numFmtId="49" fontId="14" fillId="17" borderId="1" xfId="0" applyNumberFormat="1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4" fillId="16" borderId="36" xfId="0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vertical="center" wrapText="1"/>
    </xf>
    <xf numFmtId="164" fontId="14" fillId="16" borderId="18" xfId="0" applyNumberFormat="1" applyFont="1" applyFill="1" applyBorder="1" applyAlignment="1">
      <alignment horizontal="center" vertical="center" wrapText="1"/>
    </xf>
    <xf numFmtId="164" fontId="15" fillId="16" borderId="18" xfId="0" applyNumberFormat="1" applyFont="1" applyFill="1" applyBorder="1" applyAlignment="1">
      <alignment horizontal="center" vertical="center" wrapText="1"/>
    </xf>
    <xf numFmtId="0" fontId="14" fillId="16" borderId="18" xfId="0" applyFont="1" applyFill="1" applyBorder="1" applyAlignment="1">
      <alignment horizontal="center" vertical="center" wrapText="1"/>
    </xf>
    <xf numFmtId="49" fontId="14" fillId="16" borderId="18" xfId="0" applyNumberFormat="1" applyFont="1" applyFill="1" applyBorder="1" applyAlignment="1">
      <alignment horizontal="left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4" fillId="16" borderId="19" xfId="0" applyNumberFormat="1" applyFont="1" applyFill="1" applyBorder="1" applyAlignment="1">
      <alignment horizontal="center" vertical="center" wrapText="1"/>
    </xf>
    <xf numFmtId="20" fontId="14" fillId="16" borderId="19" xfId="0" applyNumberFormat="1" applyFont="1" applyFill="1" applyBorder="1" applyAlignment="1">
      <alignment horizontal="center" vertical="center" wrapText="1"/>
    </xf>
    <xf numFmtId="0" fontId="14" fillId="17" borderId="35" xfId="0" applyFont="1" applyFill="1" applyBorder="1" applyAlignment="1">
      <alignment horizontal="center" vertical="center" wrapText="1"/>
    </xf>
    <xf numFmtId="49" fontId="14" fillId="17" borderId="22" xfId="0" applyNumberFormat="1" applyFont="1" applyFill="1" applyBorder="1" applyAlignment="1">
      <alignment horizontal="center" vertical="center" wrapText="1"/>
    </xf>
    <xf numFmtId="20" fontId="14" fillId="17" borderId="22" xfId="0" applyNumberFormat="1" applyFont="1" applyFill="1" applyBorder="1" applyAlignment="1">
      <alignment horizontal="center" vertical="center" wrapText="1"/>
    </xf>
    <xf numFmtId="49" fontId="14" fillId="17" borderId="18" xfId="0" applyNumberFormat="1" applyFont="1" applyFill="1" applyBorder="1" applyAlignment="1">
      <alignment horizontal="left" vertical="center" wrapText="1"/>
    </xf>
    <xf numFmtId="0" fontId="14" fillId="17" borderId="68" xfId="0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vertical="center" wrapText="1"/>
    </xf>
    <xf numFmtId="164" fontId="14" fillId="17" borderId="69" xfId="0" applyNumberFormat="1" applyFont="1" applyFill="1" applyBorder="1" applyAlignment="1">
      <alignment horizontal="center" vertical="center" wrapText="1"/>
    </xf>
    <xf numFmtId="164" fontId="15" fillId="17" borderId="69" xfId="0" applyNumberFormat="1" applyFont="1" applyFill="1" applyBorder="1" applyAlignment="1">
      <alignment horizontal="center" vertical="center" wrapText="1"/>
    </xf>
    <xf numFmtId="0" fontId="14" fillId="17" borderId="69" xfId="0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left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4" fillId="17" borderId="70" xfId="0" applyNumberFormat="1" applyFont="1" applyFill="1" applyBorder="1" applyAlignment="1">
      <alignment horizontal="center" vertical="center" wrapText="1"/>
    </xf>
    <xf numFmtId="20" fontId="14" fillId="17" borderId="70" xfId="0" applyNumberFormat="1" applyFont="1" applyFill="1" applyBorder="1" applyAlignment="1">
      <alignment horizontal="center" vertical="center" wrapText="1"/>
    </xf>
    <xf numFmtId="0" fontId="14" fillId="16" borderId="68" xfId="0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vertical="center" wrapText="1"/>
    </xf>
    <xf numFmtId="164" fontId="14" fillId="16" borderId="69" xfId="0" applyNumberFormat="1" applyFont="1" applyFill="1" applyBorder="1" applyAlignment="1">
      <alignment horizontal="center" vertical="center" wrapText="1"/>
    </xf>
    <xf numFmtId="164" fontId="15" fillId="16" borderId="69" xfId="0" applyNumberFormat="1" applyFont="1" applyFill="1" applyBorder="1" applyAlignment="1">
      <alignment horizontal="center" vertical="center" wrapText="1"/>
    </xf>
    <xf numFmtId="0" fontId="14" fillId="16" borderId="6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left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4" fillId="16" borderId="70" xfId="0" applyNumberFormat="1" applyFont="1" applyFill="1" applyBorder="1" applyAlignment="1">
      <alignment horizontal="center" vertical="center" wrapText="1"/>
    </xf>
    <xf numFmtId="20" fontId="14" fillId="16" borderId="70" xfId="0" applyNumberFormat="1" applyFont="1" applyFill="1" applyBorder="1" applyAlignment="1">
      <alignment horizontal="center" vertical="center" wrapText="1"/>
    </xf>
    <xf numFmtId="0" fontId="14" fillId="17" borderId="26" xfId="0" applyFont="1" applyFill="1" applyBorder="1" applyAlignment="1">
      <alignment vertical="center" wrapText="1"/>
    </xf>
    <xf numFmtId="2" fontId="14" fillId="16" borderId="69" xfId="0" applyNumberFormat="1" applyFont="1" applyFill="1" applyBorder="1" applyAlignment="1">
      <alignment horizontal="center" vertical="center" wrapText="1"/>
    </xf>
    <xf numFmtId="2" fontId="14" fillId="17" borderId="69" xfId="0" applyNumberFormat="1" applyFont="1" applyFill="1" applyBorder="1" applyAlignment="1">
      <alignment horizontal="center" vertical="center" wrapText="1"/>
    </xf>
    <xf numFmtId="2" fontId="15" fillId="17" borderId="69" xfId="0" applyNumberFormat="1" applyFont="1" applyFill="1" applyBorder="1" applyAlignment="1">
      <alignment horizontal="center" vertical="center" wrapText="1"/>
    </xf>
    <xf numFmtId="2" fontId="15" fillId="16" borderId="69" xfId="0" applyNumberFormat="1" applyFont="1" applyFill="1" applyBorder="1" applyAlignment="1">
      <alignment horizontal="center" vertical="center" wrapText="1"/>
    </xf>
    <xf numFmtId="0" fontId="14" fillId="17" borderId="25" xfId="0" applyFont="1" applyFill="1" applyBorder="1" applyAlignment="1">
      <alignment horizontal="center" vertical="center" wrapText="1"/>
    </xf>
    <xf numFmtId="165" fontId="14" fillId="16" borderId="69" xfId="0" applyNumberFormat="1" applyFont="1" applyFill="1" applyBorder="1" applyAlignment="1">
      <alignment horizontal="center" vertical="center" wrapText="1"/>
    </xf>
    <xf numFmtId="165" fontId="15" fillId="16" borderId="69" xfId="0" applyNumberFormat="1" applyFont="1" applyFill="1" applyBorder="1" applyAlignment="1">
      <alignment horizontal="center" vertical="center" wrapText="1"/>
    </xf>
    <xf numFmtId="0" fontId="14" fillId="40" borderId="9" xfId="0" applyFont="1" applyFill="1" applyBorder="1" applyAlignment="1">
      <alignment horizontal="center" vertical="center" wrapText="1"/>
    </xf>
    <xf numFmtId="0" fontId="14" fillId="40" borderId="26" xfId="0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vertical="center" wrapText="1"/>
    </xf>
    <xf numFmtId="164" fontId="14" fillId="40" borderId="13" xfId="0" applyNumberFormat="1" applyFont="1" applyFill="1" applyBorder="1" applyAlignment="1">
      <alignment horizontal="center" vertical="center" wrapText="1"/>
    </xf>
    <xf numFmtId="164" fontId="15" fillId="40" borderId="13" xfId="0" applyNumberFormat="1" applyFont="1" applyFill="1" applyBorder="1" applyAlignment="1">
      <alignment horizontal="center" vertical="center" wrapText="1"/>
    </xf>
    <xf numFmtId="0" fontId="14" fillId="40" borderId="13" xfId="0" applyFont="1" applyFill="1" applyBorder="1" applyAlignment="1">
      <alignment horizontal="center" vertical="center" wrapText="1"/>
    </xf>
    <xf numFmtId="49" fontId="14" fillId="40" borderId="13" xfId="0" applyNumberFormat="1" applyFont="1" applyFill="1" applyBorder="1" applyAlignment="1">
      <alignment horizontal="left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4" fillId="40" borderId="14" xfId="0" applyNumberFormat="1" applyFont="1" applyFill="1" applyBorder="1" applyAlignment="1">
      <alignment horizontal="center" vertical="center" wrapText="1"/>
    </xf>
    <xf numFmtId="20" fontId="14" fillId="40" borderId="14" xfId="0" applyNumberFormat="1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13" xfId="0" applyNumberFormat="1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49" fontId="14" fillId="17" borderId="17" xfId="0" applyNumberFormat="1" applyFont="1" applyFill="1" applyBorder="1" applyAlignment="1">
      <alignment horizontal="left" vertical="center" wrapText="1"/>
    </xf>
    <xf numFmtId="0" fontId="14" fillId="41" borderId="16" xfId="0" applyFont="1" applyFill="1" applyBorder="1" applyAlignment="1">
      <alignment horizontal="center" vertical="center" wrapText="1"/>
    </xf>
    <xf numFmtId="0" fontId="14" fillId="41" borderId="16" xfId="0" applyFont="1" applyFill="1" applyBorder="1" applyAlignment="1">
      <alignment vertical="center" wrapText="1"/>
    </xf>
    <xf numFmtId="164" fontId="14" fillId="41" borderId="16" xfId="0" applyNumberFormat="1" applyFont="1" applyFill="1" applyBorder="1" applyAlignment="1">
      <alignment horizontal="center" vertical="center" wrapText="1"/>
    </xf>
    <xf numFmtId="164" fontId="15" fillId="41" borderId="16" xfId="0" applyNumberFormat="1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49" fontId="14" fillId="41" borderId="16" xfId="0" applyNumberFormat="1" applyFont="1" applyFill="1" applyBorder="1" applyAlignment="1">
      <alignment horizontal="center" vertical="center" wrapText="1"/>
    </xf>
    <xf numFmtId="17" fontId="14" fillId="41" borderId="16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horizontal="center" vertical="center" wrapText="1"/>
    </xf>
    <xf numFmtId="0" fontId="14" fillId="42" borderId="16" xfId="0" applyFont="1" applyFill="1" applyBorder="1" applyAlignment="1">
      <alignment vertical="center" wrapText="1"/>
    </xf>
    <xf numFmtId="164" fontId="14" fillId="42" borderId="16" xfId="0" applyNumberFormat="1" applyFont="1" applyFill="1" applyBorder="1" applyAlignment="1">
      <alignment horizontal="center" vertical="center" wrapText="1"/>
    </xf>
    <xf numFmtId="164" fontId="15" fillId="42" borderId="16" xfId="0" applyNumberFormat="1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left" vertical="center" wrapText="1"/>
    </xf>
    <xf numFmtId="0" fontId="16" fillId="42" borderId="16" xfId="0" applyFont="1" applyFill="1" applyBorder="1" applyAlignment="1">
      <alignment horizontal="center" vertical="center" wrapText="1"/>
    </xf>
    <xf numFmtId="49" fontId="14" fillId="42" borderId="16" xfId="0" applyNumberFormat="1" applyFont="1" applyFill="1" applyBorder="1" applyAlignment="1">
      <alignment horizontal="center" vertical="center" wrapText="1"/>
    </xf>
    <xf numFmtId="17" fontId="14" fillId="0" borderId="16" xfId="0" applyNumberFormat="1" applyFont="1" applyBorder="1" applyAlignment="1">
      <alignment horizontal="center" vertical="center" wrapText="1"/>
    </xf>
    <xf numFmtId="0" fontId="14" fillId="43" borderId="16" xfId="0" applyFont="1" applyFill="1" applyBorder="1" applyAlignment="1">
      <alignment horizontal="center" vertical="center" wrapText="1"/>
    </xf>
    <xf numFmtId="0" fontId="39" fillId="43" borderId="16" xfId="0" applyFont="1" applyFill="1" applyBorder="1" applyAlignment="1">
      <alignment horizontal="center" vertical="center" wrapText="1"/>
    </xf>
    <xf numFmtId="0" fontId="40" fillId="0" borderId="16" xfId="0" applyFont="1" applyBorder="1" applyAlignment="1">
      <alignment horizontal="center" vertical="center" wrapText="1"/>
    </xf>
    <xf numFmtId="0" fontId="40" fillId="0" borderId="16" xfId="0" applyFont="1" applyBorder="1" applyAlignment="1">
      <alignment vertical="center" wrapText="1"/>
    </xf>
    <xf numFmtId="164" fontId="40" fillId="0" borderId="16" xfId="0" applyNumberFormat="1" applyFont="1" applyBorder="1" applyAlignment="1">
      <alignment horizontal="center"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left" vertical="center" wrapText="1"/>
    </xf>
    <xf numFmtId="0" fontId="41" fillId="0" borderId="16" xfId="0" applyFont="1" applyBorder="1" applyAlignment="1">
      <alignment horizontal="center" vertical="center" wrapText="1"/>
    </xf>
    <xf numFmtId="49" fontId="40" fillId="0" borderId="16" xfId="0" applyNumberFormat="1" applyFont="1" applyBorder="1" applyAlignment="1">
      <alignment horizontal="center" vertical="center" wrapText="1"/>
    </xf>
    <xf numFmtId="0" fontId="39" fillId="0" borderId="16" xfId="0" applyFont="1" applyBorder="1" applyAlignment="1">
      <alignment horizontal="center" vertical="center" wrapText="1"/>
    </xf>
    <xf numFmtId="0" fontId="39" fillId="0" borderId="16" xfId="0" applyFont="1" applyBorder="1" applyAlignment="1">
      <alignment vertical="center" wrapText="1"/>
    </xf>
    <xf numFmtId="164" fontId="39" fillId="0" borderId="16" xfId="0" applyNumberFormat="1" applyFont="1" applyBorder="1" applyAlignment="1">
      <alignment horizontal="center"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left" vertical="center" wrapText="1"/>
    </xf>
    <xf numFmtId="0" fontId="42" fillId="0" borderId="16" xfId="0" applyFont="1" applyBorder="1" applyAlignment="1">
      <alignment horizontal="center" vertical="center" wrapText="1"/>
    </xf>
    <xf numFmtId="49" fontId="39" fillId="0" borderId="16" xfId="0" applyNumberFormat="1" applyFont="1" applyBorder="1" applyAlignment="1">
      <alignment horizontal="center" vertical="center" wrapText="1"/>
    </xf>
    <xf numFmtId="0" fontId="14" fillId="16" borderId="38" xfId="0" applyFont="1" applyFill="1" applyBorder="1" applyAlignment="1">
      <alignment horizontal="center" vertical="center" wrapText="1"/>
    </xf>
    <xf numFmtId="0" fontId="14" fillId="16" borderId="67" xfId="0" applyFont="1" applyFill="1" applyBorder="1" applyAlignment="1">
      <alignment horizontal="center" vertical="center" wrapText="1"/>
    </xf>
    <xf numFmtId="0" fontId="14" fillId="16" borderId="49" xfId="0" applyFont="1" applyFill="1" applyBorder="1" applyAlignment="1">
      <alignment horizontal="center" vertical="center" wrapText="1"/>
    </xf>
    <xf numFmtId="0" fontId="14" fillId="17" borderId="38" xfId="0" applyFont="1" applyFill="1" applyBorder="1" applyAlignment="1">
      <alignment horizontal="center" vertical="center" wrapText="1"/>
    </xf>
    <xf numFmtId="0" fontId="14" fillId="17" borderId="67" xfId="0" applyFont="1" applyFill="1" applyBorder="1" applyAlignment="1">
      <alignment horizontal="center" vertical="center" wrapText="1"/>
    </xf>
    <xf numFmtId="0" fontId="14" fillId="17" borderId="49" xfId="0" applyFont="1" applyFill="1" applyBorder="1" applyAlignment="1">
      <alignment horizontal="center" vertical="center" wrapText="1"/>
    </xf>
    <xf numFmtId="49" fontId="14" fillId="17" borderId="10" xfId="0" applyNumberFormat="1" applyFont="1" applyFill="1" applyBorder="1" applyAlignment="1">
      <alignment horizontal="center" vertical="center" wrapText="1"/>
    </xf>
    <xf numFmtId="49" fontId="14" fillId="17" borderId="69" xfId="0" applyNumberFormat="1" applyFont="1" applyFill="1" applyBorder="1" applyAlignment="1">
      <alignment horizontal="center" vertical="center" wrapText="1"/>
    </xf>
    <xf numFmtId="49" fontId="14" fillId="17" borderId="24" xfId="0" applyNumberFormat="1" applyFont="1" applyFill="1" applyBorder="1" applyAlignment="1">
      <alignment horizontal="center" vertical="center" wrapText="1"/>
    </xf>
    <xf numFmtId="49" fontId="14" fillId="16" borderId="10" xfId="0" applyNumberFormat="1" applyFont="1" applyFill="1" applyBorder="1" applyAlignment="1">
      <alignment horizontal="center" vertical="center" wrapText="1"/>
    </xf>
    <xf numFmtId="49" fontId="14" fillId="16" borderId="69" xfId="0" applyNumberFormat="1" applyFont="1" applyFill="1" applyBorder="1" applyAlignment="1">
      <alignment horizontal="center" vertical="center" wrapText="1"/>
    </xf>
    <xf numFmtId="49" fontId="14" fillId="16" borderId="24" xfId="0" applyNumberFormat="1" applyFont="1" applyFill="1" applyBorder="1" applyAlignment="1">
      <alignment horizontal="center" vertical="center" wrapText="1"/>
    </xf>
    <xf numFmtId="49" fontId="14" fillId="16" borderId="16" xfId="0" applyNumberFormat="1" applyFont="1" applyFill="1" applyBorder="1" applyAlignment="1">
      <alignment horizontal="center" vertical="center" wrapText="1"/>
    </xf>
    <xf numFmtId="0" fontId="14" fillId="16" borderId="43" xfId="0" applyFont="1" applyFill="1" applyBorder="1" applyAlignment="1">
      <alignment horizontal="center" vertical="center" wrapText="1"/>
    </xf>
    <xf numFmtId="0" fontId="14" fillId="17" borderId="43" xfId="0" applyFont="1" applyFill="1" applyBorder="1" applyAlignment="1">
      <alignment horizontal="center" vertical="center" wrapText="1"/>
    </xf>
    <xf numFmtId="49" fontId="14" fillId="17" borderId="11" xfId="0" applyNumberFormat="1" applyFont="1" applyFill="1" applyBorder="1" applyAlignment="1">
      <alignment horizontal="center" vertical="center" wrapText="1"/>
    </xf>
    <xf numFmtId="49" fontId="14" fillId="16" borderId="11" xfId="0" applyNumberFormat="1" applyFont="1" applyFill="1" applyBorder="1" applyAlignment="1">
      <alignment horizontal="center" vertical="center" wrapText="1"/>
    </xf>
    <xf numFmtId="0" fontId="14" fillId="17" borderId="51" xfId="0" applyFont="1" applyFill="1" applyBorder="1" applyAlignment="1">
      <alignment horizontal="center" vertical="center" wrapText="1"/>
    </xf>
    <xf numFmtId="0" fontId="14" fillId="17" borderId="53" xfId="0" applyFont="1" applyFill="1" applyBorder="1" applyAlignment="1">
      <alignment horizontal="center" vertical="center" wrapText="1"/>
    </xf>
    <xf numFmtId="0" fontId="14" fillId="17" borderId="54" xfId="0" applyFont="1" applyFill="1" applyBorder="1" applyAlignment="1">
      <alignment horizontal="center" vertical="center" wrapText="1"/>
    </xf>
    <xf numFmtId="0" fontId="14" fillId="7" borderId="9" xfId="0" applyFont="1" applyFill="1" applyBorder="1" applyAlignment="1">
      <alignment horizontal="center" vertical="center" wrapText="1"/>
    </xf>
    <xf numFmtId="0" fontId="14" fillId="6" borderId="9" xfId="0" applyFont="1" applyFill="1" applyBorder="1" applyAlignment="1">
      <alignment horizontal="center" vertical="center" wrapText="1"/>
    </xf>
    <xf numFmtId="0" fontId="14" fillId="7" borderId="38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center" vertical="center" wrapText="1"/>
    </xf>
    <xf numFmtId="0" fontId="14" fillId="6" borderId="38" xfId="0" applyFont="1" applyFill="1" applyBorder="1" applyAlignment="1">
      <alignment horizontal="center" vertical="center" wrapText="1"/>
    </xf>
    <xf numFmtId="49" fontId="14" fillId="6" borderId="10" xfId="0" applyNumberFormat="1" applyFont="1" applyFill="1" applyBorder="1" applyAlignment="1">
      <alignment horizontal="center" vertical="center" wrapText="1"/>
    </xf>
    <xf numFmtId="49" fontId="14" fillId="6" borderId="13" xfId="0" applyNumberFormat="1" applyFont="1" applyFill="1" applyBorder="1" applyAlignment="1">
      <alignment horizontal="center" vertical="center" wrapText="1"/>
    </xf>
    <xf numFmtId="49" fontId="14" fillId="7" borderId="10" xfId="0" applyNumberFormat="1" applyFont="1" applyFill="1" applyBorder="1" applyAlignment="1">
      <alignment horizontal="center" vertical="center" wrapText="1"/>
    </xf>
    <xf numFmtId="0" fontId="14" fillId="7" borderId="31" xfId="0" applyFont="1" applyFill="1" applyBorder="1" applyAlignment="1">
      <alignment horizontal="center" vertical="center" wrapText="1"/>
    </xf>
    <xf numFmtId="0" fontId="14" fillId="9" borderId="38" xfId="0" applyFont="1" applyFill="1" applyBorder="1" applyAlignment="1">
      <alignment horizontal="center" vertical="center" wrapText="1"/>
    </xf>
    <xf numFmtId="49" fontId="14" fillId="9" borderId="10" xfId="0" applyNumberFormat="1" applyFont="1" applyFill="1" applyBorder="1" applyAlignment="1">
      <alignment horizontal="center" vertical="center" wrapText="1"/>
    </xf>
    <xf numFmtId="49" fontId="14" fillId="15" borderId="14" xfId="0" applyNumberFormat="1" applyFont="1" applyFill="1" applyBorder="1" applyAlignment="1">
      <alignment horizontal="center" vertical="center" wrapText="1"/>
    </xf>
    <xf numFmtId="0" fontId="14" fillId="15" borderId="9" xfId="0" applyFont="1" applyFill="1" applyBorder="1" applyAlignment="1">
      <alignment horizontal="center" vertical="center" wrapText="1"/>
    </xf>
    <xf numFmtId="49" fontId="14" fillId="15" borderId="13" xfId="0" applyNumberFormat="1" applyFont="1" applyFill="1" applyBorder="1" applyAlignment="1">
      <alignment horizontal="center" vertical="center" wrapText="1"/>
    </xf>
    <xf numFmtId="49" fontId="14" fillId="6" borderId="14" xfId="0" applyNumberFormat="1" applyFont="1" applyFill="1" applyBorder="1" applyAlignment="1">
      <alignment horizontal="center" vertical="center" wrapText="1"/>
    </xf>
    <xf numFmtId="49" fontId="14" fillId="7" borderId="14" xfId="0" applyNumberFormat="1" applyFont="1" applyFill="1" applyBorder="1" applyAlignment="1">
      <alignment horizontal="center" vertical="center" wrapText="1"/>
    </xf>
    <xf numFmtId="49" fontId="19" fillId="6" borderId="13" xfId="0" applyNumberFormat="1" applyFont="1" applyFill="1" applyBorder="1" applyAlignment="1">
      <alignment horizontal="center" vertical="center" wrapText="1"/>
    </xf>
    <xf numFmtId="49" fontId="14" fillId="6" borderId="22" xfId="0" applyNumberFormat="1" applyFont="1" applyFill="1" applyBorder="1" applyAlignment="1">
      <alignment horizontal="center" vertical="center" wrapText="1"/>
    </xf>
    <xf numFmtId="0" fontId="14" fillId="7" borderId="49" xfId="0" applyFont="1" applyFill="1" applyBorder="1" applyAlignment="1">
      <alignment horizontal="center" vertical="center" wrapText="1"/>
    </xf>
    <xf numFmtId="49" fontId="14" fillId="7" borderId="21" xfId="0" applyNumberFormat="1" applyFont="1" applyFill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8" fillId="8" borderId="14" xfId="0" applyFont="1" applyFill="1" applyBorder="1" applyAlignment="1">
      <alignment horizontal="center" vertical="center" wrapText="1"/>
    </xf>
    <xf numFmtId="49" fontId="14" fillId="7" borderId="13" xfId="0" applyNumberFormat="1" applyFont="1" applyFill="1" applyBorder="1" applyAlignment="1">
      <alignment horizontal="left" vertical="center" wrapText="1"/>
    </xf>
    <xf numFmtId="49" fontId="14" fillId="6" borderId="13" xfId="0" applyNumberFormat="1" applyFont="1" applyFill="1" applyBorder="1" applyAlignment="1">
      <alignment horizontal="left" vertical="center" wrapText="1"/>
    </xf>
    <xf numFmtId="0" fontId="14" fillId="7" borderId="28" xfId="0" applyFont="1" applyFill="1" applyBorder="1" applyAlignment="1">
      <alignment horizontal="center" vertical="center" wrapText="1"/>
    </xf>
    <xf numFmtId="0" fontId="14" fillId="6" borderId="31" xfId="0" applyFont="1" applyFill="1" applyBorder="1" applyAlignment="1">
      <alignment horizontal="center" vertical="center" wrapText="1"/>
    </xf>
    <xf numFmtId="0" fontId="14" fillId="7" borderId="12" xfId="0" applyFont="1" applyFill="1" applyBorder="1" applyAlignment="1">
      <alignment horizontal="center" vertical="center" wrapText="1"/>
    </xf>
    <xf numFmtId="0" fontId="14" fillId="6" borderId="12" xfId="0" applyFont="1" applyFill="1" applyBorder="1" applyAlignment="1">
      <alignment horizontal="center" vertical="center" wrapText="1"/>
    </xf>
    <xf numFmtId="0" fontId="14" fillId="7" borderId="26" xfId="0" applyFont="1" applyFill="1" applyBorder="1" applyAlignment="1">
      <alignment horizontal="center" vertical="center" wrapText="1"/>
    </xf>
    <xf numFmtId="0" fontId="17" fillId="5" borderId="9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49" xfId="0" applyFont="1" applyFill="1" applyBorder="1" applyAlignment="1">
      <alignment horizontal="center" vertical="center" wrapText="1"/>
    </xf>
    <xf numFmtId="0" fontId="14" fillId="6" borderId="43" xfId="0" applyFont="1" applyFill="1" applyBorder="1" applyAlignment="1">
      <alignment horizontal="center" vertical="center" wrapText="1"/>
    </xf>
    <xf numFmtId="0" fontId="14" fillId="7" borderId="43" xfId="0" applyFont="1" applyFill="1" applyBorder="1" applyAlignment="1">
      <alignment horizontal="center" vertical="center" wrapText="1"/>
    </xf>
    <xf numFmtId="49" fontId="14" fillId="0" borderId="29" xfId="0" applyNumberFormat="1" applyFont="1" applyBorder="1" applyAlignment="1">
      <alignment horizontal="center" vertical="center" wrapText="1"/>
    </xf>
    <xf numFmtId="49" fontId="14" fillId="0" borderId="16" xfId="0" applyNumberFormat="1" applyFont="1" applyBorder="1" applyAlignment="1">
      <alignment horizontal="center" vertical="center" wrapText="1"/>
    </xf>
  </cellXfs>
  <cellStyles count="143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4" xfId="82" xr:uid="{00000000-0005-0000-0000-000077000000}"/>
    <cellStyle name="Обычный 3 5" xfId="133" xr:uid="{00000000-0005-0000-0000-000078000000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3" xfId="91" xr:uid="{00000000-0005-0000-0000-000084000000}"/>
    <cellStyle name="Примечание 2 4" xfId="138" xr:uid="{00000000-0005-0000-0000-000085000000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6549"/>
  <sheetViews>
    <sheetView tabSelected="1" zoomScale="85" zoomScaleNormal="85" workbookViewId="0">
      <pane ySplit="2" topLeftCell="A6532" activePane="bottomLeft" state="frozen"/>
      <selection pane="bottomLeft" activeCell="R6540" sqref="R6540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18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6.42578125" style="6" customWidth="1"/>
    <col min="10" max="10" width="16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.42578125" style="2" customWidth="1"/>
    <col min="16" max="1021" width="9.140625" style="2"/>
  </cols>
  <sheetData>
    <row r="1" spans="1:14" ht="19.5" customHeight="1" thickBot="1" x14ac:dyDescent="0.3">
      <c r="A1" s="760" t="s">
        <v>0</v>
      </c>
      <c r="B1" s="760"/>
      <c r="C1" s="760"/>
      <c r="D1" s="760"/>
      <c r="E1" s="760"/>
      <c r="F1" s="760"/>
      <c r="G1" s="760"/>
      <c r="H1" s="760"/>
      <c r="I1" s="760"/>
      <c r="J1" s="760"/>
      <c r="K1" s="8"/>
      <c r="L1" s="9"/>
      <c r="M1" s="9"/>
      <c r="N1" s="9"/>
    </row>
    <row r="2" spans="1:14" ht="94.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</row>
    <row r="3" spans="1:14" ht="19.5" hidden="1" customHeight="1" thickBot="1" x14ac:dyDescent="0.3">
      <c r="A3" s="761">
        <v>1</v>
      </c>
      <c r="B3" s="761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66" si="0">RIGHT(H3,5)</f>
        <v>07,23</v>
      </c>
      <c r="L3" s="23"/>
      <c r="M3" s="23"/>
      <c r="N3" s="23"/>
    </row>
    <row r="4" spans="1:14" ht="19.5" hidden="1" thickBot="1" x14ac:dyDescent="0.3">
      <c r="A4" s="761"/>
      <c r="B4" s="761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</row>
    <row r="5" spans="1:14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</row>
    <row r="6" spans="1:14" ht="19.5" hidden="1" customHeight="1" thickBot="1" x14ac:dyDescent="0.3">
      <c r="A6" s="758">
        <v>3</v>
      </c>
      <c r="B6" s="758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</row>
    <row r="7" spans="1:14" ht="19.5" hidden="1" thickBot="1" x14ac:dyDescent="0.3">
      <c r="A7" s="758"/>
      <c r="B7" s="758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</row>
    <row r="8" spans="1:14" ht="19.5" hidden="1" thickBot="1" x14ac:dyDescent="0.3">
      <c r="A8" s="758"/>
      <c r="B8" s="758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</row>
    <row r="9" spans="1:14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</row>
    <row r="10" spans="1:14" ht="19.5" hidden="1" customHeight="1" thickBot="1" x14ac:dyDescent="0.3">
      <c r="A10" s="758">
        <v>5</v>
      </c>
      <c r="B10" s="758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</row>
    <row r="11" spans="1:14" ht="19.5" hidden="1" thickBot="1" x14ac:dyDescent="0.3">
      <c r="A11" s="758"/>
      <c r="B11" s="758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</row>
    <row r="12" spans="1:14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</row>
    <row r="13" spans="1:14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</row>
    <row r="14" spans="1:14" ht="19.5" hidden="1" customHeight="1" thickBot="1" x14ac:dyDescent="0.3">
      <c r="A14" s="757">
        <v>8</v>
      </c>
      <c r="B14" s="757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</row>
    <row r="15" spans="1:14" ht="19.5" hidden="1" thickBot="1" x14ac:dyDescent="0.3">
      <c r="A15" s="757"/>
      <c r="B15" s="757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</row>
    <row r="16" spans="1:14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</row>
    <row r="17" spans="1:14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</row>
    <row r="18" spans="1:14" ht="19.5" hidden="1" customHeight="1" thickBot="1" x14ac:dyDescent="0.3">
      <c r="A18" s="758">
        <v>11</v>
      </c>
      <c r="B18" s="758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</row>
    <row r="19" spans="1:14" ht="19.5" hidden="1" thickBot="1" x14ac:dyDescent="0.3">
      <c r="A19" s="758"/>
      <c r="B19" s="758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</row>
    <row r="20" spans="1:14" ht="19.5" hidden="1" thickBot="1" x14ac:dyDescent="0.3">
      <c r="A20" s="758"/>
      <c r="B20" s="758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</row>
    <row r="21" spans="1:14" ht="19.5" hidden="1" thickBot="1" x14ac:dyDescent="0.3">
      <c r="A21" s="758"/>
      <c r="B21" s="758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</row>
    <row r="22" spans="1:14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</row>
    <row r="23" spans="1:14" ht="19.5" hidden="1" customHeight="1" thickBot="1" x14ac:dyDescent="0.3">
      <c r="A23" s="758">
        <v>13</v>
      </c>
      <c r="B23" s="758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</row>
    <row r="24" spans="1:14" ht="19.5" hidden="1" thickBot="1" x14ac:dyDescent="0.3">
      <c r="A24" s="758"/>
      <c r="B24" s="758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</row>
    <row r="25" spans="1:14" ht="19.5" hidden="1" customHeight="1" thickBot="1" x14ac:dyDescent="0.3">
      <c r="A25" s="757">
        <v>14</v>
      </c>
      <c r="B25" s="757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</row>
    <row r="26" spans="1:14" ht="19.5" hidden="1" thickBot="1" x14ac:dyDescent="0.3">
      <c r="A26" s="757"/>
      <c r="B26" s="757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</row>
    <row r="27" spans="1:14" ht="19.5" hidden="1" customHeight="1" thickBot="1" x14ac:dyDescent="0.3">
      <c r="A27" s="758">
        <v>15</v>
      </c>
      <c r="B27" s="758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</row>
    <row r="28" spans="1:14" ht="19.5" hidden="1" thickBot="1" x14ac:dyDescent="0.3">
      <c r="A28" s="758"/>
      <c r="B28" s="758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</row>
    <row r="29" spans="1:14" ht="19.5" hidden="1" thickBot="1" x14ac:dyDescent="0.3">
      <c r="A29" s="758"/>
      <c r="B29" s="758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</row>
    <row r="30" spans="1:14" ht="19.5" hidden="1" thickBot="1" x14ac:dyDescent="0.3">
      <c r="A30" s="758"/>
      <c r="B30" s="758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</row>
    <row r="31" spans="1:14" ht="19.5" hidden="1" customHeight="1" thickBot="1" x14ac:dyDescent="0.3">
      <c r="A31" s="757">
        <v>16</v>
      </c>
      <c r="B31" s="757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</row>
    <row r="32" spans="1:14" ht="19.5" hidden="1" thickBot="1" x14ac:dyDescent="0.3">
      <c r="A32" s="757"/>
      <c r="B32" s="757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</row>
    <row r="33" spans="1:14" ht="19.5" hidden="1" thickBot="1" x14ac:dyDescent="0.3">
      <c r="A33" s="757"/>
      <c r="B33" s="757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</row>
    <row r="34" spans="1:14" ht="19.5" hidden="1" thickBot="1" x14ac:dyDescent="0.3">
      <c r="A34" s="757"/>
      <c r="B34" s="757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</row>
    <row r="35" spans="1:14" ht="19.5" hidden="1" customHeight="1" thickBot="1" x14ac:dyDescent="0.3">
      <c r="A35" s="758">
        <v>17</v>
      </c>
      <c r="B35" s="758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si="0"/>
        <v>07,23</v>
      </c>
      <c r="L35" s="48"/>
      <c r="M35" s="48"/>
      <c r="N35" s="48"/>
    </row>
    <row r="36" spans="1:14" ht="19.5" hidden="1" thickBot="1" x14ac:dyDescent="0.3">
      <c r="A36" s="758"/>
      <c r="B36" s="758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0"/>
        <v>07,23</v>
      </c>
      <c r="L36" s="71"/>
      <c r="M36" s="71"/>
      <c r="N36" s="71"/>
    </row>
    <row r="37" spans="1:14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0"/>
        <v>07,23</v>
      </c>
      <c r="L37" s="40"/>
      <c r="M37" s="40"/>
      <c r="N37" s="40"/>
    </row>
    <row r="38" spans="1:14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0"/>
        <v>07,23</v>
      </c>
      <c r="L38" s="75"/>
      <c r="M38" s="75"/>
      <c r="N38" s="75"/>
    </row>
    <row r="39" spans="1:14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0"/>
        <v>07,23</v>
      </c>
      <c r="L39" s="40"/>
      <c r="M39" s="40"/>
      <c r="N39" s="40"/>
    </row>
    <row r="40" spans="1:14" ht="19.5" hidden="1" customHeight="1" thickBot="1" x14ac:dyDescent="0.3">
      <c r="A40" s="758">
        <v>21</v>
      </c>
      <c r="B40" s="758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0"/>
        <v>07,23</v>
      </c>
      <c r="L40" s="48"/>
      <c r="M40" s="48"/>
      <c r="N40" s="48"/>
    </row>
    <row r="41" spans="1:14" ht="19.5" hidden="1" thickBot="1" x14ac:dyDescent="0.3">
      <c r="A41" s="758"/>
      <c r="B41" s="758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0"/>
        <v>07,23</v>
      </c>
      <c r="L41" s="71"/>
      <c r="M41" s="71"/>
      <c r="N41" s="71"/>
    </row>
    <row r="42" spans="1:14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0"/>
        <v>07,23</v>
      </c>
      <c r="L42" s="40"/>
      <c r="M42" s="40"/>
      <c r="N42" s="40"/>
    </row>
    <row r="43" spans="1:14" ht="19.5" hidden="1" customHeight="1" thickBot="1" x14ac:dyDescent="0.3">
      <c r="A43" s="758">
        <v>23</v>
      </c>
      <c r="B43" s="758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0"/>
        <v>07,23</v>
      </c>
      <c r="L43" s="48"/>
      <c r="M43" s="48"/>
      <c r="N43" s="48"/>
    </row>
    <row r="44" spans="1:14" ht="19.5" hidden="1" thickBot="1" x14ac:dyDescent="0.3">
      <c r="A44" s="758"/>
      <c r="B44" s="758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0"/>
        <v>07,23</v>
      </c>
      <c r="L44" s="23"/>
      <c r="M44" s="23"/>
      <c r="N44" s="23"/>
    </row>
    <row r="45" spans="1:14" ht="19.5" hidden="1" thickBot="1" x14ac:dyDescent="0.3">
      <c r="A45" s="758"/>
      <c r="B45" s="758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0"/>
        <v>07,23</v>
      </c>
      <c r="L45" s="71"/>
      <c r="M45" s="71"/>
      <c r="N45" s="71"/>
    </row>
    <row r="46" spans="1:14" ht="19.5" hidden="1" customHeight="1" thickBot="1" x14ac:dyDescent="0.3">
      <c r="A46" s="757">
        <v>24</v>
      </c>
      <c r="B46" s="757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0"/>
        <v>07,23</v>
      </c>
      <c r="L46" s="82"/>
      <c r="M46" s="82"/>
      <c r="N46" s="82"/>
    </row>
    <row r="47" spans="1:14" ht="19.5" hidden="1" thickBot="1" x14ac:dyDescent="0.3">
      <c r="A47" s="757"/>
      <c r="B47" s="757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0"/>
        <v>07,23</v>
      </c>
      <c r="L47" s="90"/>
      <c r="M47" s="90"/>
      <c r="N47" s="90"/>
    </row>
    <row r="48" spans="1:14" ht="19.5" hidden="1" customHeight="1" thickBot="1" x14ac:dyDescent="0.3">
      <c r="A48" s="758">
        <v>25</v>
      </c>
      <c r="B48" s="758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0"/>
        <v>07,23</v>
      </c>
      <c r="L48" s="48"/>
      <c r="M48" s="48"/>
      <c r="N48" s="48"/>
    </row>
    <row r="49" spans="1:14" ht="19.5" hidden="1" thickBot="1" x14ac:dyDescent="0.3">
      <c r="A49" s="758"/>
      <c r="B49" s="758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0"/>
        <v>07,23</v>
      </c>
      <c r="L49" s="23"/>
      <c r="M49" s="23"/>
      <c r="N49" s="23"/>
    </row>
    <row r="50" spans="1:14" ht="19.5" hidden="1" thickBot="1" x14ac:dyDescent="0.3">
      <c r="A50" s="758"/>
      <c r="B50" s="758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0"/>
        <v>07,23</v>
      </c>
      <c r="L50" s="71"/>
      <c r="M50" s="71"/>
      <c r="N50" s="71"/>
    </row>
    <row r="51" spans="1:14" ht="19.5" hidden="1" customHeight="1" thickBot="1" x14ac:dyDescent="0.3">
      <c r="A51" s="757">
        <v>26</v>
      </c>
      <c r="B51" s="757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0"/>
        <v>07,23</v>
      </c>
      <c r="L51" s="82"/>
      <c r="M51" s="82"/>
      <c r="N51" s="82"/>
    </row>
    <row r="52" spans="1:14" ht="19.5" hidden="1" thickBot="1" x14ac:dyDescent="0.3">
      <c r="A52" s="757"/>
      <c r="B52" s="757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0"/>
        <v>07,23</v>
      </c>
      <c r="L52" s="90"/>
      <c r="M52" s="90"/>
      <c r="N52" s="90"/>
    </row>
    <row r="53" spans="1:14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0"/>
        <v>07,23</v>
      </c>
      <c r="L53" s="75"/>
      <c r="M53" s="75"/>
      <c r="N53" s="75"/>
    </row>
    <row r="54" spans="1:14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0"/>
        <v>07,23</v>
      </c>
      <c r="L54" s="40"/>
      <c r="M54" s="40"/>
      <c r="N54" s="40"/>
    </row>
    <row r="55" spans="1:14" ht="19.5" hidden="1" customHeight="1" thickBot="1" x14ac:dyDescent="0.3">
      <c r="A55" s="758">
        <v>29</v>
      </c>
      <c r="B55" s="758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0"/>
        <v>07,23</v>
      </c>
      <c r="L55" s="48"/>
      <c r="M55" s="48"/>
      <c r="N55" s="48"/>
    </row>
    <row r="56" spans="1:14" ht="19.5" hidden="1" thickBot="1" x14ac:dyDescent="0.3">
      <c r="A56" s="758"/>
      <c r="B56" s="758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0"/>
        <v>07,23</v>
      </c>
      <c r="L56" s="31"/>
      <c r="M56" s="31"/>
      <c r="N56" s="31"/>
    </row>
    <row r="57" spans="1:14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0"/>
        <v>07,23</v>
      </c>
      <c r="L57" s="40"/>
      <c r="M57" s="40"/>
      <c r="N57" s="40"/>
    </row>
    <row r="58" spans="1:14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0"/>
        <v>07,23</v>
      </c>
      <c r="L58" s="75"/>
      <c r="M58" s="75"/>
      <c r="N58" s="75"/>
    </row>
    <row r="59" spans="1:14" ht="19.5" hidden="1" customHeight="1" thickBot="1" x14ac:dyDescent="0.3">
      <c r="A59" s="757">
        <v>32</v>
      </c>
      <c r="B59" s="757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0"/>
        <v>07,23</v>
      </c>
      <c r="L59" s="82"/>
      <c r="M59" s="82"/>
      <c r="N59" s="82"/>
    </row>
    <row r="60" spans="1:14" ht="19.5" hidden="1" thickBot="1" x14ac:dyDescent="0.3">
      <c r="A60" s="757"/>
      <c r="B60" s="757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0"/>
        <v>07,23</v>
      </c>
      <c r="L60" s="107"/>
      <c r="M60" s="107"/>
      <c r="N60" s="107"/>
    </row>
    <row r="61" spans="1:14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0"/>
        <v>07,23</v>
      </c>
      <c r="L61" s="75"/>
      <c r="M61" s="75"/>
      <c r="N61" s="75"/>
    </row>
    <row r="62" spans="1:14" ht="19.5" hidden="1" customHeight="1" thickBot="1" x14ac:dyDescent="0.3">
      <c r="A62" s="757">
        <v>34</v>
      </c>
      <c r="B62" s="757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0"/>
        <v>07,23</v>
      </c>
      <c r="L62" s="82"/>
      <c r="M62" s="82"/>
      <c r="N62" s="82"/>
    </row>
    <row r="63" spans="1:14" ht="19.5" hidden="1" thickBot="1" x14ac:dyDescent="0.3">
      <c r="A63" s="757"/>
      <c r="B63" s="757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0"/>
        <v>07,23</v>
      </c>
      <c r="L63" s="109"/>
      <c r="M63" s="109"/>
      <c r="N63" s="109"/>
    </row>
    <row r="64" spans="1:14" ht="19.5" hidden="1" thickBot="1" x14ac:dyDescent="0.3">
      <c r="A64" s="757"/>
      <c r="B64" s="757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0"/>
        <v>07,23</v>
      </c>
      <c r="L64" s="109"/>
      <c r="M64" s="109"/>
      <c r="N64" s="109"/>
    </row>
    <row r="65" spans="1:14" ht="19.5" hidden="1" thickBot="1" x14ac:dyDescent="0.3">
      <c r="A65" s="757"/>
      <c r="B65" s="757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0"/>
        <v>07,23</v>
      </c>
      <c r="L65" s="109"/>
      <c r="M65" s="109"/>
      <c r="N65" s="109"/>
    </row>
    <row r="66" spans="1:14" ht="19.5" hidden="1" thickBot="1" x14ac:dyDescent="0.3">
      <c r="A66" s="757"/>
      <c r="B66" s="757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0"/>
        <v>07,23</v>
      </c>
      <c r="L66" s="107"/>
      <c r="M66" s="107"/>
      <c r="N66" s="107"/>
    </row>
    <row r="67" spans="1:14" ht="19.5" hidden="1" customHeight="1" thickBot="1" x14ac:dyDescent="0.3">
      <c r="A67" s="758">
        <v>35</v>
      </c>
      <c r="B67" s="758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1">RIGHT(H67,5)</f>
        <v>07,23</v>
      </c>
      <c r="L67" s="48"/>
      <c r="M67" s="48"/>
      <c r="N67" s="48"/>
    </row>
    <row r="68" spans="1:14" ht="19.5" hidden="1" thickBot="1" x14ac:dyDescent="0.3">
      <c r="A68" s="758"/>
      <c r="B68" s="758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1"/>
        <v>07,23</v>
      </c>
      <c r="L68" s="31"/>
      <c r="M68" s="31"/>
      <c r="N68" s="31"/>
    </row>
    <row r="69" spans="1:14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1"/>
        <v>07,23</v>
      </c>
      <c r="L69" s="40"/>
      <c r="M69" s="40"/>
      <c r="N69" s="40"/>
    </row>
    <row r="70" spans="1:14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1"/>
        <v>07,23</v>
      </c>
      <c r="L70" s="75"/>
      <c r="M70" s="75"/>
      <c r="N70" s="75"/>
    </row>
    <row r="71" spans="1:14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1"/>
        <v>07,23</v>
      </c>
      <c r="L71" s="40"/>
      <c r="M71" s="40"/>
      <c r="N71" s="40"/>
    </row>
    <row r="72" spans="1:14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1"/>
        <v>07,23</v>
      </c>
      <c r="L72" s="75"/>
      <c r="M72" s="75"/>
      <c r="N72" s="75"/>
    </row>
    <row r="73" spans="1:14" ht="19.5" hidden="1" customHeight="1" thickBot="1" x14ac:dyDescent="0.3">
      <c r="A73" s="731">
        <v>40</v>
      </c>
      <c r="B73" s="757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1"/>
        <v>07,23</v>
      </c>
      <c r="L73" s="82"/>
      <c r="M73" s="82"/>
      <c r="N73" s="82"/>
    </row>
    <row r="74" spans="1:14" ht="19.5" hidden="1" thickBot="1" x14ac:dyDescent="0.3">
      <c r="A74" s="731"/>
      <c r="B74" s="757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1"/>
        <v>07,23</v>
      </c>
      <c r="L74" s="107"/>
      <c r="M74" s="107"/>
      <c r="N74" s="107"/>
    </row>
    <row r="75" spans="1:14" ht="19.5" hidden="1" customHeight="1" thickBot="1" x14ac:dyDescent="0.3">
      <c r="A75" s="732">
        <v>41</v>
      </c>
      <c r="B75" s="758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1"/>
        <v>07,23</v>
      </c>
      <c r="L75" s="48"/>
      <c r="M75" s="48"/>
      <c r="N75" s="48"/>
    </row>
    <row r="76" spans="1:14" ht="19.5" hidden="1" thickBot="1" x14ac:dyDescent="0.3">
      <c r="A76" s="732"/>
      <c r="B76" s="758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1"/>
        <v>07,23</v>
      </c>
      <c r="L76" s="56"/>
      <c r="M76" s="56"/>
      <c r="N76" s="56"/>
    </row>
    <row r="77" spans="1:14" ht="19.5" hidden="1" thickBot="1" x14ac:dyDescent="0.3">
      <c r="A77" s="732"/>
      <c r="B77" s="758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1"/>
        <v>07,23</v>
      </c>
      <c r="L77" s="31"/>
      <c r="M77" s="31"/>
      <c r="N77" s="31"/>
    </row>
    <row r="78" spans="1:14" ht="19.5" hidden="1" customHeight="1" thickBot="1" x14ac:dyDescent="0.3">
      <c r="A78" s="731">
        <v>42</v>
      </c>
      <c r="B78" s="757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1"/>
        <v>07,23</v>
      </c>
      <c r="L78" s="82"/>
      <c r="M78" s="82"/>
      <c r="N78" s="82"/>
    </row>
    <row r="79" spans="1:14" ht="19.5" hidden="1" thickBot="1" x14ac:dyDescent="0.3">
      <c r="A79" s="731"/>
      <c r="B79" s="757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1"/>
        <v>07,23</v>
      </c>
      <c r="L79" s="107"/>
      <c r="M79" s="107"/>
      <c r="N79" s="107"/>
    </row>
    <row r="80" spans="1:14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1"/>
        <v>07,23</v>
      </c>
      <c r="L80" s="75"/>
      <c r="M80" s="75"/>
      <c r="N80" s="75"/>
    </row>
    <row r="81" spans="1:14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1"/>
        <v>07,23</v>
      </c>
      <c r="L81" s="40"/>
      <c r="M81" s="40"/>
      <c r="N81" s="40"/>
    </row>
    <row r="82" spans="1:14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1"/>
        <v>07,23</v>
      </c>
      <c r="L82" s="75"/>
      <c r="M82" s="75"/>
      <c r="N82" s="75"/>
    </row>
    <row r="83" spans="1:14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1"/>
        <v>07,23</v>
      </c>
      <c r="L83" s="40"/>
      <c r="M83" s="40"/>
      <c r="N83" s="40"/>
    </row>
    <row r="84" spans="1:14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1"/>
        <v>07,23</v>
      </c>
      <c r="L84" s="75"/>
      <c r="M84" s="75"/>
      <c r="N84" s="75"/>
    </row>
    <row r="85" spans="1:14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1"/>
        <v>07,23</v>
      </c>
      <c r="L85" s="40"/>
      <c r="M85" s="40"/>
      <c r="N85" s="40"/>
    </row>
    <row r="86" spans="1:14" ht="19.5" hidden="1" customHeight="1" thickBot="1" x14ac:dyDescent="0.3">
      <c r="A86" s="732">
        <v>49</v>
      </c>
      <c r="B86" s="758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1"/>
        <v>07,23</v>
      </c>
      <c r="L86" s="48"/>
      <c r="M86" s="48"/>
      <c r="N86" s="48"/>
    </row>
    <row r="87" spans="1:14" ht="19.5" hidden="1" thickBot="1" x14ac:dyDescent="0.3">
      <c r="A87" s="732"/>
      <c r="B87" s="758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1"/>
        <v>07,23</v>
      </c>
      <c r="L87" s="56"/>
      <c r="M87" s="56"/>
      <c r="N87" s="56"/>
    </row>
    <row r="88" spans="1:14" ht="19.5" hidden="1" thickBot="1" x14ac:dyDescent="0.3">
      <c r="A88" s="732"/>
      <c r="B88" s="758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1"/>
        <v>07,23</v>
      </c>
      <c r="L88" s="31"/>
      <c r="M88" s="31"/>
      <c r="N88" s="31"/>
    </row>
    <row r="89" spans="1:14" ht="19.5" hidden="1" customHeight="1" thickBot="1" x14ac:dyDescent="0.3">
      <c r="A89" s="731">
        <v>50</v>
      </c>
      <c r="B89" s="757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1"/>
        <v>07,23</v>
      </c>
      <c r="L89" s="82"/>
      <c r="M89" s="82"/>
      <c r="N89" s="82"/>
    </row>
    <row r="90" spans="1:14" ht="19.5" hidden="1" thickBot="1" x14ac:dyDescent="0.3">
      <c r="A90" s="731"/>
      <c r="B90" s="757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1"/>
        <v>07,23</v>
      </c>
      <c r="L90" s="107"/>
      <c r="M90" s="107"/>
      <c r="N90" s="107"/>
    </row>
    <row r="91" spans="1:14" ht="19.5" hidden="1" customHeight="1" thickBot="1" x14ac:dyDescent="0.3">
      <c r="A91" s="732">
        <v>51</v>
      </c>
      <c r="B91" s="758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1"/>
        <v>07,23</v>
      </c>
      <c r="L91" s="48"/>
      <c r="M91" s="48"/>
      <c r="N91" s="48"/>
    </row>
    <row r="92" spans="1:14" ht="19.5" hidden="1" thickBot="1" x14ac:dyDescent="0.3">
      <c r="A92" s="732"/>
      <c r="B92" s="758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1"/>
        <v>07,23</v>
      </c>
      <c r="L92" s="31"/>
      <c r="M92" s="31"/>
      <c r="N92" s="31"/>
    </row>
    <row r="93" spans="1:14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1"/>
        <v>07,23</v>
      </c>
      <c r="L93" s="40"/>
      <c r="M93" s="40"/>
      <c r="N93" s="40"/>
    </row>
    <row r="94" spans="1:14" ht="19.5" hidden="1" customHeight="1" thickBot="1" x14ac:dyDescent="0.3">
      <c r="A94" s="732">
        <v>53</v>
      </c>
      <c r="B94" s="758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1"/>
        <v>07,23</v>
      </c>
      <c r="L94" s="48"/>
      <c r="M94" s="48"/>
      <c r="N94" s="48"/>
    </row>
    <row r="95" spans="1:14" ht="19.5" hidden="1" thickBot="1" x14ac:dyDescent="0.3">
      <c r="A95" s="732"/>
      <c r="B95" s="758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1"/>
        <v>07,23</v>
      </c>
      <c r="L95" s="31"/>
      <c r="M95" s="31"/>
      <c r="N95" s="31"/>
    </row>
    <row r="96" spans="1:14" ht="19.5" hidden="1" customHeight="1" thickBot="1" x14ac:dyDescent="0.3">
      <c r="A96" s="731">
        <v>54</v>
      </c>
      <c r="B96" s="757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1"/>
        <v>07,23</v>
      </c>
      <c r="L96" s="82"/>
      <c r="M96" s="82"/>
      <c r="N96" s="82"/>
    </row>
    <row r="97" spans="1:14" ht="19.5" hidden="1" thickBot="1" x14ac:dyDescent="0.3">
      <c r="A97" s="731"/>
      <c r="B97" s="757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1"/>
        <v>07,23</v>
      </c>
      <c r="L97" s="109"/>
      <c r="M97" s="109"/>
      <c r="N97" s="109"/>
    </row>
    <row r="98" spans="1:14" ht="19.5" hidden="1" thickBot="1" x14ac:dyDescent="0.3">
      <c r="A98" s="731"/>
      <c r="B98" s="757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1"/>
        <v>07,23</v>
      </c>
      <c r="L98" s="107"/>
      <c r="M98" s="107"/>
      <c r="N98" s="107"/>
    </row>
    <row r="99" spans="1:14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1"/>
        <v>07,23</v>
      </c>
      <c r="L99" s="75"/>
      <c r="M99" s="75"/>
      <c r="N99" s="75"/>
    </row>
    <row r="100" spans="1:14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1"/>
        <v>07,23</v>
      </c>
      <c r="L100" s="40"/>
      <c r="M100" s="40"/>
      <c r="N100" s="40"/>
    </row>
    <row r="101" spans="1:14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1"/>
        <v>08,23</v>
      </c>
      <c r="L101" s="75"/>
      <c r="M101" s="75"/>
      <c r="N101" s="75"/>
    </row>
    <row r="102" spans="1:14" ht="19.5" hidden="1" customHeight="1" thickBot="1" x14ac:dyDescent="0.3">
      <c r="A102" s="731">
        <v>58</v>
      </c>
      <c r="B102" s="757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1"/>
        <v>08,23</v>
      </c>
      <c r="L102" s="82"/>
      <c r="M102" s="82"/>
      <c r="N102" s="82"/>
    </row>
    <row r="103" spans="1:14" ht="19.5" hidden="1" thickBot="1" x14ac:dyDescent="0.3">
      <c r="A103" s="731"/>
      <c r="B103" s="757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1"/>
        <v>08,23</v>
      </c>
      <c r="L103" s="107"/>
      <c r="M103" s="107"/>
      <c r="N103" s="107"/>
    </row>
    <row r="104" spans="1:14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1"/>
        <v>08,23</v>
      </c>
      <c r="L104" s="75"/>
      <c r="M104" s="75"/>
      <c r="N104" s="75"/>
    </row>
    <row r="105" spans="1:14" ht="19.5" hidden="1" customHeight="1" thickBot="1" x14ac:dyDescent="0.3">
      <c r="A105" s="731">
        <v>60</v>
      </c>
      <c r="B105" s="757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1"/>
        <v>08,23</v>
      </c>
      <c r="L105" s="82"/>
      <c r="M105" s="82"/>
      <c r="N105" s="82"/>
    </row>
    <row r="106" spans="1:14" ht="19.5" hidden="1" thickBot="1" x14ac:dyDescent="0.3">
      <c r="A106" s="731"/>
      <c r="B106" s="757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1"/>
        <v>08,23</v>
      </c>
      <c r="L106" s="109"/>
      <c r="M106" s="109"/>
      <c r="N106" s="109"/>
    </row>
    <row r="107" spans="1:14" ht="19.5" hidden="1" thickBot="1" x14ac:dyDescent="0.3">
      <c r="A107" s="731"/>
      <c r="B107" s="757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1"/>
        <v>08,23</v>
      </c>
      <c r="L107" s="107"/>
      <c r="M107" s="107"/>
      <c r="N107" s="107"/>
    </row>
    <row r="108" spans="1:14" ht="19.5" hidden="1" customHeight="1" thickBot="1" x14ac:dyDescent="0.3">
      <c r="A108" s="732">
        <v>61</v>
      </c>
      <c r="B108" s="758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1"/>
        <v>08,23</v>
      </c>
      <c r="L108" s="48"/>
      <c r="M108" s="48"/>
      <c r="N108" s="48"/>
    </row>
    <row r="109" spans="1:14" ht="19.5" hidden="1" thickBot="1" x14ac:dyDescent="0.3">
      <c r="A109" s="732"/>
      <c r="B109" s="758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1"/>
        <v>08,23</v>
      </c>
      <c r="L109" s="56"/>
      <c r="M109" s="56"/>
      <c r="N109" s="56"/>
    </row>
    <row r="110" spans="1:14" ht="19.5" hidden="1" thickBot="1" x14ac:dyDescent="0.3">
      <c r="A110" s="732"/>
      <c r="B110" s="758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1"/>
        <v>08,23</v>
      </c>
      <c r="L110" s="31"/>
      <c r="M110" s="31"/>
      <c r="N110" s="31"/>
    </row>
    <row r="111" spans="1:14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1"/>
        <v>08,23</v>
      </c>
      <c r="L111" s="40"/>
      <c r="M111" s="40"/>
      <c r="N111" s="40"/>
    </row>
    <row r="112" spans="1:14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1"/>
        <v>08,23</v>
      </c>
      <c r="L112" s="75"/>
      <c r="M112" s="75"/>
      <c r="N112" s="75"/>
    </row>
    <row r="113" spans="1:14" ht="19.5" hidden="1" customHeight="1" thickBot="1" x14ac:dyDescent="0.3">
      <c r="A113" s="731">
        <v>64</v>
      </c>
      <c r="B113" s="757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1"/>
        <v>08,23</v>
      </c>
      <c r="L113" s="82"/>
      <c r="M113" s="82"/>
      <c r="N113" s="82"/>
    </row>
    <row r="114" spans="1:14" ht="19.5" hidden="1" thickBot="1" x14ac:dyDescent="0.3">
      <c r="A114" s="731"/>
      <c r="B114" s="757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1"/>
        <v>08,23</v>
      </c>
      <c r="L114" s="107"/>
      <c r="M114" s="107"/>
      <c r="N114" s="107"/>
    </row>
    <row r="115" spans="1:14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1"/>
        <v>08,23</v>
      </c>
      <c r="L115" s="75"/>
      <c r="M115" s="75"/>
      <c r="N115" s="75"/>
    </row>
    <row r="116" spans="1:14" ht="19.5" hidden="1" customHeight="1" thickBot="1" x14ac:dyDescent="0.3">
      <c r="A116" s="731">
        <v>66</v>
      </c>
      <c r="B116" s="757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1"/>
        <v>08,23</v>
      </c>
      <c r="L116" s="82"/>
      <c r="M116" s="82"/>
      <c r="N116" s="82"/>
    </row>
    <row r="117" spans="1:14" ht="19.5" hidden="1" thickBot="1" x14ac:dyDescent="0.3">
      <c r="A117" s="731"/>
      <c r="B117" s="757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1"/>
        <v>08,23</v>
      </c>
      <c r="L117" s="107"/>
      <c r="M117" s="107"/>
      <c r="N117" s="107"/>
    </row>
    <row r="118" spans="1:14" ht="19.5" hidden="1" customHeight="1" thickBot="1" x14ac:dyDescent="0.3">
      <c r="A118" s="732">
        <v>67</v>
      </c>
      <c r="B118" s="758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1"/>
        <v>08,23</v>
      </c>
      <c r="L118" s="48"/>
      <c r="M118" s="48"/>
      <c r="N118" s="48"/>
    </row>
    <row r="119" spans="1:14" ht="19.5" hidden="1" thickBot="1" x14ac:dyDescent="0.3">
      <c r="A119" s="732"/>
      <c r="B119" s="758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1"/>
        <v>08,23</v>
      </c>
      <c r="L119" s="56"/>
      <c r="M119" s="56"/>
      <c r="N119" s="56"/>
    </row>
    <row r="120" spans="1:14" ht="19.5" hidden="1" thickBot="1" x14ac:dyDescent="0.3">
      <c r="A120" s="732"/>
      <c r="B120" s="758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1"/>
        <v>08,23</v>
      </c>
      <c r="L120" s="31"/>
      <c r="M120" s="31"/>
      <c r="N120" s="31"/>
    </row>
    <row r="121" spans="1:14" ht="19.5" hidden="1" customHeight="1" thickBot="1" x14ac:dyDescent="0.3">
      <c r="A121" s="731">
        <v>68</v>
      </c>
      <c r="B121" s="757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1"/>
        <v>08,23</v>
      </c>
      <c r="L121" s="82"/>
      <c r="M121" s="82"/>
      <c r="N121" s="82"/>
    </row>
    <row r="122" spans="1:14" ht="19.5" hidden="1" thickBot="1" x14ac:dyDescent="0.3">
      <c r="A122" s="731"/>
      <c r="B122" s="757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1"/>
        <v>08,23</v>
      </c>
      <c r="L122" s="107"/>
      <c r="M122" s="107"/>
      <c r="N122" s="107"/>
    </row>
    <row r="123" spans="1:14" ht="19.5" hidden="1" customHeight="1" thickBot="1" x14ac:dyDescent="0.3">
      <c r="A123" s="732">
        <v>69</v>
      </c>
      <c r="B123" s="758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1"/>
        <v>08,23</v>
      </c>
      <c r="L123" s="48"/>
      <c r="M123" s="48"/>
      <c r="N123" s="48"/>
    </row>
    <row r="124" spans="1:14" ht="19.5" hidden="1" thickBot="1" x14ac:dyDescent="0.3">
      <c r="A124" s="732"/>
      <c r="B124" s="758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1"/>
        <v>08,23</v>
      </c>
      <c r="L124" s="31"/>
      <c r="M124" s="31"/>
      <c r="N124" s="31"/>
    </row>
    <row r="125" spans="1:14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1"/>
        <v>08,23</v>
      </c>
      <c r="L125" s="40"/>
      <c r="M125" s="40"/>
      <c r="N125" s="40"/>
    </row>
    <row r="126" spans="1:14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1"/>
        <v>08,23</v>
      </c>
      <c r="L126" s="75"/>
      <c r="M126" s="75"/>
      <c r="N126" s="75"/>
    </row>
    <row r="127" spans="1:14" ht="19.5" hidden="1" customHeight="1" thickBot="1" x14ac:dyDescent="0.3">
      <c r="A127" s="731">
        <v>72</v>
      </c>
      <c r="B127" s="757" t="s">
        <v>65</v>
      </c>
      <c r="C127" s="119" t="s">
        <v>26</v>
      </c>
      <c r="D127" s="120">
        <v>3.3</v>
      </c>
      <c r="E127" s="121"/>
      <c r="F127" s="122" t="s">
        <v>30</v>
      </c>
      <c r="G127" s="753" t="s">
        <v>72</v>
      </c>
      <c r="H127" s="122" t="s">
        <v>67</v>
      </c>
      <c r="I127" s="123" t="s">
        <v>67</v>
      </c>
      <c r="J127" s="124"/>
      <c r="K127" s="122" t="str">
        <f t="shared" si="1"/>
        <v>08,23</v>
      </c>
      <c r="L127" s="122"/>
      <c r="M127" s="122"/>
      <c r="N127" s="122"/>
    </row>
    <row r="128" spans="1:14" ht="19.5" hidden="1" thickBot="1" x14ac:dyDescent="0.3">
      <c r="A128" s="731"/>
      <c r="B128" s="757"/>
      <c r="C128" s="103" t="s">
        <v>26</v>
      </c>
      <c r="D128" s="88">
        <v>12.9</v>
      </c>
      <c r="E128" s="106"/>
      <c r="F128" s="107" t="s">
        <v>16</v>
      </c>
      <c r="G128" s="753"/>
      <c r="H128" s="107" t="s">
        <v>67</v>
      </c>
      <c r="I128" s="115" t="s">
        <v>67</v>
      </c>
      <c r="J128" s="94"/>
      <c r="K128" s="107" t="str">
        <f t="shared" si="1"/>
        <v>08,23</v>
      </c>
      <c r="L128" s="107"/>
      <c r="M128" s="107"/>
      <c r="N128" s="107"/>
    </row>
    <row r="129" spans="1:14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1"/>
        <v>08,23</v>
      </c>
      <c r="L129" s="75"/>
      <c r="M129" s="75"/>
      <c r="N129" s="75"/>
    </row>
    <row r="130" spans="1:14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1"/>
        <v>08,23</v>
      </c>
      <c r="L130" s="40"/>
      <c r="M130" s="40"/>
      <c r="N130" s="40"/>
    </row>
    <row r="131" spans="1:14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2">RIGHT(H131,5)</f>
        <v>08,23</v>
      </c>
      <c r="L131" s="75"/>
      <c r="M131" s="75"/>
      <c r="N131" s="75"/>
    </row>
    <row r="132" spans="1:14" ht="19.5" hidden="1" customHeight="1" thickBot="1" x14ac:dyDescent="0.3">
      <c r="A132" s="731">
        <v>76</v>
      </c>
      <c r="B132" s="759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2"/>
        <v>08,23</v>
      </c>
      <c r="L132" s="82"/>
      <c r="M132" s="82"/>
      <c r="N132" s="82"/>
    </row>
    <row r="133" spans="1:14" ht="19.5" hidden="1" thickBot="1" x14ac:dyDescent="0.3">
      <c r="A133" s="731"/>
      <c r="B133" s="759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2"/>
        <v>08,23</v>
      </c>
      <c r="L133" s="109"/>
      <c r="M133" s="109"/>
      <c r="N133" s="109"/>
    </row>
    <row r="134" spans="1:14" ht="19.5" hidden="1" thickBot="1" x14ac:dyDescent="0.3">
      <c r="A134" s="731"/>
      <c r="B134" s="759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2"/>
        <v>08,23</v>
      </c>
      <c r="L134" s="109"/>
      <c r="M134" s="109"/>
      <c r="N134" s="109"/>
    </row>
    <row r="135" spans="1:14" ht="19.5" hidden="1" thickBot="1" x14ac:dyDescent="0.3">
      <c r="A135" s="731"/>
      <c r="B135" s="759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2"/>
        <v>08,23</v>
      </c>
      <c r="L135" s="107"/>
      <c r="M135" s="107"/>
      <c r="N135" s="107"/>
    </row>
    <row r="136" spans="1:14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2"/>
        <v>08,23</v>
      </c>
      <c r="L136" s="75"/>
      <c r="M136" s="75"/>
      <c r="N136" s="75"/>
    </row>
    <row r="137" spans="1:14" ht="19.5" hidden="1" customHeight="1" thickBot="1" x14ac:dyDescent="0.3">
      <c r="A137" s="731">
        <v>78</v>
      </c>
      <c r="B137" s="755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2"/>
        <v>08,23</v>
      </c>
      <c r="L137" s="82"/>
      <c r="M137" s="82"/>
      <c r="N137" s="82"/>
    </row>
    <row r="138" spans="1:14" ht="19.5" hidden="1" thickBot="1" x14ac:dyDescent="0.3">
      <c r="A138" s="731"/>
      <c r="B138" s="755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2"/>
        <v>08,23</v>
      </c>
      <c r="L138" s="129"/>
      <c r="M138" s="129"/>
      <c r="N138" s="129"/>
    </row>
    <row r="139" spans="1:14" ht="19.5" hidden="1" thickBot="1" x14ac:dyDescent="0.3">
      <c r="A139" s="756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2"/>
        <v>08,23</v>
      </c>
      <c r="L139" s="48"/>
      <c r="M139" s="48"/>
      <c r="N139" s="48"/>
    </row>
    <row r="140" spans="1:14" ht="19.5" hidden="1" thickBot="1" x14ac:dyDescent="0.3">
      <c r="A140" s="756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2"/>
        <v>08,23</v>
      </c>
      <c r="L140" s="31"/>
      <c r="M140" s="31"/>
      <c r="N140" s="31"/>
    </row>
    <row r="141" spans="1:14" ht="19.5" hidden="1" thickBot="1" x14ac:dyDescent="0.3">
      <c r="A141" s="731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2"/>
        <v>08,23</v>
      </c>
      <c r="L141" s="98"/>
      <c r="M141" s="98"/>
      <c r="N141" s="98"/>
    </row>
    <row r="142" spans="1:14" ht="19.5" hidden="1" thickBot="1" x14ac:dyDescent="0.3">
      <c r="A142" s="731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2"/>
        <v>08,23</v>
      </c>
      <c r="L142" s="109"/>
      <c r="M142" s="109"/>
      <c r="N142" s="109"/>
    </row>
    <row r="143" spans="1:14" ht="19.5" hidden="1" thickBot="1" x14ac:dyDescent="0.3">
      <c r="A143" s="731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2"/>
        <v>08,23</v>
      </c>
      <c r="L143" s="107"/>
      <c r="M143" s="107"/>
      <c r="N143" s="107"/>
    </row>
    <row r="144" spans="1:14" ht="19.5" hidden="1" thickBot="1" x14ac:dyDescent="0.3">
      <c r="A144" s="732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2"/>
        <v>08,23</v>
      </c>
      <c r="L144" s="48"/>
      <c r="M144" s="48"/>
      <c r="N144" s="48"/>
    </row>
    <row r="145" spans="1:14" ht="19.5" hidden="1" thickBot="1" x14ac:dyDescent="0.3">
      <c r="A145" s="732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2"/>
        <v>08,23</v>
      </c>
      <c r="L145" s="31"/>
      <c r="M145" s="31"/>
      <c r="N145" s="31"/>
    </row>
    <row r="146" spans="1:14" ht="19.5" hidden="1" thickBot="1" x14ac:dyDescent="0.3">
      <c r="A146" s="731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2"/>
        <v>08,23</v>
      </c>
      <c r="L146" s="82"/>
      <c r="M146" s="82"/>
      <c r="N146" s="82"/>
    </row>
    <row r="147" spans="1:14" ht="19.5" hidden="1" thickBot="1" x14ac:dyDescent="0.3">
      <c r="A147" s="731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2"/>
        <v>08,23</v>
      </c>
      <c r="L147" s="107"/>
      <c r="M147" s="107"/>
      <c r="N147" s="107"/>
    </row>
    <row r="148" spans="1:14" ht="19.5" hidden="1" thickBot="1" x14ac:dyDescent="0.3">
      <c r="A148" s="732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2"/>
        <v>08,23</v>
      </c>
      <c r="L148" s="48"/>
      <c r="M148" s="48"/>
      <c r="N148" s="48"/>
    </row>
    <row r="149" spans="1:14" ht="19.5" hidden="1" thickBot="1" x14ac:dyDescent="0.3">
      <c r="A149" s="732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2"/>
        <v>08,23</v>
      </c>
      <c r="L149" s="56"/>
      <c r="M149" s="56"/>
      <c r="N149" s="56"/>
    </row>
    <row r="150" spans="1:14" ht="19.5" hidden="1" thickBot="1" x14ac:dyDescent="0.3">
      <c r="A150" s="732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2"/>
        <v>08,23</v>
      </c>
      <c r="L150" s="56"/>
      <c r="M150" s="56"/>
      <c r="N150" s="56"/>
    </row>
    <row r="151" spans="1:14" ht="19.5" hidden="1" thickBot="1" x14ac:dyDescent="0.3">
      <c r="A151" s="732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2"/>
        <v>08,23</v>
      </c>
      <c r="L151" s="31"/>
      <c r="M151" s="31"/>
      <c r="N151" s="31"/>
    </row>
    <row r="152" spans="1:14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2"/>
        <v>08,23</v>
      </c>
      <c r="L152" s="40"/>
      <c r="M152" s="40"/>
      <c r="N152" s="40"/>
    </row>
    <row r="153" spans="1:14" ht="19.5" hidden="1" thickBot="1" x14ac:dyDescent="0.3">
      <c r="A153" s="732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2"/>
        <v>08,23</v>
      </c>
      <c r="L153" s="48"/>
      <c r="M153" s="48"/>
      <c r="N153" s="48"/>
    </row>
    <row r="154" spans="1:14" ht="19.5" hidden="1" thickBot="1" x14ac:dyDescent="0.3">
      <c r="A154" s="732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2"/>
        <v>08,23</v>
      </c>
      <c r="L154" s="31"/>
      <c r="M154" s="31"/>
      <c r="N154" s="31"/>
    </row>
    <row r="155" spans="1:14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2"/>
        <v>08,23</v>
      </c>
      <c r="L155" s="40"/>
      <c r="M155" s="40"/>
      <c r="N155" s="40"/>
    </row>
    <row r="156" spans="1:14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2"/>
        <v>08,23</v>
      </c>
      <c r="L156" s="75"/>
      <c r="M156" s="75"/>
      <c r="N156" s="75"/>
    </row>
    <row r="157" spans="1:14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2"/>
        <v>08,23</v>
      </c>
      <c r="L157" s="40"/>
      <c r="M157" s="40"/>
      <c r="N157" s="40"/>
    </row>
    <row r="158" spans="1:14" ht="19.5" hidden="1" thickBot="1" x14ac:dyDescent="0.3">
      <c r="A158" s="732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2"/>
        <v>08,23</v>
      </c>
      <c r="L158" s="48"/>
      <c r="M158" s="48"/>
      <c r="N158" s="48"/>
    </row>
    <row r="159" spans="1:14" ht="19.5" hidden="1" thickBot="1" x14ac:dyDescent="0.3">
      <c r="A159" s="732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2"/>
        <v>08,23</v>
      </c>
      <c r="L159" s="31"/>
      <c r="M159" s="31"/>
      <c r="N159" s="31"/>
    </row>
    <row r="160" spans="1:14" ht="19.5" hidden="1" thickBot="1" x14ac:dyDescent="0.3">
      <c r="A160" s="731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2"/>
        <v>08,23</v>
      </c>
      <c r="L160" s="82"/>
      <c r="M160" s="82"/>
      <c r="N160" s="82"/>
    </row>
    <row r="161" spans="1:14" ht="19.5" hidden="1" thickBot="1" x14ac:dyDescent="0.3">
      <c r="A161" s="731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2"/>
        <v>08,23</v>
      </c>
      <c r="L161" s="107"/>
      <c r="M161" s="107"/>
      <c r="N161" s="107"/>
    </row>
    <row r="162" spans="1:14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2"/>
        <v>08,23</v>
      </c>
      <c r="L162" s="75"/>
      <c r="M162" s="75"/>
      <c r="N162" s="75"/>
    </row>
    <row r="163" spans="1:14" ht="19.5" hidden="1" thickBot="1" x14ac:dyDescent="0.3">
      <c r="A163" s="731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2"/>
        <v>08,23</v>
      </c>
      <c r="L163" s="82"/>
      <c r="M163" s="82"/>
      <c r="N163" s="82"/>
    </row>
    <row r="164" spans="1:14" ht="19.5" hidden="1" thickBot="1" x14ac:dyDescent="0.3">
      <c r="A164" s="731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2"/>
        <v>08,23</v>
      </c>
      <c r="L164" s="98"/>
      <c r="M164" s="98"/>
      <c r="N164" s="98"/>
    </row>
    <row r="165" spans="1:14" ht="19.5" hidden="1" thickBot="1" x14ac:dyDescent="0.3">
      <c r="A165" s="731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2"/>
        <v>08,23</v>
      </c>
      <c r="L165" s="98"/>
      <c r="M165" s="98"/>
      <c r="N165" s="98"/>
    </row>
    <row r="166" spans="1:14" ht="19.5" hidden="1" thickBot="1" x14ac:dyDescent="0.3">
      <c r="A166" s="731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2"/>
        <v>08,23</v>
      </c>
      <c r="L166" s="90"/>
      <c r="M166" s="90"/>
      <c r="N166" s="90"/>
    </row>
    <row r="167" spans="1:14" ht="19.5" hidden="1" customHeight="1" thickBot="1" x14ac:dyDescent="0.3">
      <c r="A167" s="732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754" t="s">
        <v>72</v>
      </c>
      <c r="H167" s="48" t="s">
        <v>78</v>
      </c>
      <c r="I167" s="116" t="s">
        <v>78</v>
      </c>
      <c r="J167" s="52"/>
      <c r="K167" s="48" t="str">
        <f t="shared" si="2"/>
        <v>08,23</v>
      </c>
      <c r="L167" s="48"/>
      <c r="M167" s="48"/>
      <c r="N167" s="48"/>
    </row>
    <row r="168" spans="1:14" ht="19.5" hidden="1" thickBot="1" x14ac:dyDescent="0.3">
      <c r="A168" s="732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754"/>
      <c r="H168" s="31" t="s">
        <v>78</v>
      </c>
      <c r="I168" s="118" t="s">
        <v>78</v>
      </c>
      <c r="J168" s="35"/>
      <c r="K168" s="31" t="str">
        <f t="shared" si="2"/>
        <v>08,23</v>
      </c>
      <c r="L168" s="31"/>
      <c r="M168" s="31"/>
      <c r="N168" s="31"/>
    </row>
    <row r="169" spans="1:14" ht="19.5" hidden="1" thickBot="1" x14ac:dyDescent="0.3">
      <c r="A169" s="731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2"/>
        <v>08,23</v>
      </c>
      <c r="L169" s="82"/>
      <c r="M169" s="82"/>
      <c r="N169" s="82"/>
    </row>
    <row r="170" spans="1:14" ht="19.5" hidden="1" thickBot="1" x14ac:dyDescent="0.3">
      <c r="A170" s="731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2"/>
        <v>08,23</v>
      </c>
      <c r="L170" s="107"/>
      <c r="M170" s="107"/>
      <c r="N170" s="107"/>
    </row>
    <row r="171" spans="1:14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2"/>
        <v>08,23</v>
      </c>
      <c r="L171" s="75"/>
      <c r="M171" s="75"/>
      <c r="N171" s="75"/>
    </row>
    <row r="172" spans="1:14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2"/>
        <v>08,23</v>
      </c>
      <c r="L172" s="122"/>
      <c r="M172" s="122"/>
      <c r="N172" s="122"/>
    </row>
    <row r="173" spans="1:14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2"/>
        <v>08,23</v>
      </c>
      <c r="L173" s="158"/>
      <c r="M173" s="158"/>
      <c r="N173" s="158"/>
    </row>
    <row r="174" spans="1:14" ht="19.5" hidden="1" thickBot="1" x14ac:dyDescent="0.3">
      <c r="A174" s="731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2"/>
        <v>08,23</v>
      </c>
      <c r="L174" s="82"/>
      <c r="M174" s="82"/>
      <c r="N174" s="82"/>
    </row>
    <row r="175" spans="1:14" ht="19.5" hidden="1" thickBot="1" x14ac:dyDescent="0.3">
      <c r="A175" s="731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2"/>
        <v>08,23</v>
      </c>
      <c r="L175" s="109"/>
      <c r="M175" s="109"/>
      <c r="N175" s="109"/>
    </row>
    <row r="176" spans="1:14" ht="19.5" hidden="1" thickBot="1" x14ac:dyDescent="0.3">
      <c r="A176" s="731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2"/>
        <v>08,23</v>
      </c>
      <c r="L176" s="109"/>
      <c r="M176" s="109"/>
      <c r="N176" s="109"/>
    </row>
    <row r="177" spans="1:14" ht="19.5" hidden="1" thickBot="1" x14ac:dyDescent="0.3">
      <c r="A177" s="731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2"/>
        <v>08,23</v>
      </c>
      <c r="L177" s="109"/>
      <c r="M177" s="109"/>
      <c r="N177" s="109"/>
    </row>
    <row r="178" spans="1:14" ht="19.5" hidden="1" thickBot="1" x14ac:dyDescent="0.3">
      <c r="A178" s="731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2"/>
        <v>08,23</v>
      </c>
      <c r="L178" s="107"/>
      <c r="M178" s="107"/>
      <c r="N178" s="107"/>
    </row>
    <row r="179" spans="1:14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2"/>
        <v>08,23</v>
      </c>
      <c r="L179" s="75"/>
      <c r="M179" s="75"/>
      <c r="N179" s="75"/>
    </row>
    <row r="180" spans="1:14" ht="19.5" hidden="1" thickBot="1" x14ac:dyDescent="0.3">
      <c r="A180" s="731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2"/>
        <v>08,23</v>
      </c>
      <c r="L180" s="82"/>
      <c r="M180" s="82"/>
      <c r="N180" s="82"/>
    </row>
    <row r="181" spans="1:14" ht="19.5" hidden="1" thickBot="1" x14ac:dyDescent="0.3">
      <c r="A181" s="731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2"/>
        <v>08,23</v>
      </c>
      <c r="L181" s="107"/>
      <c r="M181" s="107"/>
      <c r="N181" s="107"/>
    </row>
    <row r="182" spans="1:14" ht="19.5" hidden="1" thickBot="1" x14ac:dyDescent="0.3">
      <c r="A182" s="732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2"/>
        <v>08,23</v>
      </c>
      <c r="L182" s="48"/>
      <c r="M182" s="48"/>
      <c r="N182" s="48"/>
    </row>
    <row r="183" spans="1:14" ht="19.5" hidden="1" thickBot="1" x14ac:dyDescent="0.3">
      <c r="A183" s="732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2"/>
        <v>08,23</v>
      </c>
      <c r="L183" s="31"/>
      <c r="M183" s="31"/>
      <c r="N183" s="31"/>
    </row>
    <row r="184" spans="1:14" ht="19.5" hidden="1" thickBot="1" x14ac:dyDescent="0.3">
      <c r="A184" s="731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2"/>
        <v>08,23</v>
      </c>
      <c r="L184" s="82"/>
      <c r="M184" s="82"/>
      <c r="N184" s="82"/>
    </row>
    <row r="185" spans="1:14" ht="19.5" hidden="1" thickBot="1" x14ac:dyDescent="0.3">
      <c r="A185" s="731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2"/>
        <v>08,23</v>
      </c>
      <c r="L185" s="107"/>
      <c r="M185" s="107"/>
      <c r="N185" s="107"/>
    </row>
    <row r="186" spans="1:14" ht="19.5" hidden="1" thickBot="1" x14ac:dyDescent="0.3">
      <c r="A186" s="732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2"/>
        <v>08,23</v>
      </c>
      <c r="L186" s="48"/>
      <c r="M186" s="48"/>
      <c r="N186" s="48"/>
    </row>
    <row r="187" spans="1:14" ht="19.5" hidden="1" thickBot="1" x14ac:dyDescent="0.3">
      <c r="A187" s="732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2"/>
        <v>08,23</v>
      </c>
      <c r="L187" s="31"/>
      <c r="M187" s="31"/>
      <c r="N187" s="31"/>
    </row>
    <row r="188" spans="1:14" ht="19.5" hidden="1" thickBot="1" x14ac:dyDescent="0.3">
      <c r="A188" s="731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2"/>
        <v>08,23</v>
      </c>
      <c r="L188" s="82"/>
      <c r="M188" s="82"/>
      <c r="N188" s="82"/>
    </row>
    <row r="189" spans="1:14" ht="19.5" hidden="1" thickBot="1" x14ac:dyDescent="0.3">
      <c r="A189" s="731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2"/>
        <v>08,23</v>
      </c>
      <c r="L189" s="107"/>
      <c r="M189" s="107"/>
      <c r="N189" s="107"/>
    </row>
    <row r="190" spans="1:14" ht="19.5" hidden="1" thickBot="1" x14ac:dyDescent="0.3">
      <c r="A190" s="732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2"/>
        <v>08,23</v>
      </c>
      <c r="L190" s="48"/>
      <c r="M190" s="48"/>
      <c r="N190" s="48"/>
    </row>
    <row r="191" spans="1:14" ht="19.5" hidden="1" thickBot="1" x14ac:dyDescent="0.3">
      <c r="A191" s="732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2"/>
        <v>08,23</v>
      </c>
      <c r="L191" s="56"/>
      <c r="M191" s="56"/>
      <c r="N191" s="56"/>
    </row>
    <row r="192" spans="1:14" ht="19.5" hidden="1" thickBot="1" x14ac:dyDescent="0.3">
      <c r="A192" s="732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2"/>
        <v>08,23</v>
      </c>
      <c r="L192" s="31"/>
      <c r="M192" s="31"/>
      <c r="N192" s="31"/>
    </row>
    <row r="193" spans="1:14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2"/>
        <v>08,23</v>
      </c>
      <c r="L193" s="40"/>
      <c r="M193" s="40"/>
      <c r="N193" s="40"/>
    </row>
    <row r="194" spans="1:14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2"/>
        <v>08,23</v>
      </c>
      <c r="L194" s="75"/>
      <c r="M194" s="75"/>
      <c r="N194" s="75"/>
    </row>
    <row r="195" spans="1:14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3">RIGHT(H195,5)</f>
        <v>08,23</v>
      </c>
      <c r="L195" s="40"/>
      <c r="M195" s="40"/>
      <c r="N195" s="40"/>
    </row>
    <row r="196" spans="1:14" ht="19.5" hidden="1" thickBot="1" x14ac:dyDescent="0.3">
      <c r="A196" s="732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3"/>
        <v>08,23</v>
      </c>
      <c r="L196" s="48"/>
      <c r="M196" s="48"/>
      <c r="N196" s="48"/>
    </row>
    <row r="197" spans="1:14" ht="19.5" hidden="1" thickBot="1" x14ac:dyDescent="0.3">
      <c r="A197" s="732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3"/>
        <v>08,23</v>
      </c>
      <c r="L197" s="31"/>
      <c r="M197" s="31"/>
      <c r="N197" s="31"/>
    </row>
    <row r="198" spans="1:14" ht="19.5" hidden="1" thickBot="1" x14ac:dyDescent="0.3">
      <c r="A198" s="731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3"/>
        <v>08,23</v>
      </c>
      <c r="L198" s="82"/>
      <c r="M198" s="82"/>
      <c r="N198" s="82"/>
    </row>
    <row r="199" spans="1:14" ht="19.5" hidden="1" thickBot="1" x14ac:dyDescent="0.3">
      <c r="A199" s="731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3"/>
        <v>08,23</v>
      </c>
      <c r="L199" s="107"/>
      <c r="M199" s="107"/>
      <c r="N199" s="107"/>
    </row>
    <row r="200" spans="1:14" ht="19.5" hidden="1" thickBot="1" x14ac:dyDescent="0.3">
      <c r="A200" s="732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3"/>
        <v>08,23</v>
      </c>
      <c r="L200" s="48"/>
      <c r="M200" s="48"/>
      <c r="N200" s="48"/>
    </row>
    <row r="201" spans="1:14" ht="19.5" hidden="1" thickBot="1" x14ac:dyDescent="0.3">
      <c r="A201" s="732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3"/>
        <v>08,23</v>
      </c>
      <c r="L201" s="56"/>
      <c r="M201" s="56"/>
      <c r="N201" s="56"/>
    </row>
    <row r="202" spans="1:14" ht="19.5" hidden="1" thickBot="1" x14ac:dyDescent="0.3">
      <c r="A202" s="732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3"/>
        <v>08,23</v>
      </c>
      <c r="L202" s="31"/>
      <c r="M202" s="31"/>
      <c r="N202" s="31"/>
    </row>
    <row r="203" spans="1:14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3"/>
        <v>08,23</v>
      </c>
      <c r="L203" s="40"/>
      <c r="M203" s="40"/>
      <c r="N203" s="40"/>
    </row>
    <row r="204" spans="1:14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3"/>
        <v>08,23</v>
      </c>
      <c r="L204" s="75"/>
      <c r="M204" s="75"/>
      <c r="N204" s="75"/>
    </row>
    <row r="205" spans="1:14" ht="19.5" hidden="1" thickBot="1" x14ac:dyDescent="0.3">
      <c r="A205" s="731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3"/>
        <v>08,23</v>
      </c>
      <c r="L205" s="82"/>
      <c r="M205" s="82"/>
      <c r="N205" s="82"/>
    </row>
    <row r="206" spans="1:14" ht="19.5" hidden="1" thickBot="1" x14ac:dyDescent="0.3">
      <c r="A206" s="731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3"/>
        <v>08,23</v>
      </c>
      <c r="L206" s="107"/>
      <c r="M206" s="107"/>
      <c r="N206" s="107"/>
    </row>
    <row r="207" spans="1:14" ht="19.5" hidden="1" thickBot="1" x14ac:dyDescent="0.3">
      <c r="A207" s="732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3"/>
        <v>08,23</v>
      </c>
      <c r="L207" s="48"/>
      <c r="M207" s="48"/>
      <c r="N207" s="48"/>
    </row>
    <row r="208" spans="1:14" ht="19.5" hidden="1" thickBot="1" x14ac:dyDescent="0.3">
      <c r="A208" s="732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3"/>
        <v>08,23</v>
      </c>
      <c r="L208" s="31"/>
      <c r="M208" s="31"/>
      <c r="N208" s="31"/>
    </row>
    <row r="209" spans="1:14" ht="19.5" hidden="1" thickBot="1" x14ac:dyDescent="0.3">
      <c r="A209" s="731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3"/>
        <v>08,23</v>
      </c>
      <c r="L209" s="82"/>
      <c r="M209" s="82"/>
      <c r="N209" s="82"/>
    </row>
    <row r="210" spans="1:14" ht="19.5" hidden="1" thickBot="1" x14ac:dyDescent="0.3">
      <c r="A210" s="731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3"/>
        <v>08,23</v>
      </c>
      <c r="L210" s="107"/>
      <c r="M210" s="107"/>
      <c r="N210" s="107"/>
    </row>
    <row r="211" spans="1:14" ht="19.5" hidden="1" thickBot="1" x14ac:dyDescent="0.3">
      <c r="A211" s="732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3"/>
        <v>08,23</v>
      </c>
      <c r="L211" s="48"/>
      <c r="M211" s="48"/>
      <c r="N211" s="48"/>
    </row>
    <row r="212" spans="1:14" ht="19.5" hidden="1" thickBot="1" x14ac:dyDescent="0.3">
      <c r="A212" s="732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3"/>
        <v>08,23</v>
      </c>
      <c r="L212" s="31"/>
      <c r="M212" s="31"/>
      <c r="N212" s="31"/>
    </row>
    <row r="213" spans="1:14" ht="19.5" hidden="1" thickBot="1" x14ac:dyDescent="0.3">
      <c r="A213" s="731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3"/>
        <v>08,23</v>
      </c>
      <c r="L213" s="82"/>
      <c r="M213" s="82"/>
      <c r="N213" s="82"/>
    </row>
    <row r="214" spans="1:14" ht="19.5" hidden="1" thickBot="1" x14ac:dyDescent="0.3">
      <c r="A214" s="731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3"/>
        <v>08,23</v>
      </c>
      <c r="L214" s="109"/>
      <c r="M214" s="109"/>
      <c r="N214" s="109"/>
    </row>
    <row r="215" spans="1:14" ht="19.5" hidden="1" thickBot="1" x14ac:dyDescent="0.3">
      <c r="A215" s="731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3"/>
        <v>08,23</v>
      </c>
      <c r="L215" s="107"/>
      <c r="M215" s="107"/>
      <c r="N215" s="107"/>
    </row>
    <row r="216" spans="1:14" ht="19.5" hidden="1" thickBot="1" x14ac:dyDescent="0.3">
      <c r="A216" s="732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3"/>
        <v>08,23</v>
      </c>
      <c r="L216" s="48"/>
      <c r="M216" s="48"/>
      <c r="N216" s="48"/>
    </row>
    <row r="217" spans="1:14" ht="19.5" hidden="1" thickBot="1" x14ac:dyDescent="0.3">
      <c r="A217" s="732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3"/>
        <v>08,23</v>
      </c>
      <c r="L217" s="31"/>
      <c r="M217" s="31"/>
      <c r="N217" s="31"/>
    </row>
    <row r="218" spans="1:14" ht="19.5" hidden="1" customHeight="1" thickBot="1" x14ac:dyDescent="0.3">
      <c r="A218" s="731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753" t="s">
        <v>72</v>
      </c>
      <c r="H218" s="82" t="s">
        <v>86</v>
      </c>
      <c r="I218" s="114" t="s">
        <v>86</v>
      </c>
      <c r="J218" s="86"/>
      <c r="K218" s="82" t="str">
        <f t="shared" si="3"/>
        <v>08,23</v>
      </c>
      <c r="L218" s="82"/>
      <c r="M218" s="82"/>
      <c r="N218" s="82"/>
    </row>
    <row r="219" spans="1:14" ht="19.5" hidden="1" thickBot="1" x14ac:dyDescent="0.3">
      <c r="A219" s="731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753"/>
      <c r="H219" s="107" t="s">
        <v>86</v>
      </c>
      <c r="I219" s="115" t="s">
        <v>86</v>
      </c>
      <c r="J219" s="94"/>
      <c r="K219" s="107" t="str">
        <f t="shared" si="3"/>
        <v>08,23</v>
      </c>
      <c r="L219" s="107"/>
      <c r="M219" s="107"/>
      <c r="N219" s="107"/>
    </row>
    <row r="220" spans="1:14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3"/>
        <v>08,23</v>
      </c>
      <c r="L220" s="75"/>
      <c r="M220" s="75"/>
      <c r="N220" s="75"/>
    </row>
    <row r="221" spans="1:14" ht="19.5" hidden="1" thickBot="1" x14ac:dyDescent="0.3">
      <c r="A221" s="731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3"/>
        <v>08,23</v>
      </c>
      <c r="L221" s="82"/>
      <c r="M221" s="82"/>
      <c r="N221" s="82"/>
    </row>
    <row r="222" spans="1:14" ht="19.5" hidden="1" thickBot="1" x14ac:dyDescent="0.3">
      <c r="A222" s="731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3"/>
        <v>08,23</v>
      </c>
      <c r="L222" s="107"/>
      <c r="M222" s="107"/>
      <c r="N222" s="107"/>
    </row>
    <row r="223" spans="1:14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3"/>
        <v>08,23</v>
      </c>
      <c r="L223" s="75"/>
      <c r="M223" s="75"/>
      <c r="N223" s="75"/>
    </row>
    <row r="224" spans="1:14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3"/>
        <v>08,23</v>
      </c>
      <c r="L224" s="40"/>
      <c r="M224" s="40"/>
      <c r="N224" s="40"/>
    </row>
    <row r="225" spans="1:14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3"/>
        <v>08,23</v>
      </c>
      <c r="L225" s="75"/>
      <c r="M225" s="75"/>
      <c r="N225" s="75"/>
    </row>
    <row r="226" spans="1:14" ht="75.75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3"/>
        <v>08,23</v>
      </c>
      <c r="L226" s="40"/>
      <c r="M226" s="40"/>
      <c r="N226" s="40"/>
    </row>
    <row r="227" spans="1:14" ht="19.5" hidden="1" thickBot="1" x14ac:dyDescent="0.3">
      <c r="A227" s="732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3"/>
        <v>08,23</v>
      </c>
      <c r="L227" s="48"/>
      <c r="M227" s="48"/>
      <c r="N227" s="48"/>
    </row>
    <row r="228" spans="1:14" ht="19.5" hidden="1" thickBot="1" x14ac:dyDescent="0.3">
      <c r="A228" s="732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3"/>
        <v>08,23</v>
      </c>
      <c r="L228" s="56"/>
      <c r="M228" s="56"/>
      <c r="N228" s="56"/>
    </row>
    <row r="229" spans="1:14" ht="19.5" hidden="1" thickBot="1" x14ac:dyDescent="0.3">
      <c r="A229" s="732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3"/>
        <v>08,23</v>
      </c>
      <c r="L229" s="56"/>
      <c r="M229" s="56"/>
      <c r="N229" s="56"/>
    </row>
    <row r="230" spans="1:14" ht="19.5" hidden="1" thickBot="1" x14ac:dyDescent="0.3">
      <c r="A230" s="732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3"/>
        <v>08,23</v>
      </c>
      <c r="L230" s="31"/>
      <c r="M230" s="31"/>
      <c r="N230" s="31"/>
    </row>
    <row r="231" spans="1:14" ht="19.5" hidden="1" thickBot="1" x14ac:dyDescent="0.3">
      <c r="A231" s="731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3"/>
        <v>08,23</v>
      </c>
      <c r="L231" s="82"/>
      <c r="M231" s="82"/>
      <c r="N231" s="82"/>
    </row>
    <row r="232" spans="1:14" ht="19.5" hidden="1" thickBot="1" x14ac:dyDescent="0.3">
      <c r="A232" s="731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3"/>
        <v>08,23</v>
      </c>
      <c r="L232" s="107"/>
      <c r="M232" s="107"/>
      <c r="N232" s="107"/>
    </row>
    <row r="233" spans="1:14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3"/>
        <v>08,23</v>
      </c>
      <c r="L233" s="75"/>
      <c r="M233" s="75"/>
      <c r="N233" s="75"/>
    </row>
    <row r="234" spans="1:14" ht="19.5" hidden="1" thickBot="1" x14ac:dyDescent="0.3">
      <c r="A234" s="731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3"/>
        <v>08,23</v>
      </c>
      <c r="L234" s="82"/>
      <c r="M234" s="82"/>
      <c r="N234" s="82"/>
    </row>
    <row r="235" spans="1:14" ht="19.5" hidden="1" thickBot="1" x14ac:dyDescent="0.3">
      <c r="A235" s="731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3"/>
        <v>08,23</v>
      </c>
      <c r="L235" s="109"/>
      <c r="M235" s="109"/>
      <c r="N235" s="109"/>
    </row>
    <row r="236" spans="1:14" ht="38.25" hidden="1" thickBot="1" x14ac:dyDescent="0.3">
      <c r="A236" s="731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3"/>
        <v>08,23</v>
      </c>
      <c r="L236" s="109"/>
      <c r="M236" s="109"/>
      <c r="N236" s="109"/>
    </row>
    <row r="237" spans="1:14" ht="19.5" hidden="1" thickBot="1" x14ac:dyDescent="0.3">
      <c r="A237" s="731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3"/>
        <v>08,23</v>
      </c>
      <c r="L237" s="107"/>
      <c r="M237" s="107"/>
      <c r="N237" s="107"/>
    </row>
    <row r="238" spans="1:14" ht="19.5" hidden="1" thickBot="1" x14ac:dyDescent="0.3">
      <c r="A238" s="732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3"/>
        <v>08,23</v>
      </c>
      <c r="L238" s="48"/>
      <c r="M238" s="48"/>
      <c r="N238" s="48"/>
    </row>
    <row r="239" spans="1:14" ht="19.5" hidden="1" thickBot="1" x14ac:dyDescent="0.3">
      <c r="A239" s="732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3"/>
        <v>08,23</v>
      </c>
      <c r="L239" s="31"/>
      <c r="M239" s="31"/>
      <c r="N239" s="31"/>
    </row>
    <row r="240" spans="1:14" ht="19.5" hidden="1" thickBot="1" x14ac:dyDescent="0.3">
      <c r="A240" s="731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3"/>
        <v>08,23</v>
      </c>
      <c r="L240" s="82"/>
      <c r="M240" s="82"/>
      <c r="N240" s="82"/>
    </row>
    <row r="241" spans="1:14" ht="19.5" hidden="1" thickBot="1" x14ac:dyDescent="0.3">
      <c r="A241" s="731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3"/>
        <v>08,23</v>
      </c>
      <c r="L241" s="107"/>
      <c r="M241" s="107"/>
      <c r="N241" s="107"/>
    </row>
    <row r="242" spans="1:14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3"/>
        <v>08,23</v>
      </c>
      <c r="L242" s="75"/>
      <c r="M242" s="75"/>
      <c r="N242" s="75"/>
    </row>
    <row r="243" spans="1:14" ht="19.5" hidden="1" thickBot="1" x14ac:dyDescent="0.3">
      <c r="A243" s="731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3"/>
        <v>08,23</v>
      </c>
      <c r="L243" s="82"/>
      <c r="M243" s="82"/>
      <c r="N243" s="82"/>
    </row>
    <row r="244" spans="1:14" ht="19.5" hidden="1" thickBot="1" x14ac:dyDescent="0.3">
      <c r="A244" s="731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3"/>
        <v>08,23</v>
      </c>
      <c r="L244" s="107"/>
      <c r="M244" s="107"/>
      <c r="N244" s="107"/>
    </row>
    <row r="245" spans="1:14" ht="19.5" hidden="1" thickBot="1" x14ac:dyDescent="0.3">
      <c r="A245" s="732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3"/>
        <v>08,23</v>
      </c>
      <c r="L245" s="48"/>
      <c r="M245" s="48"/>
      <c r="N245" s="48"/>
    </row>
    <row r="246" spans="1:14" ht="19.5" hidden="1" thickBot="1" x14ac:dyDescent="0.3">
      <c r="A246" s="732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3"/>
        <v>08,23</v>
      </c>
      <c r="L246" s="31"/>
      <c r="M246" s="31"/>
      <c r="N246" s="31"/>
    </row>
    <row r="247" spans="1:14" ht="19.5" hidden="1" thickBot="1" x14ac:dyDescent="0.3">
      <c r="A247" s="731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3"/>
        <v>08,23</v>
      </c>
      <c r="L247" s="82"/>
      <c r="M247" s="82"/>
      <c r="N247" s="82"/>
    </row>
    <row r="248" spans="1:14" ht="19.5" hidden="1" thickBot="1" x14ac:dyDescent="0.3">
      <c r="A248" s="731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3"/>
        <v>08,23</v>
      </c>
      <c r="L248" s="109"/>
      <c r="M248" s="109"/>
      <c r="N248" s="109"/>
    </row>
    <row r="249" spans="1:14" ht="19.5" hidden="1" thickBot="1" x14ac:dyDescent="0.3">
      <c r="A249" s="731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3"/>
        <v>08,23</v>
      </c>
      <c r="L249" s="109"/>
      <c r="M249" s="109"/>
      <c r="N249" s="109"/>
    </row>
    <row r="250" spans="1:14" ht="19.5" hidden="1" thickBot="1" x14ac:dyDescent="0.3">
      <c r="A250" s="731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3"/>
        <v>08,23</v>
      </c>
      <c r="L250" s="109"/>
      <c r="M250" s="109"/>
      <c r="N250" s="109"/>
    </row>
    <row r="251" spans="1:14" ht="19.5" hidden="1" thickBot="1" x14ac:dyDescent="0.3">
      <c r="A251" s="731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3"/>
        <v>08,23</v>
      </c>
      <c r="L251" s="107"/>
      <c r="M251" s="107"/>
      <c r="N251" s="107"/>
    </row>
    <row r="252" spans="1:14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3"/>
        <v>08,23</v>
      </c>
      <c r="L252" s="75"/>
      <c r="M252" s="75"/>
      <c r="N252" s="75"/>
    </row>
    <row r="253" spans="1:14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3"/>
        <v>08,23</v>
      </c>
      <c r="L253" s="40"/>
      <c r="M253" s="40"/>
      <c r="N253" s="40"/>
    </row>
    <row r="254" spans="1:14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3"/>
        <v>09,23</v>
      </c>
      <c r="L254" s="75"/>
      <c r="M254" s="75"/>
      <c r="N254" s="75"/>
    </row>
    <row r="255" spans="1:14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3"/>
        <v>08,23</v>
      </c>
      <c r="L255" s="40"/>
      <c r="M255" s="40"/>
      <c r="N255" s="40"/>
    </row>
    <row r="256" spans="1:14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3"/>
        <v>08,23</v>
      </c>
      <c r="L256" s="75"/>
      <c r="M256" s="75"/>
      <c r="N256" s="75"/>
    </row>
    <row r="257" spans="1:14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3"/>
        <v>08,23</v>
      </c>
      <c r="L257" s="40"/>
      <c r="M257" s="40"/>
      <c r="N257" s="40"/>
    </row>
    <row r="258" spans="1:14" ht="19.5" hidden="1" thickBot="1" x14ac:dyDescent="0.3">
      <c r="A258" s="732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3"/>
        <v>08,23</v>
      </c>
      <c r="L258" s="48"/>
      <c r="M258" s="48"/>
      <c r="N258" s="48"/>
    </row>
    <row r="259" spans="1:14" ht="19.5" hidden="1" thickBot="1" x14ac:dyDescent="0.3">
      <c r="A259" s="732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4">RIGHT(H259,5)</f>
        <v>08,23</v>
      </c>
      <c r="L259" s="71"/>
      <c r="M259" s="71"/>
      <c r="N259" s="71"/>
    </row>
    <row r="260" spans="1:14" ht="19.5" hidden="1" thickBot="1" x14ac:dyDescent="0.3">
      <c r="A260" s="731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4"/>
        <v>08,23</v>
      </c>
      <c r="L260" s="82"/>
      <c r="M260" s="82"/>
      <c r="N260" s="82"/>
    </row>
    <row r="261" spans="1:14" ht="19.5" hidden="1" thickBot="1" x14ac:dyDescent="0.3">
      <c r="A261" s="731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4"/>
        <v>08,23</v>
      </c>
      <c r="L261" s="90"/>
      <c r="M261" s="90"/>
      <c r="N261" s="90"/>
    </row>
    <row r="262" spans="1:14" ht="19.5" hidden="1" thickBot="1" x14ac:dyDescent="0.3">
      <c r="A262" s="732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4"/>
        <v>08,23</v>
      </c>
      <c r="L262" s="48"/>
      <c r="M262" s="48"/>
      <c r="N262" s="48"/>
    </row>
    <row r="263" spans="1:14" ht="19.5" hidden="1" thickBot="1" x14ac:dyDescent="0.3">
      <c r="A263" s="732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4"/>
        <v>08,23</v>
      </c>
      <c r="L263" s="71"/>
      <c r="M263" s="71"/>
      <c r="N263" s="71"/>
    </row>
    <row r="264" spans="1:14" ht="19.5" hidden="1" customHeight="1" thickBot="1" x14ac:dyDescent="0.3">
      <c r="A264" s="731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746" t="s">
        <v>103</v>
      </c>
      <c r="K264" s="82" t="str">
        <f t="shared" si="4"/>
        <v>08,23</v>
      </c>
      <c r="L264" s="82"/>
      <c r="M264" s="82"/>
      <c r="N264" s="82"/>
    </row>
    <row r="265" spans="1:14" ht="19.5" hidden="1" thickBot="1" x14ac:dyDescent="0.3">
      <c r="A265" s="731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746"/>
      <c r="K265" s="90" t="str">
        <f t="shared" si="4"/>
        <v>08,23</v>
      </c>
      <c r="L265" s="90"/>
      <c r="M265" s="90"/>
      <c r="N265" s="90"/>
    </row>
    <row r="266" spans="1:14" ht="19.5" hidden="1" thickBot="1" x14ac:dyDescent="0.3">
      <c r="A266" s="732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4"/>
        <v>08,23</v>
      </c>
      <c r="L266" s="48"/>
      <c r="M266" s="48"/>
      <c r="N266" s="48"/>
    </row>
    <row r="267" spans="1:14" ht="19.5" hidden="1" thickBot="1" x14ac:dyDescent="0.3">
      <c r="A267" s="732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4"/>
        <v>08,23</v>
      </c>
      <c r="L267" s="71"/>
      <c r="M267" s="71"/>
      <c r="N267" s="71"/>
    </row>
    <row r="268" spans="1:14" ht="19.5" hidden="1" customHeight="1" thickBot="1" x14ac:dyDescent="0.3">
      <c r="A268" s="731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753" t="s">
        <v>72</v>
      </c>
      <c r="H268" s="82" t="s">
        <v>95</v>
      </c>
      <c r="I268" s="147" t="s">
        <v>95</v>
      </c>
      <c r="J268" s="86"/>
      <c r="K268" s="82" t="str">
        <f t="shared" si="4"/>
        <v>08,23</v>
      </c>
      <c r="L268" s="82"/>
      <c r="M268" s="82"/>
      <c r="N268" s="82"/>
    </row>
    <row r="269" spans="1:14" ht="19.5" hidden="1" thickBot="1" x14ac:dyDescent="0.3">
      <c r="A269" s="731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753"/>
      <c r="H269" s="90" t="s">
        <v>95</v>
      </c>
      <c r="I269" s="172" t="s">
        <v>95</v>
      </c>
      <c r="J269" s="173"/>
      <c r="K269" s="90" t="str">
        <f t="shared" si="4"/>
        <v>08,23</v>
      </c>
      <c r="L269" s="90"/>
      <c r="M269" s="90"/>
      <c r="N269" s="90"/>
    </row>
    <row r="270" spans="1:14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4"/>
        <v>08,23</v>
      </c>
      <c r="L270" s="75"/>
      <c r="M270" s="75"/>
      <c r="N270" s="75"/>
    </row>
    <row r="271" spans="1:14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4"/>
        <v>08,23</v>
      </c>
      <c r="L271" s="40"/>
      <c r="M271" s="40"/>
      <c r="N271" s="40"/>
    </row>
    <row r="272" spans="1:14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4"/>
        <v>08,23</v>
      </c>
      <c r="L272" s="75"/>
      <c r="M272" s="75"/>
      <c r="N272" s="75"/>
    </row>
    <row r="273" spans="1:14" ht="19.5" hidden="1" thickBot="1" x14ac:dyDescent="0.3">
      <c r="A273" s="731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4"/>
        <v>08,23</v>
      </c>
      <c r="L273" s="82"/>
      <c r="M273" s="82"/>
      <c r="N273" s="82"/>
    </row>
    <row r="274" spans="1:14" ht="19.5" hidden="1" thickBot="1" x14ac:dyDescent="0.3">
      <c r="A274" s="731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4"/>
        <v>08,23</v>
      </c>
      <c r="L274" s="109"/>
      <c r="M274" s="109"/>
      <c r="N274" s="109"/>
    </row>
    <row r="275" spans="1:14" ht="19.5" hidden="1" thickBot="1" x14ac:dyDescent="0.3">
      <c r="A275" s="731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4"/>
        <v>08,23</v>
      </c>
      <c r="L275" s="107"/>
      <c r="M275" s="107"/>
      <c r="N275" s="107"/>
    </row>
    <row r="276" spans="1:14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4"/>
        <v>08,23</v>
      </c>
      <c r="L276" s="75"/>
      <c r="M276" s="75"/>
      <c r="N276" s="75"/>
    </row>
    <row r="277" spans="1:14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4"/>
        <v>08,23</v>
      </c>
      <c r="L277" s="40"/>
      <c r="M277" s="40"/>
      <c r="N277" s="40"/>
    </row>
    <row r="278" spans="1:14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4"/>
        <v>08,23</v>
      </c>
      <c r="L278" s="75"/>
      <c r="M278" s="75"/>
      <c r="N278" s="75"/>
    </row>
    <row r="279" spans="1:14" ht="19.5" hidden="1" thickBot="1" x14ac:dyDescent="0.3">
      <c r="A279" s="731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4"/>
        <v>08,23</v>
      </c>
      <c r="L279" s="82"/>
      <c r="M279" s="82"/>
      <c r="N279" s="82"/>
    </row>
    <row r="280" spans="1:14" ht="19.5" hidden="1" thickBot="1" x14ac:dyDescent="0.3">
      <c r="A280" s="731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4"/>
        <v>08,23</v>
      </c>
      <c r="L280" s="109"/>
      <c r="M280" s="109"/>
      <c r="N280" s="109"/>
    </row>
    <row r="281" spans="1:14" ht="19.5" hidden="1" thickBot="1" x14ac:dyDescent="0.3">
      <c r="A281" s="731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4"/>
        <v>08,23</v>
      </c>
      <c r="L281" s="109"/>
      <c r="M281" s="109"/>
      <c r="N281" s="109"/>
    </row>
    <row r="282" spans="1:14" ht="19.5" hidden="1" thickBot="1" x14ac:dyDescent="0.3">
      <c r="A282" s="731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4"/>
        <v>08,23</v>
      </c>
      <c r="L282" s="109"/>
      <c r="M282" s="109"/>
      <c r="N282" s="109"/>
    </row>
    <row r="283" spans="1:14" ht="19.5" hidden="1" thickBot="1" x14ac:dyDescent="0.3">
      <c r="A283" s="731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4"/>
        <v>08,23</v>
      </c>
      <c r="L283" s="107"/>
      <c r="M283" s="107"/>
      <c r="N283" s="107"/>
    </row>
    <row r="284" spans="1:14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4"/>
        <v>08,23</v>
      </c>
      <c r="L284" s="75"/>
      <c r="M284" s="75"/>
      <c r="N284" s="75"/>
    </row>
    <row r="285" spans="1:14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4"/>
        <v>08,23</v>
      </c>
      <c r="L285" s="40"/>
      <c r="M285" s="40"/>
      <c r="N285" s="40"/>
    </row>
    <row r="286" spans="1:14" ht="19.5" hidden="1" thickBot="1" x14ac:dyDescent="0.3">
      <c r="A286" s="732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4"/>
        <v>09,23</v>
      </c>
      <c r="L286" s="48"/>
      <c r="M286" s="48"/>
      <c r="N286" s="48"/>
    </row>
    <row r="287" spans="1:14" ht="19.5" hidden="1" thickBot="1" x14ac:dyDescent="0.3">
      <c r="A287" s="732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4"/>
        <v>09,23</v>
      </c>
      <c r="L287" s="71"/>
      <c r="M287" s="71"/>
      <c r="N287" s="71"/>
    </row>
    <row r="288" spans="1:14" ht="19.5" hidden="1" thickBot="1" x14ac:dyDescent="0.3">
      <c r="A288" s="731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4"/>
        <v>09,23</v>
      </c>
      <c r="L288" s="82"/>
      <c r="M288" s="82"/>
      <c r="N288" s="82"/>
    </row>
    <row r="289" spans="1:14" ht="19.5" hidden="1" thickBot="1" x14ac:dyDescent="0.3">
      <c r="A289" s="731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4"/>
        <v>09,23</v>
      </c>
      <c r="L289" s="90"/>
      <c r="M289" s="90"/>
      <c r="N289" s="90"/>
    </row>
    <row r="290" spans="1:14" ht="19.5" hidden="1" thickBot="1" x14ac:dyDescent="0.3">
      <c r="A290" s="732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4"/>
        <v>09,23</v>
      </c>
      <c r="L290" s="48"/>
      <c r="M290" s="48"/>
      <c r="N290" s="48"/>
    </row>
    <row r="291" spans="1:14" ht="19.5" hidden="1" thickBot="1" x14ac:dyDescent="0.3">
      <c r="A291" s="732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4"/>
        <v>09,23</v>
      </c>
      <c r="L291" s="71"/>
      <c r="M291" s="71"/>
      <c r="N291" s="71"/>
    </row>
    <row r="292" spans="1:14" ht="19.5" hidden="1" thickBot="1" x14ac:dyDescent="0.3">
      <c r="A292" s="731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4"/>
        <v>09,23</v>
      </c>
      <c r="L292" s="82"/>
      <c r="M292" s="82"/>
      <c r="N292" s="82"/>
    </row>
    <row r="293" spans="1:14" ht="19.5" hidden="1" thickBot="1" x14ac:dyDescent="0.3">
      <c r="A293" s="731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4"/>
        <v>09,23</v>
      </c>
      <c r="L293" s="98"/>
      <c r="M293" s="98"/>
      <c r="N293" s="98"/>
    </row>
    <row r="294" spans="1:14" ht="19.5" hidden="1" thickBot="1" x14ac:dyDescent="0.3">
      <c r="A294" s="731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4"/>
        <v>09,23</v>
      </c>
      <c r="L294" s="98"/>
      <c r="M294" s="98"/>
      <c r="N294" s="98"/>
    </row>
    <row r="295" spans="1:14" ht="19.5" hidden="1" thickBot="1" x14ac:dyDescent="0.3">
      <c r="A295" s="731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4"/>
        <v>09,23</v>
      </c>
      <c r="L295" s="90"/>
      <c r="M295" s="90"/>
      <c r="N295" s="90"/>
    </row>
    <row r="296" spans="1:14" ht="19.5" hidden="1" thickBot="1" x14ac:dyDescent="0.3">
      <c r="A296" s="732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4"/>
        <v>09,23</v>
      </c>
      <c r="L296" s="48"/>
      <c r="M296" s="48"/>
      <c r="N296" s="48"/>
    </row>
    <row r="297" spans="1:14" ht="19.5" hidden="1" thickBot="1" x14ac:dyDescent="0.3">
      <c r="A297" s="732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4"/>
        <v>09,23</v>
      </c>
      <c r="L297" s="23"/>
      <c r="M297" s="23"/>
      <c r="N297" s="23"/>
    </row>
    <row r="298" spans="1:14" ht="19.5" hidden="1" thickBot="1" x14ac:dyDescent="0.3">
      <c r="A298" s="732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4"/>
        <v>09,23</v>
      </c>
      <c r="L298" s="23"/>
      <c r="M298" s="23"/>
      <c r="N298" s="23"/>
    </row>
    <row r="299" spans="1:14" ht="19.5" hidden="1" thickBot="1" x14ac:dyDescent="0.3">
      <c r="A299" s="732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4"/>
        <v>09,23</v>
      </c>
      <c r="L299" s="71"/>
      <c r="M299" s="71"/>
      <c r="N299" s="71"/>
    </row>
    <row r="300" spans="1:14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4"/>
        <v>09,23</v>
      </c>
      <c r="L300" s="40"/>
      <c r="M300" s="40"/>
      <c r="N300" s="40"/>
    </row>
    <row r="301" spans="1:14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4"/>
        <v>09,23</v>
      </c>
      <c r="L301" s="75"/>
      <c r="M301" s="75"/>
      <c r="N301" s="75"/>
    </row>
    <row r="302" spans="1:14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4"/>
        <v>09,23</v>
      </c>
      <c r="L302" s="40"/>
      <c r="M302" s="40"/>
      <c r="N302" s="40"/>
    </row>
    <row r="303" spans="1:14" ht="38.25" hidden="1" thickBot="1" x14ac:dyDescent="0.3">
      <c r="A303" s="732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4"/>
        <v>09,23</v>
      </c>
      <c r="L303" s="48"/>
      <c r="M303" s="48"/>
      <c r="N303" s="48"/>
    </row>
    <row r="304" spans="1:14" ht="38.25" hidden="1" thickBot="1" x14ac:dyDescent="0.3">
      <c r="A304" s="732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4"/>
        <v>09,23</v>
      </c>
      <c r="L304" s="71"/>
      <c r="M304" s="71"/>
      <c r="N304" s="71"/>
    </row>
    <row r="305" spans="1:14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4"/>
        <v>09,23</v>
      </c>
      <c r="L305" s="40"/>
      <c r="M305" s="40"/>
      <c r="N305" s="40"/>
    </row>
    <row r="306" spans="1:14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4"/>
        <v>09,23</v>
      </c>
      <c r="L306" s="75"/>
      <c r="M306" s="75"/>
      <c r="N306" s="75"/>
    </row>
    <row r="307" spans="1:14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4"/>
        <v>09,23</v>
      </c>
      <c r="L307" s="40"/>
      <c r="M307" s="40"/>
      <c r="N307" s="40"/>
    </row>
    <row r="308" spans="1:14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4"/>
        <v>09,23</v>
      </c>
      <c r="L308" s="75"/>
      <c r="M308" s="75"/>
      <c r="N308" s="75"/>
    </row>
    <row r="309" spans="1:14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4"/>
        <v>09,23</v>
      </c>
      <c r="L309" s="40"/>
      <c r="M309" s="40"/>
      <c r="N309" s="40"/>
    </row>
    <row r="310" spans="1:14" ht="19.5" hidden="1" thickBot="1" x14ac:dyDescent="0.3">
      <c r="A310" s="732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4"/>
        <v>09,23</v>
      </c>
      <c r="L310" s="48"/>
      <c r="M310" s="48"/>
      <c r="N310" s="48"/>
    </row>
    <row r="311" spans="1:14" ht="19.5" hidden="1" thickBot="1" x14ac:dyDescent="0.3">
      <c r="A311" s="732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4"/>
        <v>09,23</v>
      </c>
      <c r="L311" s="71"/>
      <c r="M311" s="71"/>
      <c r="N311" s="71"/>
    </row>
    <row r="312" spans="1:14" ht="19.5" hidden="1" thickBot="1" x14ac:dyDescent="0.3">
      <c r="A312" s="731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4"/>
        <v>09,23</v>
      </c>
      <c r="L312" s="82"/>
      <c r="M312" s="82"/>
      <c r="N312" s="82"/>
    </row>
    <row r="313" spans="1:14" ht="19.5" hidden="1" thickBot="1" x14ac:dyDescent="0.3">
      <c r="A313" s="731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4"/>
        <v>09,23</v>
      </c>
      <c r="L313" s="90"/>
      <c r="M313" s="90"/>
      <c r="N313" s="90"/>
    </row>
    <row r="314" spans="1:14" ht="19.5" hidden="1" customHeight="1" thickBot="1" x14ac:dyDescent="0.3">
      <c r="A314" s="732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754" t="s">
        <v>72</v>
      </c>
      <c r="H314" s="48" t="s">
        <v>108</v>
      </c>
      <c r="I314" s="116" t="s">
        <v>108</v>
      </c>
      <c r="J314" s="52"/>
      <c r="K314" s="48" t="str">
        <f t="shared" si="4"/>
        <v>09,23</v>
      </c>
      <c r="L314" s="48"/>
      <c r="M314" s="48"/>
      <c r="N314" s="48"/>
    </row>
    <row r="315" spans="1:14" ht="19.5" hidden="1" thickBot="1" x14ac:dyDescent="0.3">
      <c r="A315" s="732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754"/>
      <c r="H315" s="71" t="s">
        <v>108</v>
      </c>
      <c r="I315" s="175" t="s">
        <v>108</v>
      </c>
      <c r="J315" s="168"/>
      <c r="K315" s="71" t="str">
        <f t="shared" si="4"/>
        <v>09,23</v>
      </c>
      <c r="L315" s="71"/>
      <c r="M315" s="71"/>
      <c r="N315" s="71"/>
    </row>
    <row r="316" spans="1:14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4"/>
        <v>09,23</v>
      </c>
      <c r="L316" s="40"/>
      <c r="M316" s="40"/>
      <c r="N316" s="40"/>
    </row>
    <row r="317" spans="1:14" ht="38.25" hidden="1" thickBot="1" x14ac:dyDescent="0.3">
      <c r="A317" s="732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4"/>
        <v>09,23</v>
      </c>
      <c r="L317" s="48"/>
      <c r="M317" s="48"/>
      <c r="N317" s="48"/>
    </row>
    <row r="318" spans="1:14" ht="38.25" hidden="1" thickBot="1" x14ac:dyDescent="0.3">
      <c r="A318" s="732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4"/>
        <v>09,23</v>
      </c>
      <c r="L318" s="71"/>
      <c r="M318" s="71"/>
      <c r="N318" s="71"/>
    </row>
    <row r="319" spans="1:14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4"/>
        <v>09,23</v>
      </c>
      <c r="L319" s="40"/>
      <c r="M319" s="40"/>
      <c r="N319" s="40"/>
    </row>
    <row r="320" spans="1:14" ht="19.5" hidden="1" thickBot="1" x14ac:dyDescent="0.3">
      <c r="A320" s="732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4"/>
        <v>09,23</v>
      </c>
      <c r="L320" s="48"/>
      <c r="M320" s="48"/>
      <c r="N320" s="48"/>
    </row>
    <row r="321" spans="1:14" ht="19.5" hidden="1" thickBot="1" x14ac:dyDescent="0.3">
      <c r="A321" s="732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4"/>
        <v>09,23</v>
      </c>
      <c r="L321" s="23"/>
      <c r="M321" s="23"/>
      <c r="N321" s="23"/>
    </row>
    <row r="322" spans="1:14" ht="19.5" hidden="1" thickBot="1" x14ac:dyDescent="0.3">
      <c r="A322" s="732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4"/>
        <v>09,23</v>
      </c>
      <c r="L322" s="23"/>
      <c r="M322" s="23"/>
      <c r="N322" s="23"/>
    </row>
    <row r="323" spans="1:14" ht="19.5" hidden="1" thickBot="1" x14ac:dyDescent="0.3">
      <c r="A323" s="732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5">RIGHT(H323,5)</f>
        <v>09,23</v>
      </c>
      <c r="L323" s="71"/>
      <c r="M323" s="71"/>
      <c r="N323" s="71"/>
    </row>
    <row r="324" spans="1:14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5"/>
        <v>09,23</v>
      </c>
      <c r="L324" s="40"/>
      <c r="M324" s="40"/>
      <c r="N324" s="40"/>
    </row>
    <row r="325" spans="1:14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5"/>
        <v>09,23</v>
      </c>
      <c r="L325" s="75"/>
      <c r="M325" s="75"/>
      <c r="N325" s="75"/>
    </row>
    <row r="326" spans="1:14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5"/>
        <v>09,23</v>
      </c>
      <c r="L326" s="40"/>
      <c r="M326" s="40"/>
      <c r="N326" s="40"/>
    </row>
    <row r="327" spans="1:14" ht="19.5" hidden="1" thickBot="1" x14ac:dyDescent="0.3">
      <c r="A327" s="732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5"/>
        <v>09,23</v>
      </c>
      <c r="L327" s="48"/>
      <c r="M327" s="48"/>
      <c r="N327" s="48"/>
    </row>
    <row r="328" spans="1:14" ht="19.5" hidden="1" thickBot="1" x14ac:dyDescent="0.3">
      <c r="A328" s="732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5"/>
        <v>09,23</v>
      </c>
      <c r="L328" s="23"/>
      <c r="M328" s="23"/>
      <c r="N328" s="23"/>
    </row>
    <row r="329" spans="1:14" ht="19.5" hidden="1" thickBot="1" x14ac:dyDescent="0.3">
      <c r="A329" s="732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5"/>
        <v>09,23</v>
      </c>
      <c r="L329" s="23"/>
      <c r="M329" s="23"/>
      <c r="N329" s="23"/>
    </row>
    <row r="330" spans="1:14" ht="19.5" hidden="1" thickBot="1" x14ac:dyDescent="0.3">
      <c r="A330" s="732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5"/>
        <v>09,23</v>
      </c>
      <c r="L330" s="71"/>
      <c r="M330" s="71"/>
      <c r="N330" s="71"/>
    </row>
    <row r="331" spans="1:14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5"/>
        <v>09,23</v>
      </c>
      <c r="L331" s="40"/>
      <c r="M331" s="40"/>
      <c r="N331" s="40"/>
    </row>
    <row r="332" spans="1:14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5"/>
        <v>09,23</v>
      </c>
      <c r="L332" s="75"/>
      <c r="M332" s="75"/>
      <c r="N332" s="75"/>
    </row>
    <row r="333" spans="1:14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5"/>
        <v>09,23</v>
      </c>
      <c r="L333" s="40"/>
      <c r="M333" s="40"/>
      <c r="N333" s="40"/>
    </row>
    <row r="334" spans="1:14" ht="19.5" hidden="1" thickBot="1" x14ac:dyDescent="0.3">
      <c r="A334" s="732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5"/>
        <v>09,23</v>
      </c>
      <c r="L334" s="48"/>
      <c r="M334" s="48"/>
      <c r="N334" s="48"/>
    </row>
    <row r="335" spans="1:14" ht="19.5" hidden="1" thickBot="1" x14ac:dyDescent="0.3">
      <c r="A335" s="732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5"/>
        <v>09,23</v>
      </c>
      <c r="L335" s="71"/>
      <c r="M335" s="71"/>
      <c r="N335" s="71"/>
    </row>
    <row r="336" spans="1:14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5"/>
        <v>09,23</v>
      </c>
      <c r="L336" s="40"/>
      <c r="M336" s="40"/>
      <c r="N336" s="40"/>
    </row>
    <row r="337" spans="1:14" ht="19.5" hidden="1" thickBot="1" x14ac:dyDescent="0.3">
      <c r="A337" s="732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5"/>
        <v>09,23</v>
      </c>
      <c r="L337" s="48"/>
      <c r="M337" s="48"/>
      <c r="N337" s="48"/>
    </row>
    <row r="338" spans="1:14" ht="19.5" hidden="1" thickBot="1" x14ac:dyDescent="0.3">
      <c r="A338" s="732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5"/>
        <v>09,23</v>
      </c>
      <c r="L338" s="71"/>
      <c r="M338" s="71"/>
      <c r="N338" s="71"/>
    </row>
    <row r="339" spans="1:14" ht="19.5" hidden="1" thickBot="1" x14ac:dyDescent="0.3">
      <c r="A339" s="731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5"/>
        <v>09,23</v>
      </c>
      <c r="L339" s="82"/>
      <c r="M339" s="82"/>
      <c r="N339" s="82"/>
    </row>
    <row r="340" spans="1:14" ht="19.5" hidden="1" thickBot="1" x14ac:dyDescent="0.3">
      <c r="A340" s="731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5"/>
        <v>09,23</v>
      </c>
      <c r="L340" s="90"/>
      <c r="M340" s="90"/>
      <c r="N340" s="90"/>
    </row>
    <row r="341" spans="1:14" ht="19.5" hidden="1" thickBot="1" x14ac:dyDescent="0.3">
      <c r="A341" s="732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5"/>
        <v>09,23</v>
      </c>
      <c r="L341" s="48"/>
      <c r="M341" s="48"/>
      <c r="N341" s="48"/>
    </row>
    <row r="342" spans="1:14" ht="19.5" hidden="1" thickBot="1" x14ac:dyDescent="0.3">
      <c r="A342" s="732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5"/>
        <v>09,23</v>
      </c>
      <c r="L342" s="71"/>
      <c r="M342" s="71"/>
      <c r="N342" s="71"/>
    </row>
    <row r="343" spans="1:14" ht="19.5" hidden="1" thickBot="1" x14ac:dyDescent="0.3">
      <c r="A343" s="731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5"/>
        <v>09,23</v>
      </c>
      <c r="L343" s="82"/>
      <c r="M343" s="82"/>
      <c r="N343" s="82"/>
    </row>
    <row r="344" spans="1:14" ht="19.5" hidden="1" thickBot="1" x14ac:dyDescent="0.3">
      <c r="A344" s="731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5"/>
        <v>09,23</v>
      </c>
      <c r="L344" s="98"/>
      <c r="M344" s="98"/>
      <c r="N344" s="98"/>
    </row>
    <row r="345" spans="1:14" ht="19.5" hidden="1" thickBot="1" x14ac:dyDescent="0.3">
      <c r="A345" s="731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5"/>
        <v>09,23</v>
      </c>
      <c r="L345" s="98"/>
      <c r="M345" s="98"/>
      <c r="N345" s="98"/>
    </row>
    <row r="346" spans="1:14" ht="19.5" hidden="1" thickBot="1" x14ac:dyDescent="0.3">
      <c r="A346" s="731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5"/>
        <v>09,23</v>
      </c>
      <c r="L346" s="90"/>
      <c r="M346" s="90"/>
      <c r="N346" s="90"/>
    </row>
    <row r="347" spans="1:14" ht="19.5" hidden="1" thickBot="1" x14ac:dyDescent="0.3">
      <c r="A347" s="732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5"/>
        <v>09,23</v>
      </c>
      <c r="L347" s="48"/>
      <c r="M347" s="48"/>
      <c r="N347" s="48"/>
    </row>
    <row r="348" spans="1:14" ht="19.5" hidden="1" thickBot="1" x14ac:dyDescent="0.3">
      <c r="A348" s="732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5"/>
        <v>09,23</v>
      </c>
      <c r="L348" s="56"/>
      <c r="M348" s="56"/>
      <c r="N348" s="56"/>
    </row>
    <row r="349" spans="1:14" ht="19.5" hidden="1" thickBot="1" x14ac:dyDescent="0.3">
      <c r="A349" s="732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5"/>
        <v>09,23</v>
      </c>
      <c r="L349" s="56"/>
      <c r="M349" s="56"/>
      <c r="N349" s="56"/>
    </row>
    <row r="350" spans="1:14" ht="19.5" hidden="1" thickBot="1" x14ac:dyDescent="0.3">
      <c r="A350" s="732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5"/>
        <v>09,23</v>
      </c>
      <c r="L350" s="31"/>
      <c r="M350" s="31"/>
      <c r="N350" s="31"/>
    </row>
    <row r="351" spans="1:14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5"/>
        <v>09,23</v>
      </c>
      <c r="L351" s="40"/>
      <c r="M351" s="40"/>
      <c r="N351" s="40"/>
    </row>
    <row r="352" spans="1:14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5"/>
        <v>09,23</v>
      </c>
      <c r="L352" s="75"/>
      <c r="M352" s="75"/>
      <c r="N352" s="75"/>
    </row>
    <row r="353" spans="1:14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5"/>
        <v>09,23</v>
      </c>
      <c r="L353" s="40"/>
      <c r="M353" s="40"/>
      <c r="N353" s="40"/>
    </row>
    <row r="354" spans="1:14" ht="38.25" hidden="1" thickBot="1" x14ac:dyDescent="0.3">
      <c r="A354" s="732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5"/>
        <v>09,23</v>
      </c>
      <c r="L354" s="48"/>
      <c r="M354" s="48"/>
      <c r="N354" s="48"/>
    </row>
    <row r="355" spans="1:14" ht="38.25" hidden="1" thickBot="1" x14ac:dyDescent="0.3">
      <c r="A355" s="732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5"/>
        <v>09,23</v>
      </c>
      <c r="L355" s="71"/>
      <c r="M355" s="71"/>
      <c r="N355" s="71"/>
    </row>
    <row r="356" spans="1:14" ht="19.5" hidden="1" thickBot="1" x14ac:dyDescent="0.3">
      <c r="A356" s="731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5"/>
        <v>09,23</v>
      </c>
      <c r="L356" s="82"/>
      <c r="M356" s="82"/>
      <c r="N356" s="82"/>
    </row>
    <row r="357" spans="1:14" ht="19.5" hidden="1" thickBot="1" x14ac:dyDescent="0.3">
      <c r="A357" s="731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5"/>
        <v>09,23</v>
      </c>
      <c r="L357" s="90"/>
      <c r="M357" s="90"/>
      <c r="N357" s="90"/>
    </row>
    <row r="358" spans="1:14" ht="19.5" hidden="1" thickBot="1" x14ac:dyDescent="0.3">
      <c r="A358" s="732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5"/>
        <v>09,23</v>
      </c>
      <c r="L358" s="48"/>
      <c r="M358" s="48"/>
      <c r="N358" s="48"/>
    </row>
    <row r="359" spans="1:14" ht="19.5" hidden="1" thickBot="1" x14ac:dyDescent="0.3">
      <c r="A359" s="732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5"/>
        <v>09,23</v>
      </c>
      <c r="L359" s="23"/>
      <c r="M359" s="23"/>
      <c r="N359" s="23"/>
    </row>
    <row r="360" spans="1:14" ht="19.5" hidden="1" thickBot="1" x14ac:dyDescent="0.3">
      <c r="A360" s="732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5"/>
        <v>09,23</v>
      </c>
      <c r="L360" s="71"/>
      <c r="M360" s="71"/>
      <c r="N360" s="71"/>
    </row>
    <row r="361" spans="1:14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5"/>
        <v>09,23</v>
      </c>
      <c r="L361" s="40"/>
      <c r="M361" s="40"/>
      <c r="N361" s="40"/>
    </row>
    <row r="362" spans="1:14" ht="19.5" hidden="1" customHeight="1" thickBot="1" x14ac:dyDescent="0.3">
      <c r="A362" s="732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737" t="s">
        <v>72</v>
      </c>
      <c r="H362" s="48" t="s">
        <v>118</v>
      </c>
      <c r="I362" s="116" t="s">
        <v>118</v>
      </c>
      <c r="J362" s="52"/>
      <c r="K362" s="48" t="str">
        <f t="shared" si="5"/>
        <v>09,23</v>
      </c>
      <c r="L362" s="48"/>
      <c r="M362" s="48"/>
      <c r="N362" s="48"/>
    </row>
    <row r="363" spans="1:14" ht="19.5" hidden="1" thickBot="1" x14ac:dyDescent="0.3">
      <c r="A363" s="732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737"/>
      <c r="H363" s="71" t="s">
        <v>118</v>
      </c>
      <c r="I363" s="175" t="s">
        <v>118</v>
      </c>
      <c r="J363" s="168"/>
      <c r="K363" s="71" t="str">
        <f t="shared" si="5"/>
        <v>09,23</v>
      </c>
      <c r="L363" s="71"/>
      <c r="M363" s="71"/>
      <c r="N363" s="71"/>
    </row>
    <row r="364" spans="1:14" ht="19.5" hidden="1" thickBot="1" x14ac:dyDescent="0.3">
      <c r="A364" s="731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5"/>
        <v>09,23</v>
      </c>
      <c r="L364" s="82"/>
      <c r="M364" s="82"/>
      <c r="N364" s="82"/>
    </row>
    <row r="365" spans="1:14" ht="19.5" hidden="1" thickBot="1" x14ac:dyDescent="0.3">
      <c r="A365" s="731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5"/>
        <v>09,23</v>
      </c>
      <c r="L365" s="98"/>
      <c r="M365" s="98"/>
      <c r="N365" s="98"/>
    </row>
    <row r="366" spans="1:14" ht="19.5" hidden="1" thickBot="1" x14ac:dyDescent="0.3">
      <c r="A366" s="731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5"/>
        <v>09,23</v>
      </c>
      <c r="L366" s="98"/>
      <c r="M366" s="98"/>
      <c r="N366" s="98"/>
    </row>
    <row r="367" spans="1:14" ht="19.5" hidden="1" thickBot="1" x14ac:dyDescent="0.3">
      <c r="A367" s="731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5"/>
        <v>09,23</v>
      </c>
      <c r="L367" s="90"/>
      <c r="M367" s="90"/>
      <c r="N367" s="90"/>
    </row>
    <row r="368" spans="1:14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5"/>
        <v>09,23</v>
      </c>
      <c r="L368" s="75"/>
      <c r="M368" s="75"/>
      <c r="N368" s="75"/>
    </row>
    <row r="369" spans="1:14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5"/>
        <v>09,23</v>
      </c>
      <c r="L369" s="40"/>
      <c r="M369" s="40"/>
      <c r="N369" s="40"/>
    </row>
    <row r="370" spans="1:14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5"/>
        <v>09,23</v>
      </c>
      <c r="L370" s="75"/>
      <c r="M370" s="75"/>
      <c r="N370" s="75"/>
    </row>
    <row r="371" spans="1:14" ht="19.5" hidden="1" thickBot="1" x14ac:dyDescent="0.3">
      <c r="A371" s="731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5"/>
        <v>09,23</v>
      </c>
      <c r="L371" s="82"/>
      <c r="M371" s="82"/>
      <c r="N371" s="82"/>
    </row>
    <row r="372" spans="1:14" ht="19.5" hidden="1" thickBot="1" x14ac:dyDescent="0.3">
      <c r="A372" s="731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5"/>
        <v>09,23</v>
      </c>
      <c r="L372" s="98"/>
      <c r="M372" s="98"/>
      <c r="N372" s="98"/>
    </row>
    <row r="373" spans="1:14" ht="19.5" hidden="1" thickBot="1" x14ac:dyDescent="0.3">
      <c r="A373" s="731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5"/>
        <v>09,23</v>
      </c>
      <c r="L373" s="98"/>
      <c r="M373" s="98"/>
      <c r="N373" s="98"/>
    </row>
    <row r="374" spans="1:14" ht="19.5" hidden="1" thickBot="1" x14ac:dyDescent="0.3">
      <c r="A374" s="731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5"/>
        <v>09,23</v>
      </c>
      <c r="L374" s="90"/>
      <c r="M374" s="90"/>
      <c r="N374" s="90"/>
    </row>
    <row r="375" spans="1:14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5"/>
        <v>09,23</v>
      </c>
      <c r="L375" s="75"/>
      <c r="M375" s="75"/>
      <c r="N375" s="75"/>
    </row>
    <row r="376" spans="1:14" ht="57" hidden="1" thickBot="1" x14ac:dyDescent="0.3">
      <c r="A376" s="731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5"/>
        <v>09,23</v>
      </c>
      <c r="L376" s="82"/>
      <c r="M376" s="82"/>
      <c r="N376" s="82"/>
    </row>
    <row r="377" spans="1:14" ht="57" hidden="1" thickBot="1" x14ac:dyDescent="0.3">
      <c r="A377" s="731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5"/>
        <v>09,23</v>
      </c>
      <c r="L377" s="90"/>
      <c r="M377" s="90"/>
      <c r="N377" s="90"/>
    </row>
    <row r="378" spans="1:14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5"/>
        <v>09,23</v>
      </c>
      <c r="L378" s="75"/>
      <c r="M378" s="75"/>
      <c r="N378" s="75"/>
    </row>
    <row r="379" spans="1:14" ht="19.5" hidden="1" thickBot="1" x14ac:dyDescent="0.3">
      <c r="A379" s="731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5"/>
        <v>09,23</v>
      </c>
      <c r="L379" s="82"/>
      <c r="M379" s="82"/>
      <c r="N379" s="82"/>
    </row>
    <row r="380" spans="1:14" ht="19.5" hidden="1" thickBot="1" x14ac:dyDescent="0.3">
      <c r="A380" s="731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5"/>
        <v>09,23</v>
      </c>
      <c r="L380" s="90"/>
      <c r="M380" s="90"/>
      <c r="N380" s="90"/>
    </row>
    <row r="381" spans="1:14" ht="19.5" hidden="1" thickBot="1" x14ac:dyDescent="0.3">
      <c r="A381" s="732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5"/>
        <v>09,23</v>
      </c>
      <c r="L381" s="48"/>
      <c r="M381" s="48"/>
      <c r="N381" s="48"/>
    </row>
    <row r="382" spans="1:14" ht="19.5" hidden="1" thickBot="1" x14ac:dyDescent="0.3">
      <c r="A382" s="732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5"/>
        <v>09,23</v>
      </c>
      <c r="L382" s="71"/>
      <c r="M382" s="71"/>
      <c r="N382" s="71"/>
    </row>
    <row r="383" spans="1:14" ht="19.5" hidden="1" thickBot="1" x14ac:dyDescent="0.3">
      <c r="A383" s="731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5"/>
        <v>09,23</v>
      </c>
      <c r="L383" s="82"/>
      <c r="M383" s="82"/>
      <c r="N383" s="82"/>
    </row>
    <row r="384" spans="1:14" ht="19.5" hidden="1" thickBot="1" x14ac:dyDescent="0.3">
      <c r="A384" s="731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5"/>
        <v>09,23</v>
      </c>
      <c r="L384" s="90"/>
      <c r="M384" s="90"/>
      <c r="N384" s="90"/>
    </row>
    <row r="385" spans="1:14" ht="19.5" hidden="1" thickBot="1" x14ac:dyDescent="0.3">
      <c r="A385" s="732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5"/>
        <v>09,23</v>
      </c>
      <c r="L385" s="48"/>
      <c r="M385" s="48"/>
      <c r="N385" s="48"/>
    </row>
    <row r="386" spans="1:14" ht="19.5" hidden="1" thickBot="1" x14ac:dyDescent="0.3">
      <c r="A386" s="732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5"/>
        <v>09,23</v>
      </c>
      <c r="L386" s="23"/>
      <c r="M386" s="23"/>
      <c r="N386" s="23"/>
    </row>
    <row r="387" spans="1:14" ht="19.5" hidden="1" thickBot="1" x14ac:dyDescent="0.3">
      <c r="A387" s="732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6">RIGHT(H387,5)</f>
        <v>09,23</v>
      </c>
      <c r="L387" s="23"/>
      <c r="M387" s="23"/>
      <c r="N387" s="23"/>
    </row>
    <row r="388" spans="1:14" ht="19.5" hidden="1" thickBot="1" x14ac:dyDescent="0.3">
      <c r="A388" s="732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6"/>
        <v>09,23</v>
      </c>
      <c r="L388" s="23"/>
      <c r="M388" s="23"/>
      <c r="N388" s="23"/>
    </row>
    <row r="389" spans="1:14" ht="19.5" hidden="1" thickBot="1" x14ac:dyDescent="0.3">
      <c r="A389" s="732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6"/>
        <v>09,23</v>
      </c>
      <c r="L389" s="23"/>
      <c r="M389" s="23"/>
      <c r="N389" s="23"/>
    </row>
    <row r="390" spans="1:14" ht="19.5" hidden="1" thickBot="1" x14ac:dyDescent="0.3">
      <c r="A390" s="732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6"/>
        <v>09,23</v>
      </c>
      <c r="L390" s="71"/>
      <c r="M390" s="71"/>
      <c r="N390" s="71"/>
    </row>
    <row r="391" spans="1:14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6"/>
        <v>09,23</v>
      </c>
      <c r="L391" s="40"/>
      <c r="M391" s="40"/>
      <c r="N391" s="40"/>
    </row>
    <row r="392" spans="1:14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6"/>
        <v>09,23</v>
      </c>
      <c r="L392" s="75"/>
      <c r="M392" s="75"/>
      <c r="N392" s="75"/>
    </row>
    <row r="393" spans="1:14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6"/>
        <v>09,23</v>
      </c>
      <c r="L393" s="40"/>
      <c r="M393" s="40"/>
      <c r="N393" s="40"/>
    </row>
    <row r="394" spans="1:14" ht="38.25" hidden="1" thickBot="1" x14ac:dyDescent="0.3">
      <c r="A394" s="732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6"/>
        <v>09,23</v>
      </c>
      <c r="L394" s="48"/>
      <c r="M394" s="48"/>
      <c r="N394" s="48"/>
    </row>
    <row r="395" spans="1:14" ht="38.25" hidden="1" thickBot="1" x14ac:dyDescent="0.3">
      <c r="A395" s="732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6"/>
        <v>09,23</v>
      </c>
      <c r="L395" s="71"/>
      <c r="M395" s="71"/>
      <c r="N395" s="71"/>
    </row>
    <row r="396" spans="1:14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6"/>
        <v>09,23</v>
      </c>
      <c r="L396" s="40"/>
      <c r="M396" s="40"/>
      <c r="N396" s="40"/>
    </row>
    <row r="397" spans="1:14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6"/>
        <v>09,23</v>
      </c>
      <c r="L397" s="75"/>
      <c r="M397" s="75"/>
      <c r="N397" s="75"/>
    </row>
    <row r="398" spans="1:14" ht="19.5" hidden="1" thickBot="1" x14ac:dyDescent="0.3">
      <c r="A398" s="731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6"/>
        <v>09,23</v>
      </c>
      <c r="L398" s="82"/>
      <c r="M398" s="82"/>
      <c r="N398" s="82"/>
    </row>
    <row r="399" spans="1:14" ht="19.5" hidden="1" thickBot="1" x14ac:dyDescent="0.3">
      <c r="A399" s="731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6"/>
        <v>09,23</v>
      </c>
      <c r="L399" s="90"/>
      <c r="M399" s="90"/>
      <c r="N399" s="90"/>
    </row>
    <row r="400" spans="1:14" ht="19.5" hidden="1" thickBot="1" x14ac:dyDescent="0.3">
      <c r="A400" s="732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6"/>
        <v>09,23</v>
      </c>
      <c r="L400" s="48"/>
      <c r="M400" s="48"/>
      <c r="N400" s="48"/>
    </row>
    <row r="401" spans="1:14" ht="19.5" hidden="1" thickBot="1" x14ac:dyDescent="0.3">
      <c r="A401" s="732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6"/>
        <v>09,23</v>
      </c>
      <c r="L401" s="23"/>
      <c r="M401" s="23"/>
      <c r="N401" s="23"/>
    </row>
    <row r="402" spans="1:14" ht="19.5" hidden="1" thickBot="1" x14ac:dyDescent="0.3">
      <c r="A402" s="732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6"/>
        <v>09,23</v>
      </c>
      <c r="L402" s="71"/>
      <c r="M402" s="71"/>
      <c r="N402" s="71"/>
    </row>
    <row r="403" spans="1:14" ht="19.5" hidden="1" thickBot="1" x14ac:dyDescent="0.3">
      <c r="A403" s="731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6"/>
        <v>09,23</v>
      </c>
      <c r="L403" s="82"/>
      <c r="M403" s="82"/>
      <c r="N403" s="82"/>
    </row>
    <row r="404" spans="1:14" ht="19.5" hidden="1" thickBot="1" x14ac:dyDescent="0.3">
      <c r="A404" s="731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6"/>
        <v>09,23</v>
      </c>
      <c r="L404" s="90"/>
      <c r="M404" s="90"/>
      <c r="N404" s="90"/>
    </row>
    <row r="405" spans="1:14" ht="19.5" hidden="1" thickBot="1" x14ac:dyDescent="0.3">
      <c r="A405" s="732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6"/>
        <v>09,23</v>
      </c>
      <c r="L405" s="48"/>
      <c r="M405" s="48"/>
      <c r="N405" s="48"/>
    </row>
    <row r="406" spans="1:14" ht="19.5" hidden="1" thickBot="1" x14ac:dyDescent="0.3">
      <c r="A406" s="732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6"/>
        <v>09,23</v>
      </c>
      <c r="L406" s="71"/>
      <c r="M406" s="71"/>
      <c r="N406" s="71"/>
    </row>
    <row r="407" spans="1:14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6"/>
        <v>09,23</v>
      </c>
      <c r="L407" s="40"/>
      <c r="M407" s="40"/>
      <c r="N407" s="40"/>
    </row>
    <row r="408" spans="1:14" ht="19.5" hidden="1" customHeight="1" thickBot="1" x14ac:dyDescent="0.3">
      <c r="A408" s="732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737" t="s">
        <v>72</v>
      </c>
      <c r="H408" s="48" t="s">
        <v>128</v>
      </c>
      <c r="I408" s="116" t="s">
        <v>128</v>
      </c>
      <c r="J408" s="52"/>
      <c r="K408" s="48" t="str">
        <f t="shared" si="6"/>
        <v>09,23</v>
      </c>
      <c r="L408" s="48"/>
      <c r="M408" s="48"/>
      <c r="N408" s="48"/>
    </row>
    <row r="409" spans="1:14" ht="19.5" hidden="1" thickBot="1" x14ac:dyDescent="0.3">
      <c r="A409" s="732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737"/>
      <c r="H409" s="71" t="s">
        <v>128</v>
      </c>
      <c r="I409" s="175" t="s">
        <v>128</v>
      </c>
      <c r="J409" s="168"/>
      <c r="K409" s="71" t="str">
        <f t="shared" si="6"/>
        <v>09,23</v>
      </c>
      <c r="L409" s="71"/>
      <c r="M409" s="71"/>
      <c r="N409" s="71"/>
    </row>
    <row r="410" spans="1:14" ht="19.5" hidden="1" thickBot="1" x14ac:dyDescent="0.3">
      <c r="A410" s="731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6"/>
        <v>09,23</v>
      </c>
      <c r="L410" s="82"/>
      <c r="M410" s="82"/>
      <c r="N410" s="82"/>
    </row>
    <row r="411" spans="1:14" ht="19.5" hidden="1" thickBot="1" x14ac:dyDescent="0.3">
      <c r="A411" s="731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6"/>
        <v>09,23</v>
      </c>
      <c r="L411" s="90"/>
      <c r="M411" s="90"/>
      <c r="N411" s="90"/>
    </row>
    <row r="412" spans="1:14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6"/>
        <v>09,23</v>
      </c>
      <c r="L412" s="75"/>
      <c r="M412" s="75"/>
      <c r="N412" s="75"/>
    </row>
    <row r="413" spans="1:14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6"/>
        <v>09,23</v>
      </c>
      <c r="L413" s="40"/>
      <c r="M413" s="40"/>
      <c r="N413" s="40"/>
    </row>
    <row r="414" spans="1:14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6"/>
        <v>09,23</v>
      </c>
      <c r="L414" s="75"/>
      <c r="M414" s="75"/>
      <c r="N414" s="75"/>
    </row>
    <row r="415" spans="1:14" ht="19.5" hidden="1" thickBot="1" x14ac:dyDescent="0.3">
      <c r="A415" s="731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6"/>
        <v>09,23</v>
      </c>
      <c r="L415" s="82"/>
      <c r="M415" s="82"/>
      <c r="N415" s="82"/>
    </row>
    <row r="416" spans="1:14" ht="19.5" hidden="1" thickBot="1" x14ac:dyDescent="0.3">
      <c r="A416" s="731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6"/>
        <v>09,23</v>
      </c>
      <c r="L416" s="98"/>
      <c r="M416" s="98"/>
      <c r="N416" s="98"/>
    </row>
    <row r="417" spans="1:14" ht="19.5" hidden="1" thickBot="1" x14ac:dyDescent="0.3">
      <c r="A417" s="731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6"/>
        <v>09,23</v>
      </c>
      <c r="L417" s="98"/>
      <c r="M417" s="98"/>
      <c r="N417" s="98"/>
    </row>
    <row r="418" spans="1:14" ht="19.5" hidden="1" thickBot="1" x14ac:dyDescent="0.3">
      <c r="A418" s="731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6"/>
        <v>09,23</v>
      </c>
      <c r="L418" s="90"/>
      <c r="M418" s="90"/>
      <c r="N418" s="90"/>
    </row>
    <row r="419" spans="1:14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6"/>
        <v>09,23</v>
      </c>
      <c r="L419" s="75"/>
      <c r="M419" s="75"/>
      <c r="N419" s="75"/>
    </row>
    <row r="420" spans="1:14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752" t="s">
        <v>133</v>
      </c>
      <c r="J420" s="752"/>
      <c r="K420" s="187" t="str">
        <f t="shared" si="6"/>
        <v>09,23</v>
      </c>
      <c r="L420" s="187"/>
      <c r="M420" s="187"/>
      <c r="N420" s="187"/>
    </row>
    <row r="421" spans="1:14" ht="19.5" hidden="1" thickBot="1" x14ac:dyDescent="0.3">
      <c r="A421" s="732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6"/>
        <v>09,23</v>
      </c>
      <c r="L421" s="48"/>
      <c r="M421" s="48"/>
      <c r="N421" s="48"/>
    </row>
    <row r="422" spans="1:14" ht="19.5" hidden="1" thickBot="1" x14ac:dyDescent="0.3">
      <c r="A422" s="732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6"/>
        <v>09,23</v>
      </c>
      <c r="L422" s="71"/>
      <c r="M422" s="71"/>
      <c r="N422" s="71"/>
    </row>
    <row r="423" spans="1:14" ht="19.5" hidden="1" thickBot="1" x14ac:dyDescent="0.3">
      <c r="A423" s="731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6"/>
        <v>09,23</v>
      </c>
      <c r="L423" s="82"/>
      <c r="M423" s="82"/>
      <c r="N423" s="82"/>
    </row>
    <row r="424" spans="1:14" ht="38.25" hidden="1" thickBot="1" x14ac:dyDescent="0.3">
      <c r="A424" s="731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6"/>
        <v>09,23</v>
      </c>
      <c r="L424" s="90"/>
      <c r="M424" s="90"/>
      <c r="N424" s="90"/>
    </row>
    <row r="425" spans="1:14" ht="19.5" hidden="1" thickBot="1" x14ac:dyDescent="0.3">
      <c r="A425" s="732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6"/>
        <v>09,23</v>
      </c>
      <c r="L425" s="48"/>
      <c r="M425" s="48"/>
      <c r="N425" s="48"/>
    </row>
    <row r="426" spans="1:14" ht="19.5" hidden="1" thickBot="1" x14ac:dyDescent="0.3">
      <c r="A426" s="732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6"/>
        <v>09,23</v>
      </c>
      <c r="L426" s="71"/>
      <c r="M426" s="71"/>
      <c r="N426" s="71"/>
    </row>
    <row r="427" spans="1:14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6"/>
        <v>09,23</v>
      </c>
      <c r="L427" s="40"/>
      <c r="M427" s="40"/>
      <c r="N427" s="40"/>
    </row>
    <row r="428" spans="1:14" ht="75.75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6"/>
        <v>09,23</v>
      </c>
      <c r="L428" s="75"/>
      <c r="M428" s="75"/>
      <c r="N428" s="75"/>
    </row>
    <row r="429" spans="1:14" ht="19.5" hidden="1" thickBot="1" x14ac:dyDescent="0.3">
      <c r="A429" s="731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6"/>
        <v>09,23</v>
      </c>
      <c r="L429" s="82"/>
      <c r="M429" s="82"/>
      <c r="N429" s="82"/>
    </row>
    <row r="430" spans="1:14" ht="19.5" hidden="1" thickBot="1" x14ac:dyDescent="0.3">
      <c r="A430" s="731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6"/>
        <v>09,23</v>
      </c>
      <c r="L430" s="98"/>
      <c r="M430" s="98"/>
      <c r="N430" s="98"/>
    </row>
    <row r="431" spans="1:14" ht="19.5" hidden="1" thickBot="1" x14ac:dyDescent="0.3">
      <c r="A431" s="731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6"/>
        <v>09,23</v>
      </c>
      <c r="L431" s="98"/>
      <c r="M431" s="98"/>
      <c r="N431" s="98"/>
    </row>
    <row r="432" spans="1:14" ht="19.5" hidden="1" thickBot="1" x14ac:dyDescent="0.3">
      <c r="A432" s="731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6"/>
        <v>09,23</v>
      </c>
      <c r="L432" s="90"/>
      <c r="M432" s="90"/>
      <c r="N432" s="90"/>
    </row>
    <row r="433" spans="1:14" ht="19.5" hidden="1" thickBot="1" x14ac:dyDescent="0.3">
      <c r="A433" s="732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6"/>
        <v>09,23</v>
      </c>
      <c r="L433" s="48"/>
      <c r="M433" s="48"/>
      <c r="N433" s="48"/>
    </row>
    <row r="434" spans="1:14" ht="19.5" hidden="1" thickBot="1" x14ac:dyDescent="0.3">
      <c r="A434" s="732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6"/>
        <v>09,23</v>
      </c>
      <c r="L434" s="23"/>
      <c r="M434" s="23"/>
      <c r="N434" s="23"/>
    </row>
    <row r="435" spans="1:14" ht="19.5" hidden="1" thickBot="1" x14ac:dyDescent="0.3">
      <c r="A435" s="732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6"/>
        <v>09,23</v>
      </c>
      <c r="L435" s="23"/>
      <c r="M435" s="23"/>
      <c r="N435" s="23"/>
    </row>
    <row r="436" spans="1:14" ht="38.25" hidden="1" thickBot="1" x14ac:dyDescent="0.3">
      <c r="A436" s="732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6"/>
        <v>09,23</v>
      </c>
      <c r="L436" s="23"/>
      <c r="M436" s="23"/>
      <c r="N436" s="23"/>
    </row>
    <row r="437" spans="1:14" ht="38.25" hidden="1" thickBot="1" x14ac:dyDescent="0.3">
      <c r="A437" s="732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6"/>
        <v>09,23</v>
      </c>
      <c r="L437" s="71"/>
      <c r="M437" s="71"/>
      <c r="N437" s="71"/>
    </row>
    <row r="438" spans="1:14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6"/>
        <v>09,23</v>
      </c>
      <c r="L438" s="40"/>
      <c r="M438" s="40"/>
      <c r="N438" s="40"/>
    </row>
    <row r="439" spans="1:14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6"/>
        <v>09,23</v>
      </c>
      <c r="L439" s="75"/>
      <c r="M439" s="75"/>
      <c r="N439" s="75"/>
    </row>
    <row r="440" spans="1:14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6"/>
        <v>09,23</v>
      </c>
      <c r="L440" s="40"/>
      <c r="M440" s="40"/>
      <c r="N440" s="40"/>
    </row>
    <row r="441" spans="1:14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6"/>
        <v>09,23</v>
      </c>
      <c r="L441" s="75"/>
      <c r="M441" s="75"/>
      <c r="N441" s="75"/>
    </row>
    <row r="442" spans="1:14" ht="19.5" hidden="1" thickBot="1" x14ac:dyDescent="0.3">
      <c r="A442" s="731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6"/>
        <v>09,23</v>
      </c>
      <c r="L442" s="82"/>
      <c r="M442" s="82"/>
      <c r="N442" s="82"/>
    </row>
    <row r="443" spans="1:14" ht="19.5" hidden="1" thickBot="1" x14ac:dyDescent="0.3">
      <c r="A443" s="731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6"/>
        <v>09,23</v>
      </c>
      <c r="L443" s="109"/>
      <c r="M443" s="109"/>
      <c r="N443" s="109"/>
    </row>
    <row r="444" spans="1:14" ht="19.5" hidden="1" thickBot="1" x14ac:dyDescent="0.3">
      <c r="A444" s="731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6"/>
        <v>09,23</v>
      </c>
      <c r="L444" s="107"/>
      <c r="M444" s="107"/>
      <c r="N444" s="107"/>
    </row>
    <row r="445" spans="1:14" ht="19.5" hidden="1" thickBot="1" x14ac:dyDescent="0.3">
      <c r="A445" s="732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6"/>
        <v>09,23</v>
      </c>
      <c r="L445" s="48"/>
      <c r="M445" s="48"/>
      <c r="N445" s="48"/>
    </row>
    <row r="446" spans="1:14" ht="19.5" hidden="1" thickBot="1" x14ac:dyDescent="0.3">
      <c r="A446" s="732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6"/>
        <v>09,23</v>
      </c>
      <c r="L446" s="31"/>
      <c r="M446" s="31"/>
      <c r="N446" s="31"/>
    </row>
    <row r="447" spans="1:14" ht="19.5" hidden="1" thickBot="1" x14ac:dyDescent="0.3">
      <c r="A447" s="731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6"/>
        <v>09,23</v>
      </c>
      <c r="L447" s="82"/>
      <c r="M447" s="82"/>
      <c r="N447" s="82"/>
    </row>
    <row r="448" spans="1:14" ht="19.5" hidden="1" thickBot="1" x14ac:dyDescent="0.3">
      <c r="A448" s="731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6"/>
        <v>09,23</v>
      </c>
      <c r="L448" s="107"/>
      <c r="M448" s="107"/>
      <c r="N448" s="107"/>
    </row>
    <row r="449" spans="1:14" ht="19.5" hidden="1" thickBot="1" x14ac:dyDescent="0.3">
      <c r="A449" s="732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6"/>
        <v>09,23</v>
      </c>
      <c r="L449" s="48"/>
      <c r="M449" s="48"/>
      <c r="N449" s="48"/>
    </row>
    <row r="450" spans="1:14" ht="19.5" hidden="1" thickBot="1" x14ac:dyDescent="0.3">
      <c r="A450" s="732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6"/>
        <v>09,23</v>
      </c>
      <c r="L450" s="31"/>
      <c r="M450" s="31"/>
      <c r="N450" s="31"/>
    </row>
    <row r="451" spans="1:14" ht="19.5" hidden="1" customHeight="1" thickBot="1" x14ac:dyDescent="0.3">
      <c r="A451" s="731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734" t="s">
        <v>72</v>
      </c>
      <c r="H451" s="82" t="s">
        <v>142</v>
      </c>
      <c r="I451" s="114" t="s">
        <v>142</v>
      </c>
      <c r="J451" s="86"/>
      <c r="K451" s="82" t="str">
        <f t="shared" ref="K451:K514" si="7">RIGHT(H451,5)</f>
        <v>09,23</v>
      </c>
      <c r="L451" s="82"/>
      <c r="M451" s="82"/>
      <c r="N451" s="82"/>
    </row>
    <row r="452" spans="1:14" ht="19.5" hidden="1" thickBot="1" x14ac:dyDescent="0.3">
      <c r="A452" s="731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734"/>
      <c r="H452" s="107" t="s">
        <v>142</v>
      </c>
      <c r="I452" s="115" t="s">
        <v>142</v>
      </c>
      <c r="J452" s="94"/>
      <c r="K452" s="107" t="str">
        <f t="shared" si="7"/>
        <v>09,23</v>
      </c>
      <c r="L452" s="107"/>
      <c r="M452" s="107"/>
      <c r="N452" s="107"/>
    </row>
    <row r="453" spans="1:14" ht="57" hidden="1" thickBot="1" x14ac:dyDescent="0.3">
      <c r="A453" s="732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7"/>
        <v>09,23</v>
      </c>
      <c r="L453" s="48"/>
      <c r="M453" s="48"/>
      <c r="N453" s="48"/>
    </row>
    <row r="454" spans="1:14" ht="57" hidden="1" thickBot="1" x14ac:dyDescent="0.3">
      <c r="A454" s="732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7"/>
        <v>09,23</v>
      </c>
      <c r="L454" s="31"/>
      <c r="M454" s="31"/>
      <c r="N454" s="31"/>
    </row>
    <row r="455" spans="1:14" ht="38.25" hidden="1" thickBot="1" x14ac:dyDescent="0.3">
      <c r="A455" s="731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7"/>
        <v>09,23</v>
      </c>
      <c r="L455" s="82"/>
      <c r="M455" s="82"/>
      <c r="N455" s="82"/>
    </row>
    <row r="456" spans="1:14" ht="38.25" hidden="1" thickBot="1" x14ac:dyDescent="0.3">
      <c r="A456" s="731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7"/>
        <v>09,23</v>
      </c>
      <c r="L456" s="107"/>
      <c r="M456" s="107"/>
      <c r="N456" s="107"/>
    </row>
    <row r="457" spans="1:14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7"/>
        <v>09,23</v>
      </c>
      <c r="L457" s="75"/>
      <c r="M457" s="75"/>
      <c r="N457" s="75"/>
    </row>
    <row r="458" spans="1:14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7"/>
        <v>09,23</v>
      </c>
      <c r="L458" s="40"/>
      <c r="M458" s="40"/>
      <c r="N458" s="40"/>
    </row>
    <row r="459" spans="1:14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7"/>
        <v>09,23</v>
      </c>
      <c r="L459" s="75"/>
      <c r="M459" s="75"/>
      <c r="N459" s="75"/>
    </row>
    <row r="460" spans="1:14" ht="19.5" hidden="1" thickBot="1" x14ac:dyDescent="0.3">
      <c r="A460" s="731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7"/>
        <v>09,23</v>
      </c>
      <c r="L460" s="82"/>
      <c r="M460" s="82"/>
      <c r="N460" s="82"/>
    </row>
    <row r="461" spans="1:14" ht="19.5" hidden="1" thickBot="1" x14ac:dyDescent="0.3">
      <c r="A461" s="731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7"/>
        <v>09,23</v>
      </c>
      <c r="L461" s="109"/>
      <c r="M461" s="109"/>
      <c r="N461" s="109"/>
    </row>
    <row r="462" spans="1:14" ht="19.5" hidden="1" thickBot="1" x14ac:dyDescent="0.3">
      <c r="A462" s="731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7"/>
        <v>09,23</v>
      </c>
      <c r="L462" s="109"/>
      <c r="M462" s="109"/>
      <c r="N462" s="109"/>
    </row>
    <row r="463" spans="1:14" ht="19.5" hidden="1" thickBot="1" x14ac:dyDescent="0.3">
      <c r="A463" s="731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7"/>
        <v>09,23</v>
      </c>
      <c r="L463" s="107"/>
      <c r="M463" s="107"/>
      <c r="N463" s="107"/>
    </row>
    <row r="464" spans="1:14" ht="19.5" hidden="1" thickBot="1" x14ac:dyDescent="0.3">
      <c r="A464" s="735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7"/>
        <v>09,23</v>
      </c>
      <c r="L464" s="48"/>
      <c r="M464" s="48"/>
      <c r="N464" s="48"/>
    </row>
    <row r="465" spans="1:14" ht="19.5" hidden="1" thickBot="1" x14ac:dyDescent="0.3">
      <c r="A465" s="735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7"/>
        <v>09,23</v>
      </c>
      <c r="L465" s="56"/>
      <c r="M465" s="56"/>
      <c r="N465" s="56"/>
    </row>
    <row r="466" spans="1:14" ht="19.5" hidden="1" thickBot="1" x14ac:dyDescent="0.3">
      <c r="A466" s="735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7"/>
        <v>09,23</v>
      </c>
      <c r="L466" s="195"/>
      <c r="M466" s="195"/>
      <c r="N466" s="195"/>
    </row>
    <row r="467" spans="1:14" ht="19.5" hidden="1" thickBot="1" x14ac:dyDescent="0.3">
      <c r="A467" s="731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7"/>
        <v>09,23</v>
      </c>
      <c r="L467" s="82"/>
      <c r="M467" s="82"/>
      <c r="N467" s="82"/>
    </row>
    <row r="468" spans="1:14" ht="19.5" hidden="1" thickBot="1" x14ac:dyDescent="0.3">
      <c r="A468" s="731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7"/>
        <v>09,23</v>
      </c>
      <c r="L468" s="203"/>
      <c r="M468" s="203"/>
      <c r="N468" s="203"/>
    </row>
    <row r="469" spans="1:14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7"/>
        <v>09,23</v>
      </c>
      <c r="L469" s="71"/>
      <c r="M469" s="71"/>
      <c r="N469" s="71"/>
    </row>
    <row r="470" spans="1:14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7"/>
        <v>09,23</v>
      </c>
      <c r="L470" s="40"/>
      <c r="M470" s="40"/>
      <c r="N470" s="40"/>
    </row>
    <row r="471" spans="1:14" ht="19.5" hidden="1" thickBot="1" x14ac:dyDescent="0.3">
      <c r="A471" s="732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7"/>
        <v>09,23</v>
      </c>
      <c r="L471" s="48"/>
      <c r="M471" s="48"/>
      <c r="N471" s="48"/>
    </row>
    <row r="472" spans="1:14" ht="19.5" hidden="1" thickBot="1" x14ac:dyDescent="0.3">
      <c r="A472" s="732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7"/>
        <v>09,23</v>
      </c>
      <c r="L472" s="31"/>
      <c r="M472" s="31"/>
      <c r="N472" s="31"/>
    </row>
    <row r="473" spans="1:14" ht="19.5" hidden="1" thickBot="1" x14ac:dyDescent="0.3">
      <c r="A473" s="731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7"/>
        <v>09,23</v>
      </c>
      <c r="L473" s="82"/>
      <c r="M473" s="82"/>
      <c r="N473" s="82"/>
    </row>
    <row r="474" spans="1:14" ht="19.5" hidden="1" thickBot="1" x14ac:dyDescent="0.3">
      <c r="A474" s="731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7"/>
        <v>09,23</v>
      </c>
      <c r="L474" s="109"/>
      <c r="M474" s="109"/>
      <c r="N474" s="109"/>
    </row>
    <row r="475" spans="1:14" ht="19.5" hidden="1" thickBot="1" x14ac:dyDescent="0.3">
      <c r="A475" s="731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7"/>
        <v>09,23</v>
      </c>
      <c r="L475" s="109"/>
      <c r="M475" s="109"/>
      <c r="N475" s="109"/>
    </row>
    <row r="476" spans="1:14" ht="19.5" hidden="1" thickBot="1" x14ac:dyDescent="0.3">
      <c r="A476" s="731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7"/>
        <v>09,23</v>
      </c>
      <c r="L476" s="107"/>
      <c r="M476" s="107"/>
      <c r="N476" s="107"/>
    </row>
    <row r="477" spans="1:14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7"/>
        <v>09,23</v>
      </c>
      <c r="L477" s="75"/>
      <c r="M477" s="75"/>
      <c r="N477" s="75"/>
    </row>
    <row r="478" spans="1:14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7"/>
        <v>09,23</v>
      </c>
      <c r="L478" s="40"/>
      <c r="M478" s="40"/>
      <c r="N478" s="40"/>
    </row>
    <row r="479" spans="1:14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7"/>
        <v>09,23</v>
      </c>
      <c r="L479" s="75"/>
      <c r="M479" s="75"/>
      <c r="N479" s="75"/>
    </row>
    <row r="480" spans="1:14" ht="19.5" hidden="1" thickBot="1" x14ac:dyDescent="0.3">
      <c r="A480" s="731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7"/>
        <v>09,23</v>
      </c>
      <c r="L480" s="82"/>
      <c r="M480" s="82"/>
      <c r="N480" s="82"/>
    </row>
    <row r="481" spans="1:14" ht="19.5" hidden="1" thickBot="1" x14ac:dyDescent="0.3">
      <c r="A481" s="731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7"/>
        <v>09,23</v>
      </c>
      <c r="L481" s="109"/>
      <c r="M481" s="109"/>
      <c r="N481" s="109"/>
    </row>
    <row r="482" spans="1:14" ht="38.25" hidden="1" thickBot="1" x14ac:dyDescent="0.3">
      <c r="A482" s="731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7"/>
        <v>09,23</v>
      </c>
      <c r="L482" s="109"/>
      <c r="M482" s="109"/>
      <c r="N482" s="109"/>
    </row>
    <row r="483" spans="1:14" ht="19.5" hidden="1" thickBot="1" x14ac:dyDescent="0.3">
      <c r="A483" s="731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7"/>
        <v>09,23</v>
      </c>
      <c r="L483" s="107"/>
      <c r="M483" s="107"/>
      <c r="N483" s="107"/>
    </row>
    <row r="484" spans="1:14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7"/>
        <v>10,23</v>
      </c>
      <c r="L484" s="75"/>
      <c r="M484" s="75"/>
      <c r="N484" s="75"/>
    </row>
    <row r="485" spans="1:14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7"/>
        <v>09,23</v>
      </c>
      <c r="L485" s="40"/>
      <c r="M485" s="40"/>
      <c r="N485" s="40"/>
    </row>
    <row r="486" spans="1:14" ht="19.5" hidden="1" thickBot="1" x14ac:dyDescent="0.3">
      <c r="A486" s="732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7"/>
        <v>09,23</v>
      </c>
      <c r="L486" s="48"/>
      <c r="M486" s="48"/>
      <c r="N486" s="48"/>
    </row>
    <row r="487" spans="1:14" ht="19.5" hidden="1" thickBot="1" x14ac:dyDescent="0.3">
      <c r="A487" s="732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7"/>
        <v>09,23</v>
      </c>
      <c r="L487" s="56"/>
      <c r="M487" s="56"/>
      <c r="N487" s="56"/>
    </row>
    <row r="488" spans="1:14" ht="19.5" hidden="1" thickBot="1" x14ac:dyDescent="0.3">
      <c r="A488" s="732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7"/>
        <v>09,23</v>
      </c>
      <c r="L488" s="56"/>
      <c r="M488" s="56"/>
      <c r="N488" s="56"/>
    </row>
    <row r="489" spans="1:14" ht="19.5" hidden="1" thickBot="1" x14ac:dyDescent="0.3">
      <c r="A489" s="732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7"/>
        <v>09,23</v>
      </c>
      <c r="L489" s="31"/>
      <c r="M489" s="31"/>
      <c r="N489" s="31"/>
    </row>
    <row r="490" spans="1:14" ht="19.5" hidden="1" thickBot="1" x14ac:dyDescent="0.3">
      <c r="A490" s="731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7"/>
        <v>09,23</v>
      </c>
      <c r="L490" s="82"/>
      <c r="M490" s="82"/>
      <c r="N490" s="82"/>
    </row>
    <row r="491" spans="1:14" ht="19.5" hidden="1" thickBot="1" x14ac:dyDescent="0.3">
      <c r="A491" s="731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7"/>
        <v>09,23</v>
      </c>
      <c r="L491" s="109"/>
      <c r="M491" s="109"/>
      <c r="N491" s="109"/>
    </row>
    <row r="492" spans="1:14" ht="19.5" hidden="1" thickBot="1" x14ac:dyDescent="0.3">
      <c r="A492" s="731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7"/>
        <v>09,23</v>
      </c>
      <c r="L492" s="107"/>
      <c r="M492" s="107"/>
      <c r="N492" s="107"/>
    </row>
    <row r="493" spans="1:14" ht="19.5" hidden="1" thickBot="1" x14ac:dyDescent="0.3">
      <c r="A493" s="732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7"/>
        <v>09,23</v>
      </c>
      <c r="L493" s="48"/>
      <c r="M493" s="48"/>
      <c r="N493" s="48"/>
    </row>
    <row r="494" spans="1:14" ht="19.5" hidden="1" thickBot="1" x14ac:dyDescent="0.3">
      <c r="A494" s="732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7"/>
        <v>09,23</v>
      </c>
      <c r="L494" s="31"/>
      <c r="M494" s="31"/>
      <c r="N494" s="31"/>
    </row>
    <row r="495" spans="1:14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7"/>
        <v>09,23</v>
      </c>
      <c r="L495" s="40"/>
      <c r="M495" s="40"/>
      <c r="N495" s="40"/>
    </row>
    <row r="496" spans="1:14" ht="19.5" hidden="1" customHeight="1" thickBot="1" x14ac:dyDescent="0.3">
      <c r="A496" s="732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737" t="s">
        <v>72</v>
      </c>
      <c r="H496" s="48" t="s">
        <v>156</v>
      </c>
      <c r="I496" s="163" t="s">
        <v>156</v>
      </c>
      <c r="J496" s="52"/>
      <c r="K496" s="48" t="str">
        <f t="shared" si="7"/>
        <v>10,23</v>
      </c>
      <c r="L496" s="48"/>
      <c r="M496" s="48"/>
      <c r="N496" s="48"/>
    </row>
    <row r="497" spans="1:14" ht="19.5" hidden="1" thickBot="1" x14ac:dyDescent="0.3">
      <c r="A497" s="732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737"/>
      <c r="H497" s="31" t="s">
        <v>156</v>
      </c>
      <c r="I497" s="189" t="s">
        <v>156</v>
      </c>
      <c r="J497" s="35"/>
      <c r="K497" s="31" t="str">
        <f t="shared" si="7"/>
        <v>10,23</v>
      </c>
      <c r="L497" s="31"/>
      <c r="M497" s="31"/>
      <c r="N497" s="31"/>
    </row>
    <row r="498" spans="1:14" ht="38.25" hidden="1" thickBot="1" x14ac:dyDescent="0.3">
      <c r="A498" s="731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7"/>
        <v>10,23</v>
      </c>
      <c r="L498" s="82"/>
      <c r="M498" s="82"/>
      <c r="N498" s="82"/>
    </row>
    <row r="499" spans="1:14" ht="38.25" hidden="1" thickBot="1" x14ac:dyDescent="0.3">
      <c r="A499" s="731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7"/>
        <v>10,23</v>
      </c>
      <c r="L499" s="107"/>
      <c r="M499" s="107"/>
      <c r="N499" s="107"/>
    </row>
    <row r="500" spans="1:14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7"/>
        <v>10,23</v>
      </c>
      <c r="L500" s="75"/>
      <c r="M500" s="75"/>
      <c r="N500" s="75"/>
    </row>
    <row r="501" spans="1:14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7"/>
        <v>10,23</v>
      </c>
      <c r="L501" s="40"/>
      <c r="M501" s="40"/>
      <c r="N501" s="40"/>
    </row>
    <row r="502" spans="1:14" ht="19.5" hidden="1" customHeight="1" thickBot="1" x14ac:dyDescent="0.3">
      <c r="A502" s="732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751" t="s">
        <v>159</v>
      </c>
      <c r="K502" s="48" t="str">
        <f t="shared" si="7"/>
        <v>10,23</v>
      </c>
      <c r="L502" s="48"/>
      <c r="M502" s="48"/>
      <c r="N502" s="48"/>
    </row>
    <row r="503" spans="1:14" ht="19.5" hidden="1" thickBot="1" x14ac:dyDescent="0.3">
      <c r="A503" s="732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751"/>
      <c r="K503" s="31" t="str">
        <f t="shared" si="7"/>
        <v>10,23</v>
      </c>
      <c r="L503" s="31"/>
      <c r="M503" s="31"/>
      <c r="N503" s="31"/>
    </row>
    <row r="504" spans="1:14" ht="19.5" hidden="1" thickBot="1" x14ac:dyDescent="0.3">
      <c r="A504" s="731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751"/>
      <c r="K504" s="82" t="str">
        <f t="shared" si="7"/>
        <v>10,23</v>
      </c>
      <c r="L504" s="82"/>
      <c r="M504" s="82"/>
      <c r="N504" s="82"/>
    </row>
    <row r="505" spans="1:14" ht="19.5" hidden="1" thickBot="1" x14ac:dyDescent="0.3">
      <c r="A505" s="731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751"/>
      <c r="K505" s="109" t="str">
        <f t="shared" si="7"/>
        <v>10,23</v>
      </c>
      <c r="L505" s="109"/>
      <c r="M505" s="109"/>
      <c r="N505" s="109"/>
    </row>
    <row r="506" spans="1:14" ht="19.5" hidden="1" thickBot="1" x14ac:dyDescent="0.3">
      <c r="A506" s="731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751"/>
      <c r="K506" s="107" t="str">
        <f t="shared" si="7"/>
        <v>10,23</v>
      </c>
      <c r="L506" s="107"/>
      <c r="M506" s="107"/>
      <c r="N506" s="107"/>
    </row>
    <row r="507" spans="1:14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7"/>
        <v>10,23</v>
      </c>
      <c r="L507" s="219"/>
      <c r="M507" s="219"/>
      <c r="N507" s="219"/>
    </row>
    <row r="508" spans="1:14" ht="38.25" hidden="1" thickBot="1" x14ac:dyDescent="0.3">
      <c r="A508" s="731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7"/>
        <v>10,23</v>
      </c>
      <c r="L508" s="82"/>
      <c r="M508" s="82"/>
      <c r="N508" s="82"/>
    </row>
    <row r="509" spans="1:14" ht="38.25" hidden="1" thickBot="1" x14ac:dyDescent="0.3">
      <c r="A509" s="731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7"/>
        <v>10,23</v>
      </c>
      <c r="L509" s="109"/>
      <c r="M509" s="109"/>
      <c r="N509" s="109"/>
    </row>
    <row r="510" spans="1:14" ht="38.25" hidden="1" thickBot="1" x14ac:dyDescent="0.3">
      <c r="A510" s="731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7"/>
        <v>10,23</v>
      </c>
      <c r="L510" s="107"/>
      <c r="M510" s="107"/>
      <c r="N510" s="107"/>
    </row>
    <row r="511" spans="1:14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7"/>
        <v>10,23</v>
      </c>
      <c r="L511" s="75"/>
      <c r="M511" s="75"/>
      <c r="N511" s="75"/>
    </row>
    <row r="512" spans="1:14" ht="19.5" hidden="1" thickBot="1" x14ac:dyDescent="0.3">
      <c r="A512" s="731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7"/>
        <v>10,23</v>
      </c>
      <c r="L512" s="82"/>
      <c r="M512" s="82"/>
      <c r="N512" s="82"/>
    </row>
    <row r="513" spans="1:14" ht="19.5" hidden="1" thickBot="1" x14ac:dyDescent="0.3">
      <c r="A513" s="731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7"/>
        <v>10,23</v>
      </c>
      <c r="L513" s="109"/>
      <c r="M513" s="109"/>
      <c r="N513" s="109"/>
    </row>
    <row r="514" spans="1:14" ht="19.5" hidden="1" thickBot="1" x14ac:dyDescent="0.3">
      <c r="A514" s="731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7"/>
        <v>10,23</v>
      </c>
      <c r="L514" s="107"/>
      <c r="M514" s="107"/>
      <c r="N514" s="107"/>
    </row>
    <row r="515" spans="1:14" ht="19.5" hidden="1" thickBot="1" x14ac:dyDescent="0.3">
      <c r="A515" s="732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8">RIGHT(H515,5)</f>
        <v>10,23</v>
      </c>
      <c r="L515" s="48"/>
      <c r="M515" s="48"/>
      <c r="N515" s="48"/>
    </row>
    <row r="516" spans="1:14" ht="19.5" hidden="1" thickBot="1" x14ac:dyDescent="0.3">
      <c r="A516" s="732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8"/>
        <v>10,23</v>
      </c>
      <c r="L516" s="56"/>
      <c r="M516" s="56"/>
      <c r="N516" s="56"/>
    </row>
    <row r="517" spans="1:14" ht="19.5" hidden="1" thickBot="1" x14ac:dyDescent="0.3">
      <c r="A517" s="732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8"/>
        <v>10,23</v>
      </c>
      <c r="L517" s="31"/>
      <c r="M517" s="31"/>
      <c r="N517" s="31"/>
    </row>
    <row r="518" spans="1:14" ht="19.5" hidden="1" thickBot="1" x14ac:dyDescent="0.3">
      <c r="A518" s="731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8"/>
        <v>10,23</v>
      </c>
      <c r="L518" s="82"/>
      <c r="M518" s="82"/>
      <c r="N518" s="82"/>
    </row>
    <row r="519" spans="1:14" ht="19.5" hidden="1" thickBot="1" x14ac:dyDescent="0.3">
      <c r="A519" s="731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8"/>
        <v>10,23</v>
      </c>
      <c r="L519" s="109"/>
      <c r="M519" s="109"/>
      <c r="N519" s="109"/>
    </row>
    <row r="520" spans="1:14" ht="19.5" hidden="1" thickBot="1" x14ac:dyDescent="0.3">
      <c r="A520" s="731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8"/>
        <v>10,23</v>
      </c>
      <c r="L520" s="107"/>
      <c r="M520" s="107"/>
      <c r="N520" s="107"/>
    </row>
    <row r="521" spans="1:14" ht="19.5" hidden="1" thickBot="1" x14ac:dyDescent="0.3">
      <c r="A521" s="732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8"/>
        <v>10,23</v>
      </c>
      <c r="L521" s="48"/>
      <c r="M521" s="48"/>
      <c r="N521" s="48"/>
    </row>
    <row r="522" spans="1:14" ht="19.5" hidden="1" thickBot="1" x14ac:dyDescent="0.3">
      <c r="A522" s="732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8"/>
        <v>10,23</v>
      </c>
      <c r="L522" s="56"/>
      <c r="M522" s="56"/>
      <c r="N522" s="56"/>
    </row>
    <row r="523" spans="1:14" ht="38.25" hidden="1" thickBot="1" x14ac:dyDescent="0.3">
      <c r="A523" s="732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8"/>
        <v>10,23</v>
      </c>
      <c r="L523" s="203"/>
      <c r="M523" s="203"/>
      <c r="N523" s="203"/>
    </row>
    <row r="524" spans="1:14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8"/>
        <v>10,23</v>
      </c>
      <c r="L524" s="40"/>
      <c r="M524" s="40"/>
      <c r="N524" s="40"/>
    </row>
    <row r="525" spans="1:14" ht="19.5" hidden="1" thickBot="1" x14ac:dyDescent="0.3">
      <c r="A525" s="732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8"/>
        <v>10,23</v>
      </c>
      <c r="L525" s="48"/>
      <c r="M525" s="48"/>
      <c r="N525" s="48"/>
    </row>
    <row r="526" spans="1:14" ht="19.5" hidden="1" thickBot="1" x14ac:dyDescent="0.3">
      <c r="A526" s="732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8"/>
        <v>10,23</v>
      </c>
      <c r="L526" s="31"/>
      <c r="M526" s="31"/>
      <c r="N526" s="31"/>
    </row>
    <row r="527" spans="1:14" ht="19.5" hidden="1" thickBot="1" x14ac:dyDescent="0.3">
      <c r="A527" s="731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8"/>
        <v>10,23</v>
      </c>
      <c r="L527" s="82"/>
      <c r="M527" s="82"/>
      <c r="N527" s="82"/>
    </row>
    <row r="528" spans="1:14" ht="19.5" hidden="1" thickBot="1" x14ac:dyDescent="0.3">
      <c r="A528" s="731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8"/>
        <v>10,23</v>
      </c>
      <c r="L528" s="109"/>
      <c r="M528" s="109"/>
      <c r="N528" s="109"/>
    </row>
    <row r="529" spans="1:14" ht="19.5" hidden="1" thickBot="1" x14ac:dyDescent="0.3">
      <c r="A529" s="731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8"/>
        <v>10,23</v>
      </c>
      <c r="L529" s="107"/>
      <c r="M529" s="107"/>
      <c r="N529" s="107"/>
    </row>
    <row r="530" spans="1:14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8"/>
        <v>10,23</v>
      </c>
      <c r="L530" s="75"/>
      <c r="M530" s="75"/>
      <c r="N530" s="75"/>
    </row>
    <row r="531" spans="1:14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8"/>
        <v>10,23</v>
      </c>
      <c r="L531" s="40"/>
      <c r="M531" s="40"/>
      <c r="N531" s="40"/>
    </row>
    <row r="532" spans="1:14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8"/>
        <v>10,23</v>
      </c>
      <c r="L532" s="75"/>
      <c r="M532" s="75"/>
      <c r="N532" s="75"/>
    </row>
    <row r="533" spans="1:14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8"/>
        <v>10,23</v>
      </c>
      <c r="L533" s="40"/>
      <c r="M533" s="40"/>
      <c r="N533" s="40"/>
    </row>
    <row r="534" spans="1:14" ht="19.5" hidden="1" thickBot="1" x14ac:dyDescent="0.3">
      <c r="A534" s="732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8"/>
        <v>10,23</v>
      </c>
      <c r="L534" s="48"/>
      <c r="M534" s="48"/>
      <c r="N534" s="48"/>
    </row>
    <row r="535" spans="1:14" ht="19.5" hidden="1" thickBot="1" x14ac:dyDescent="0.3">
      <c r="A535" s="732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8"/>
        <v>10,23</v>
      </c>
      <c r="L535" s="56"/>
      <c r="M535" s="56"/>
      <c r="N535" s="56"/>
    </row>
    <row r="536" spans="1:14" ht="19.5" hidden="1" thickBot="1" x14ac:dyDescent="0.3">
      <c r="A536" s="732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8"/>
        <v>10,23</v>
      </c>
      <c r="L536" s="31"/>
      <c r="M536" s="31"/>
      <c r="N536" s="31"/>
    </row>
    <row r="537" spans="1:14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8"/>
        <v>10,23</v>
      </c>
      <c r="L537" s="40"/>
      <c r="M537" s="40"/>
      <c r="N537" s="40"/>
    </row>
    <row r="538" spans="1:14" ht="19.5" hidden="1" thickBot="1" x14ac:dyDescent="0.3">
      <c r="A538" s="732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8"/>
        <v>10,23</v>
      </c>
      <c r="L538" s="48"/>
      <c r="M538" s="48"/>
      <c r="N538" s="48"/>
    </row>
    <row r="539" spans="1:14" ht="19.5" hidden="1" thickBot="1" x14ac:dyDescent="0.3">
      <c r="A539" s="732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8"/>
        <v>10,23</v>
      </c>
      <c r="L539" s="56"/>
      <c r="M539" s="56"/>
      <c r="N539" s="56"/>
    </row>
    <row r="540" spans="1:14" ht="19.5" hidden="1" thickBot="1" x14ac:dyDescent="0.3">
      <c r="A540" s="732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8"/>
        <v>10,23</v>
      </c>
      <c r="L540" s="31"/>
      <c r="M540" s="31"/>
      <c r="N540" s="31"/>
    </row>
    <row r="541" spans="1:14" ht="19.5" hidden="1" thickBot="1" x14ac:dyDescent="0.3">
      <c r="A541" s="731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8"/>
        <v>10,23</v>
      </c>
      <c r="L541" s="82"/>
      <c r="M541" s="82"/>
      <c r="N541" s="82"/>
    </row>
    <row r="542" spans="1:14" ht="19.5" hidden="1" thickBot="1" x14ac:dyDescent="0.3">
      <c r="A542" s="731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8"/>
        <v>10,23</v>
      </c>
      <c r="L542" s="109"/>
      <c r="M542" s="109"/>
      <c r="N542" s="109"/>
    </row>
    <row r="543" spans="1:14" ht="19.5" hidden="1" thickBot="1" x14ac:dyDescent="0.3">
      <c r="A543" s="731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8"/>
        <v>10,23</v>
      </c>
      <c r="L543" s="107"/>
      <c r="M543" s="107"/>
      <c r="N543" s="107"/>
    </row>
    <row r="544" spans="1:14" ht="19.5" hidden="1" thickBot="1" x14ac:dyDescent="0.3">
      <c r="A544" s="732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8"/>
        <v>10,23</v>
      </c>
      <c r="L544" s="48"/>
      <c r="M544" s="48"/>
      <c r="N544" s="48"/>
    </row>
    <row r="545" spans="1:14" ht="19.5" hidden="1" thickBot="1" x14ac:dyDescent="0.3">
      <c r="A545" s="732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8"/>
        <v>10,23</v>
      </c>
      <c r="L545" s="56"/>
      <c r="M545" s="56"/>
      <c r="N545" s="56"/>
    </row>
    <row r="546" spans="1:14" ht="19.5" hidden="1" thickBot="1" x14ac:dyDescent="0.3">
      <c r="A546" s="732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8"/>
        <v>10,23</v>
      </c>
      <c r="L546" s="56"/>
      <c r="M546" s="56"/>
      <c r="N546" s="56"/>
    </row>
    <row r="547" spans="1:14" ht="19.5" hidden="1" thickBot="1" x14ac:dyDescent="0.3">
      <c r="A547" s="732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8"/>
        <v>10,23</v>
      </c>
      <c r="L547" s="31"/>
      <c r="M547" s="31"/>
      <c r="N547" s="31"/>
    </row>
    <row r="548" spans="1:14" ht="57" hidden="1" thickBot="1" x14ac:dyDescent="0.3">
      <c r="A548" s="731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8"/>
        <v>10,23</v>
      </c>
      <c r="L548" s="82"/>
      <c r="M548" s="82"/>
      <c r="N548" s="82"/>
    </row>
    <row r="549" spans="1:14" ht="57" hidden="1" thickBot="1" x14ac:dyDescent="0.3">
      <c r="A549" s="731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8"/>
        <v>10,23</v>
      </c>
      <c r="L549" s="109"/>
      <c r="M549" s="109"/>
      <c r="N549" s="109"/>
    </row>
    <row r="550" spans="1:14" ht="57" hidden="1" thickBot="1" x14ac:dyDescent="0.3">
      <c r="A550" s="731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8"/>
        <v>10,23</v>
      </c>
      <c r="L550" s="107"/>
      <c r="M550" s="107"/>
      <c r="N550" s="107"/>
    </row>
    <row r="551" spans="1:14" ht="38.25" hidden="1" thickBot="1" x14ac:dyDescent="0.3">
      <c r="A551" s="732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8"/>
        <v>10,23</v>
      </c>
      <c r="L551" s="48"/>
      <c r="M551" s="48"/>
      <c r="N551" s="48"/>
    </row>
    <row r="552" spans="1:14" ht="38.25" hidden="1" thickBot="1" x14ac:dyDescent="0.3">
      <c r="A552" s="732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8"/>
        <v>10,23</v>
      </c>
      <c r="L552" s="56"/>
      <c r="M552" s="56"/>
      <c r="N552" s="56"/>
    </row>
    <row r="553" spans="1:14" ht="38.25" hidden="1" thickBot="1" x14ac:dyDescent="0.3">
      <c r="A553" s="732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8"/>
        <v>10,23</v>
      </c>
      <c r="L553" s="31"/>
      <c r="M553" s="31"/>
      <c r="N553" s="31"/>
    </row>
    <row r="554" spans="1:14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8"/>
        <v>10,23</v>
      </c>
      <c r="L554" s="40"/>
      <c r="M554" s="40"/>
      <c r="N554" s="40"/>
    </row>
    <row r="555" spans="1:14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8"/>
        <v>10,23</v>
      </c>
      <c r="L555" s="75"/>
      <c r="M555" s="75"/>
      <c r="N555" s="75"/>
    </row>
    <row r="556" spans="1:14" ht="19.5" hidden="1" customHeight="1" thickBot="1" x14ac:dyDescent="0.3">
      <c r="A556" s="731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734" t="s">
        <v>72</v>
      </c>
      <c r="H556" s="82" t="s">
        <v>168</v>
      </c>
      <c r="I556" s="114" t="s">
        <v>168</v>
      </c>
      <c r="J556" s="86"/>
      <c r="K556" s="82" t="str">
        <f t="shared" si="8"/>
        <v>10,23</v>
      </c>
      <c r="L556" s="82"/>
      <c r="M556" s="82"/>
      <c r="N556" s="82"/>
    </row>
    <row r="557" spans="1:14" ht="19.5" hidden="1" thickBot="1" x14ac:dyDescent="0.3">
      <c r="A557" s="731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734"/>
      <c r="H557" s="107" t="s">
        <v>168</v>
      </c>
      <c r="I557" s="115" t="s">
        <v>168</v>
      </c>
      <c r="J557" s="94"/>
      <c r="K557" s="107" t="str">
        <f t="shared" si="8"/>
        <v>10,23</v>
      </c>
      <c r="L557" s="107"/>
      <c r="M557" s="107"/>
      <c r="N557" s="107"/>
    </row>
    <row r="558" spans="1:14" ht="38.2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8"/>
        <v>10,23</v>
      </c>
      <c r="L558" s="227"/>
      <c r="M558" s="227"/>
      <c r="N558" s="227"/>
    </row>
    <row r="559" spans="1:14" ht="38.25" hidden="1" thickBot="1" x14ac:dyDescent="0.3">
      <c r="A559" s="731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8"/>
        <v>10,23</v>
      </c>
      <c r="L559" s="82"/>
      <c r="M559" s="82"/>
      <c r="N559" s="82"/>
    </row>
    <row r="560" spans="1:14" ht="38.25" hidden="1" thickBot="1" x14ac:dyDescent="0.3">
      <c r="A560" s="731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8"/>
        <v>10,23</v>
      </c>
      <c r="L560" s="227"/>
      <c r="M560" s="227"/>
      <c r="N560" s="227"/>
    </row>
    <row r="561" spans="1:14" ht="38.25" hidden="1" thickBot="1" x14ac:dyDescent="0.3">
      <c r="A561" s="731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8"/>
        <v>10,23</v>
      </c>
      <c r="L561" s="109"/>
      <c r="M561" s="109"/>
      <c r="N561" s="109"/>
    </row>
    <row r="562" spans="1:14" ht="38.25" hidden="1" thickBot="1" x14ac:dyDescent="0.3">
      <c r="A562" s="731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8"/>
        <v>10,23</v>
      </c>
      <c r="L562" s="240"/>
      <c r="M562" s="240"/>
      <c r="N562" s="240"/>
    </row>
    <row r="563" spans="1:14" ht="38.25" hidden="1" thickBot="1" x14ac:dyDescent="0.3">
      <c r="A563" s="731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8"/>
        <v>10,23</v>
      </c>
      <c r="L563" s="248"/>
      <c r="M563" s="248"/>
      <c r="N563" s="248"/>
    </row>
    <row r="564" spans="1:14" ht="19.5" hidden="1" thickBot="1" x14ac:dyDescent="0.3">
      <c r="A564" s="732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8"/>
        <v>10,23</v>
      </c>
      <c r="L564" s="48"/>
      <c r="M564" s="48"/>
      <c r="N564" s="48"/>
    </row>
    <row r="565" spans="1:14" ht="19.5" hidden="1" thickBot="1" x14ac:dyDescent="0.3">
      <c r="A565" s="732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8"/>
        <v>10,23</v>
      </c>
      <c r="L565" s="56"/>
      <c r="M565" s="56"/>
      <c r="N565" s="56"/>
    </row>
    <row r="566" spans="1:14" ht="19.5" hidden="1" thickBot="1" x14ac:dyDescent="0.3">
      <c r="A566" s="732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8"/>
        <v>10,23</v>
      </c>
      <c r="L566" s="56"/>
      <c r="M566" s="56"/>
      <c r="N566" s="56"/>
    </row>
    <row r="567" spans="1:14" ht="19.5" hidden="1" thickBot="1" x14ac:dyDescent="0.3">
      <c r="A567" s="732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8"/>
        <v>10,23</v>
      </c>
      <c r="L567" s="31"/>
      <c r="M567" s="31"/>
      <c r="N567" s="31"/>
    </row>
    <row r="568" spans="1:14" ht="19.5" hidden="1" thickBot="1" x14ac:dyDescent="0.3">
      <c r="A568" s="731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8"/>
        <v>10,23</v>
      </c>
      <c r="L568" s="82"/>
      <c r="M568" s="82"/>
      <c r="N568" s="82"/>
    </row>
    <row r="569" spans="1:14" ht="19.5" hidden="1" thickBot="1" x14ac:dyDescent="0.3">
      <c r="A569" s="731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8"/>
        <v>10,23</v>
      </c>
      <c r="L569" s="98"/>
      <c r="M569" s="98"/>
      <c r="N569" s="98"/>
    </row>
    <row r="570" spans="1:14" ht="19.5" hidden="1" thickBot="1" x14ac:dyDescent="0.3">
      <c r="A570" s="731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8"/>
        <v>10,23</v>
      </c>
      <c r="L570" s="90"/>
      <c r="M570" s="90"/>
      <c r="N570" s="90"/>
    </row>
    <row r="571" spans="1:14" ht="19.5" hidden="1" thickBot="1" x14ac:dyDescent="0.3">
      <c r="A571" s="732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8"/>
        <v>10,23</v>
      </c>
      <c r="L571" s="48"/>
      <c r="M571" s="48"/>
      <c r="N571" s="48"/>
    </row>
    <row r="572" spans="1:14" ht="19.5" hidden="1" thickBot="1" x14ac:dyDescent="0.3">
      <c r="A572" s="732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8"/>
        <v>10,23</v>
      </c>
      <c r="L572" s="23"/>
      <c r="M572" s="23"/>
      <c r="N572" s="23"/>
    </row>
    <row r="573" spans="1:14" ht="19.5" hidden="1" thickBot="1" x14ac:dyDescent="0.3">
      <c r="A573" s="732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8"/>
        <v>10,23</v>
      </c>
      <c r="L573" s="71"/>
      <c r="M573" s="71"/>
      <c r="N573" s="71"/>
    </row>
    <row r="574" spans="1:14" ht="19.5" hidden="1" thickBot="1" x14ac:dyDescent="0.3">
      <c r="A574" s="731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8"/>
        <v>10,23</v>
      </c>
      <c r="L574" s="82"/>
      <c r="M574" s="82"/>
      <c r="N574" s="82"/>
    </row>
    <row r="575" spans="1:14" ht="19.5" hidden="1" thickBot="1" x14ac:dyDescent="0.3">
      <c r="A575" s="731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8"/>
        <v>10,23</v>
      </c>
      <c r="L575" s="98"/>
      <c r="M575" s="98"/>
      <c r="N575" s="98"/>
    </row>
    <row r="576" spans="1:14" ht="19.5" hidden="1" thickBot="1" x14ac:dyDescent="0.3">
      <c r="A576" s="731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8"/>
        <v>10,23</v>
      </c>
      <c r="L576" s="98"/>
      <c r="M576" s="98"/>
      <c r="N576" s="98"/>
    </row>
    <row r="577" spans="1:14" ht="19.5" hidden="1" thickBot="1" x14ac:dyDescent="0.3">
      <c r="A577" s="731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8"/>
        <v>10,23</v>
      </c>
      <c r="L577" s="98"/>
      <c r="M577" s="98"/>
      <c r="N577" s="98"/>
    </row>
    <row r="578" spans="1:14" ht="38.25" hidden="1" thickBot="1" x14ac:dyDescent="0.3">
      <c r="A578" s="731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8"/>
        <v>10,23</v>
      </c>
      <c r="L578" s="98"/>
      <c r="M578" s="98"/>
      <c r="N578" s="98"/>
    </row>
    <row r="579" spans="1:14" ht="19.5" hidden="1" thickBot="1" x14ac:dyDescent="0.3">
      <c r="A579" s="731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9">RIGHT(H579,5)</f>
        <v>10,23</v>
      </c>
      <c r="L579" s="90"/>
      <c r="M579" s="90"/>
      <c r="N579" s="90"/>
    </row>
    <row r="580" spans="1:14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9"/>
        <v>10,23</v>
      </c>
      <c r="L580" s="75"/>
      <c r="M580" s="75"/>
      <c r="N580" s="75"/>
    </row>
    <row r="581" spans="1:14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9"/>
        <v>10,23</v>
      </c>
      <c r="L581" s="40"/>
      <c r="M581" s="40"/>
      <c r="N581" s="40"/>
    </row>
    <row r="582" spans="1:14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9"/>
        <v>10,23</v>
      </c>
      <c r="L582" s="75"/>
      <c r="M582" s="75"/>
      <c r="N582" s="75"/>
    </row>
    <row r="583" spans="1:14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9"/>
        <v>10,23</v>
      </c>
      <c r="L583" s="40"/>
      <c r="M583" s="40"/>
      <c r="N583" s="40"/>
    </row>
    <row r="584" spans="1:14" ht="19.5" hidden="1" thickBot="1" x14ac:dyDescent="0.3">
      <c r="A584" s="732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9"/>
        <v>10,23</v>
      </c>
      <c r="L584" s="48"/>
      <c r="M584" s="48"/>
      <c r="N584" s="48"/>
    </row>
    <row r="585" spans="1:14" ht="19.5" hidden="1" thickBot="1" x14ac:dyDescent="0.3">
      <c r="A585" s="732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9"/>
        <v>10,23</v>
      </c>
      <c r="L585" s="31"/>
      <c r="M585" s="31"/>
      <c r="N585" s="31"/>
    </row>
    <row r="586" spans="1:14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9"/>
        <v>10,23</v>
      </c>
      <c r="L586" s="40"/>
      <c r="M586" s="40"/>
      <c r="N586" s="40"/>
    </row>
    <row r="587" spans="1:14" ht="19.5" hidden="1" thickBot="1" x14ac:dyDescent="0.3">
      <c r="A587" s="732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9"/>
        <v>10,23</v>
      </c>
      <c r="L587" s="48"/>
      <c r="M587" s="48"/>
      <c r="N587" s="48"/>
    </row>
    <row r="588" spans="1:14" ht="19.5" hidden="1" thickBot="1" x14ac:dyDescent="0.3">
      <c r="A588" s="732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9"/>
        <v>10,23</v>
      </c>
      <c r="L588" s="56"/>
      <c r="M588" s="56"/>
      <c r="N588" s="56"/>
    </row>
    <row r="589" spans="1:14" ht="19.5" hidden="1" thickBot="1" x14ac:dyDescent="0.3">
      <c r="A589" s="732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9"/>
        <v>10,23</v>
      </c>
      <c r="L589" s="56"/>
      <c r="M589" s="56"/>
      <c r="N589" s="56"/>
    </row>
    <row r="590" spans="1:14" ht="19.5" hidden="1" thickBot="1" x14ac:dyDescent="0.3">
      <c r="A590" s="732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9"/>
        <v>10,23</v>
      </c>
      <c r="L590" s="56"/>
      <c r="M590" s="56"/>
      <c r="N590" s="56"/>
    </row>
    <row r="591" spans="1:14" ht="19.5" hidden="1" thickBot="1" x14ac:dyDescent="0.3">
      <c r="A591" s="732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9"/>
        <v>10,23</v>
      </c>
      <c r="L591" s="56"/>
      <c r="M591" s="56"/>
      <c r="N591" s="56"/>
    </row>
    <row r="592" spans="1:14" ht="19.5" hidden="1" thickBot="1" x14ac:dyDescent="0.3">
      <c r="A592" s="732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9"/>
        <v>10,23</v>
      </c>
      <c r="L592" s="31"/>
      <c r="M592" s="31"/>
      <c r="N592" s="31"/>
    </row>
    <row r="593" spans="1:14" ht="19.5" hidden="1" thickBot="1" x14ac:dyDescent="0.3">
      <c r="A593" s="731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9"/>
        <v>10,23</v>
      </c>
      <c r="L593" s="82"/>
      <c r="M593" s="82"/>
      <c r="N593" s="82"/>
    </row>
    <row r="594" spans="1:14" ht="19.5" hidden="1" thickBot="1" x14ac:dyDescent="0.3">
      <c r="A594" s="731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9"/>
        <v>10,23</v>
      </c>
      <c r="L594" s="109"/>
      <c r="M594" s="109"/>
      <c r="N594" s="109"/>
    </row>
    <row r="595" spans="1:14" ht="19.5" hidden="1" thickBot="1" x14ac:dyDescent="0.3">
      <c r="A595" s="731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9"/>
        <v>10,23</v>
      </c>
      <c r="L595" s="107"/>
      <c r="M595" s="107"/>
      <c r="N595" s="107"/>
    </row>
    <row r="596" spans="1:14" ht="19.5" hidden="1" customHeight="1" thickBot="1" x14ac:dyDescent="0.3">
      <c r="A596" s="732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737" t="s">
        <v>72</v>
      </c>
      <c r="H596" s="48" t="s">
        <v>182</v>
      </c>
      <c r="I596" s="116" t="s">
        <v>182</v>
      </c>
      <c r="J596" s="52"/>
      <c r="K596" s="48" t="str">
        <f t="shared" si="9"/>
        <v>10,23</v>
      </c>
      <c r="L596" s="48"/>
      <c r="M596" s="48"/>
      <c r="N596" s="48"/>
    </row>
    <row r="597" spans="1:14" ht="19.5" hidden="1" thickBot="1" x14ac:dyDescent="0.3">
      <c r="A597" s="732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737"/>
      <c r="H597" s="31" t="s">
        <v>182</v>
      </c>
      <c r="I597" s="118" t="s">
        <v>182</v>
      </c>
      <c r="J597" s="35"/>
      <c r="K597" s="31" t="str">
        <f t="shared" si="9"/>
        <v>10,23</v>
      </c>
      <c r="L597" s="31"/>
      <c r="M597" s="31"/>
      <c r="N597" s="31"/>
    </row>
    <row r="598" spans="1:14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9"/>
        <v>10,23</v>
      </c>
      <c r="L598" s="257"/>
      <c r="M598" s="257"/>
      <c r="N598" s="257"/>
    </row>
    <row r="599" spans="1:14" ht="38.25" hidden="1" thickBot="1" x14ac:dyDescent="0.3">
      <c r="A599" s="732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9"/>
        <v>10,23</v>
      </c>
      <c r="L599" s="48"/>
      <c r="M599" s="48"/>
      <c r="N599" s="48"/>
    </row>
    <row r="600" spans="1:14" ht="38.25" hidden="1" thickBot="1" x14ac:dyDescent="0.3">
      <c r="A600" s="732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9"/>
        <v>10,23</v>
      </c>
      <c r="L600" s="31"/>
      <c r="M600" s="31"/>
      <c r="N600" s="31"/>
    </row>
    <row r="601" spans="1:14" ht="38.25" hidden="1" thickBot="1" x14ac:dyDescent="0.3">
      <c r="A601" s="731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9"/>
        <v>10,23</v>
      </c>
      <c r="L601" s="82"/>
      <c r="M601" s="82"/>
      <c r="N601" s="82"/>
    </row>
    <row r="602" spans="1:14" ht="38.25" hidden="1" thickBot="1" x14ac:dyDescent="0.3">
      <c r="A602" s="731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9"/>
        <v>10,23</v>
      </c>
      <c r="L602" s="109"/>
      <c r="M602" s="109"/>
      <c r="N602" s="109"/>
    </row>
    <row r="603" spans="1:14" ht="38.25" hidden="1" thickBot="1" x14ac:dyDescent="0.3">
      <c r="A603" s="731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9"/>
        <v>10,23</v>
      </c>
      <c r="L603" s="107"/>
      <c r="M603" s="107"/>
      <c r="N603" s="107"/>
    </row>
    <row r="604" spans="1:14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9"/>
        <v>10,23</v>
      </c>
      <c r="L604" s="75"/>
      <c r="M604" s="75"/>
      <c r="N604" s="75"/>
    </row>
    <row r="605" spans="1:14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9"/>
        <v>10,23</v>
      </c>
      <c r="L605" s="40"/>
      <c r="M605" s="40"/>
      <c r="N605" s="40"/>
    </row>
    <row r="606" spans="1:14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9"/>
        <v>10,23</v>
      </c>
      <c r="L606" s="75"/>
      <c r="M606" s="75"/>
      <c r="N606" s="75"/>
    </row>
    <row r="607" spans="1:14" ht="19.5" hidden="1" thickBot="1" x14ac:dyDescent="0.3">
      <c r="A607" s="731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9"/>
        <v>10,23</v>
      </c>
      <c r="L607" s="82"/>
      <c r="M607" s="82"/>
      <c r="N607" s="82"/>
    </row>
    <row r="608" spans="1:14" ht="19.5" hidden="1" thickBot="1" x14ac:dyDescent="0.3">
      <c r="A608" s="731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9"/>
        <v>10,23</v>
      </c>
      <c r="L608" s="109"/>
      <c r="M608" s="109"/>
      <c r="N608" s="109"/>
    </row>
    <row r="609" spans="1:14" ht="19.5" hidden="1" thickBot="1" x14ac:dyDescent="0.3">
      <c r="A609" s="731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9"/>
        <v>10,23</v>
      </c>
      <c r="L609" s="109"/>
      <c r="M609" s="109"/>
      <c r="N609" s="109"/>
    </row>
    <row r="610" spans="1:14" ht="19.5" hidden="1" thickBot="1" x14ac:dyDescent="0.3">
      <c r="A610" s="731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9"/>
        <v>10,23</v>
      </c>
      <c r="L610" s="107"/>
      <c r="M610" s="107"/>
      <c r="N610" s="107"/>
    </row>
    <row r="611" spans="1:14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9"/>
        <v>10,23</v>
      </c>
      <c r="L611" s="75"/>
      <c r="M611" s="75"/>
      <c r="N611" s="75"/>
    </row>
    <row r="612" spans="1:14" ht="19.5" hidden="1" thickBot="1" x14ac:dyDescent="0.3">
      <c r="A612" s="731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9"/>
        <v>10,23</v>
      </c>
      <c r="L612" s="82"/>
      <c r="M612" s="82"/>
      <c r="N612" s="82"/>
    </row>
    <row r="613" spans="1:14" ht="19.5" hidden="1" thickBot="1" x14ac:dyDescent="0.3">
      <c r="A613" s="731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9"/>
        <v>10,23</v>
      </c>
      <c r="L613" s="107"/>
      <c r="M613" s="107"/>
      <c r="N613" s="107"/>
    </row>
    <row r="614" spans="1:14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9"/>
        <v>10,23</v>
      </c>
      <c r="L614" s="75"/>
      <c r="M614" s="75"/>
      <c r="N614" s="75"/>
    </row>
    <row r="615" spans="1:14" ht="19.5" hidden="1" thickBot="1" x14ac:dyDescent="0.3">
      <c r="A615" s="731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9"/>
        <v>10,23</v>
      </c>
      <c r="L615" s="82"/>
      <c r="M615" s="82"/>
      <c r="N615" s="82"/>
    </row>
    <row r="616" spans="1:14" ht="19.5" hidden="1" thickBot="1" x14ac:dyDescent="0.3">
      <c r="A616" s="731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9"/>
        <v>10,23</v>
      </c>
      <c r="L616" s="109"/>
      <c r="M616" s="109"/>
      <c r="N616" s="109"/>
    </row>
    <row r="617" spans="1:14" ht="19.5" hidden="1" thickBot="1" x14ac:dyDescent="0.3">
      <c r="A617" s="731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9"/>
        <v>10,23</v>
      </c>
      <c r="L617" s="107"/>
      <c r="M617" s="107"/>
      <c r="N617" s="107"/>
    </row>
    <row r="618" spans="1:14" ht="19.5" hidden="1" thickBot="1" x14ac:dyDescent="0.3">
      <c r="A618" s="732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9"/>
        <v>10,23</v>
      </c>
      <c r="L618" s="48"/>
      <c r="M618" s="48"/>
      <c r="N618" s="48"/>
    </row>
    <row r="619" spans="1:14" ht="19.5" hidden="1" thickBot="1" x14ac:dyDescent="0.3">
      <c r="A619" s="732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9"/>
        <v>10,23</v>
      </c>
      <c r="L619" s="56"/>
      <c r="M619" s="56"/>
      <c r="N619" s="56"/>
    </row>
    <row r="620" spans="1:14" ht="19.5" hidden="1" thickBot="1" x14ac:dyDescent="0.3">
      <c r="A620" s="732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9"/>
        <v>10,23</v>
      </c>
      <c r="L620" s="31"/>
      <c r="M620" s="31"/>
      <c r="N620" s="31"/>
    </row>
    <row r="621" spans="1:14" ht="19.5" hidden="1" thickBot="1" x14ac:dyDescent="0.3">
      <c r="A621" s="731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9"/>
        <v>10,23</v>
      </c>
      <c r="L621" s="82"/>
      <c r="M621" s="82"/>
      <c r="N621" s="82"/>
    </row>
    <row r="622" spans="1:14" ht="19.5" hidden="1" thickBot="1" x14ac:dyDescent="0.3">
      <c r="A622" s="731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9"/>
        <v>10,23</v>
      </c>
      <c r="L622" s="109"/>
      <c r="M622" s="109"/>
      <c r="N622" s="109"/>
    </row>
    <row r="623" spans="1:14" ht="19.5" hidden="1" thickBot="1" x14ac:dyDescent="0.3">
      <c r="A623" s="731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9"/>
        <v>10,23</v>
      </c>
      <c r="L623" s="107"/>
      <c r="M623" s="107"/>
      <c r="N623" s="107"/>
    </row>
    <row r="624" spans="1:14" ht="19.5" hidden="1" thickBot="1" x14ac:dyDescent="0.3">
      <c r="A624" s="732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9"/>
        <v>10,23</v>
      </c>
      <c r="L624" s="48"/>
      <c r="M624" s="48"/>
      <c r="N624" s="48"/>
    </row>
    <row r="625" spans="1:14" ht="19.5" hidden="1" thickBot="1" x14ac:dyDescent="0.3">
      <c r="A625" s="732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9"/>
        <v>10,23</v>
      </c>
      <c r="L625" s="56"/>
      <c r="M625" s="56"/>
      <c r="N625" s="56"/>
    </row>
    <row r="626" spans="1:14" ht="19.5" hidden="1" thickBot="1" x14ac:dyDescent="0.3">
      <c r="A626" s="732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9"/>
        <v>10,23</v>
      </c>
      <c r="L626" s="23"/>
      <c r="M626" s="23"/>
      <c r="N626" s="23"/>
    </row>
    <row r="627" spans="1:14" ht="19.5" hidden="1" thickBot="1" x14ac:dyDescent="0.3">
      <c r="A627" s="732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9"/>
        <v>10,23</v>
      </c>
      <c r="L627" s="56"/>
      <c r="M627" s="56"/>
      <c r="N627" s="56"/>
    </row>
    <row r="628" spans="1:14" ht="19.5" hidden="1" thickBot="1" x14ac:dyDescent="0.3">
      <c r="A628" s="732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9"/>
        <v>10,23</v>
      </c>
      <c r="L628" s="31"/>
      <c r="M628" s="31"/>
      <c r="N628" s="31"/>
    </row>
    <row r="629" spans="1:14" ht="57" hidden="1" thickBot="1" x14ac:dyDescent="0.3">
      <c r="A629" s="731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9"/>
        <v>10,23</v>
      </c>
      <c r="L629" s="82"/>
      <c r="M629" s="82"/>
      <c r="N629" s="82"/>
    </row>
    <row r="630" spans="1:14" ht="38.25" hidden="1" thickBot="1" x14ac:dyDescent="0.3">
      <c r="A630" s="731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9"/>
        <v>10,23</v>
      </c>
      <c r="L630" s="107"/>
      <c r="M630" s="107"/>
      <c r="N630" s="107"/>
    </row>
    <row r="631" spans="1:14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9"/>
        <v>10,23</v>
      </c>
      <c r="L631" s="75"/>
      <c r="M631" s="75"/>
      <c r="N631" s="75"/>
    </row>
    <row r="632" spans="1:14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9"/>
        <v>10,23</v>
      </c>
      <c r="L632" s="40"/>
      <c r="M632" s="40"/>
      <c r="N632" s="40"/>
    </row>
    <row r="633" spans="1:14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9"/>
        <v>10,23</v>
      </c>
      <c r="L633" s="75"/>
      <c r="M633" s="75"/>
      <c r="N633" s="75"/>
    </row>
    <row r="634" spans="1:14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9"/>
        <v>10,23</v>
      </c>
      <c r="L634" s="40"/>
      <c r="M634" s="40"/>
      <c r="N634" s="40"/>
    </row>
    <row r="635" spans="1:14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9"/>
        <v>10,23</v>
      </c>
      <c r="L635" s="75"/>
      <c r="M635" s="75"/>
      <c r="N635" s="75"/>
    </row>
    <row r="636" spans="1:14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9"/>
        <v>10,23</v>
      </c>
      <c r="L636" s="40"/>
      <c r="M636" s="40"/>
      <c r="N636" s="40"/>
    </row>
    <row r="637" spans="1:14" ht="19.5" hidden="1" thickBot="1" x14ac:dyDescent="0.3">
      <c r="A637" s="732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9"/>
        <v>10,23</v>
      </c>
      <c r="L637" s="48"/>
      <c r="M637" s="48"/>
      <c r="N637" s="48"/>
    </row>
    <row r="638" spans="1:14" ht="19.5" hidden="1" thickBot="1" x14ac:dyDescent="0.3">
      <c r="A638" s="732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9"/>
        <v>10,23</v>
      </c>
      <c r="L638" s="23"/>
      <c r="M638" s="23"/>
      <c r="N638" s="23"/>
    </row>
    <row r="639" spans="1:14" ht="19.5" hidden="1" thickBot="1" x14ac:dyDescent="0.3">
      <c r="A639" s="732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9"/>
        <v>10,23</v>
      </c>
      <c r="L639" s="71"/>
      <c r="M639" s="71"/>
      <c r="N639" s="71"/>
    </row>
    <row r="640" spans="1:14" ht="19.5" hidden="1" thickBot="1" x14ac:dyDescent="0.3">
      <c r="A640" s="731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9"/>
        <v>10,23</v>
      </c>
      <c r="L640" s="82"/>
      <c r="M640" s="82"/>
      <c r="N640" s="82"/>
    </row>
    <row r="641" spans="1:14" ht="19.5" hidden="1" thickBot="1" x14ac:dyDescent="0.3">
      <c r="A641" s="731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9"/>
        <v>10,23</v>
      </c>
      <c r="L641" s="98"/>
      <c r="M641" s="98"/>
      <c r="N641" s="98"/>
    </row>
    <row r="642" spans="1:14" ht="19.5" hidden="1" thickBot="1" x14ac:dyDescent="0.3">
      <c r="A642" s="731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9"/>
        <v>10,23</v>
      </c>
      <c r="L642" s="98"/>
      <c r="M642" s="98"/>
      <c r="N642" s="98"/>
    </row>
    <row r="643" spans="1:14" ht="19.5" hidden="1" thickBot="1" x14ac:dyDescent="0.3">
      <c r="A643" s="731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0">RIGHT(H643,5)</f>
        <v>10,23</v>
      </c>
      <c r="L643" s="90"/>
      <c r="M643" s="90"/>
      <c r="N643" s="90"/>
    </row>
    <row r="644" spans="1:14" ht="19.5" hidden="1" thickBot="1" x14ac:dyDescent="0.3">
      <c r="A644" s="732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0"/>
        <v>10,23</v>
      </c>
      <c r="L644" s="48"/>
      <c r="M644" s="48"/>
      <c r="N644" s="48"/>
    </row>
    <row r="645" spans="1:14" ht="19.5" hidden="1" thickBot="1" x14ac:dyDescent="0.3">
      <c r="A645" s="732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0"/>
        <v>10,23</v>
      </c>
      <c r="L645" s="23"/>
      <c r="M645" s="23"/>
      <c r="N645" s="23"/>
    </row>
    <row r="646" spans="1:14" ht="19.5" hidden="1" thickBot="1" x14ac:dyDescent="0.3">
      <c r="A646" s="732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0"/>
        <v>10,23</v>
      </c>
      <c r="L646" s="71"/>
      <c r="M646" s="71"/>
      <c r="N646" s="71"/>
    </row>
    <row r="647" spans="1:14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0"/>
        <v>10,23</v>
      </c>
      <c r="L647" s="40"/>
      <c r="M647" s="40"/>
      <c r="N647" s="40"/>
    </row>
    <row r="648" spans="1:14" ht="38.25" hidden="1" thickBot="1" x14ac:dyDescent="0.3">
      <c r="A648" s="732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0"/>
        <v>10,23</v>
      </c>
      <c r="L648" s="48"/>
      <c r="M648" s="48"/>
      <c r="N648" s="48"/>
    </row>
    <row r="649" spans="1:14" ht="38.25" hidden="1" thickBot="1" x14ac:dyDescent="0.3">
      <c r="A649" s="732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0"/>
        <v>10,23</v>
      </c>
      <c r="L649" s="23"/>
      <c r="M649" s="23"/>
      <c r="N649" s="23"/>
    </row>
    <row r="650" spans="1:14" ht="38.25" hidden="1" thickBot="1" x14ac:dyDescent="0.3">
      <c r="A650" s="732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0"/>
        <v>10,23</v>
      </c>
      <c r="L650" s="71"/>
      <c r="M650" s="71"/>
      <c r="N650" s="71"/>
    </row>
    <row r="651" spans="1:14" ht="57" hidden="1" thickBot="1" x14ac:dyDescent="0.3">
      <c r="A651" s="731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0"/>
        <v>10,23</v>
      </c>
      <c r="L651" s="82"/>
      <c r="M651" s="82"/>
      <c r="N651" s="82"/>
    </row>
    <row r="652" spans="1:14" ht="38.25" hidden="1" thickBot="1" x14ac:dyDescent="0.3">
      <c r="A652" s="731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0"/>
        <v>10,23</v>
      </c>
      <c r="L652" s="98"/>
      <c r="M652" s="98"/>
      <c r="N652" s="98"/>
    </row>
    <row r="653" spans="1:14" ht="57" hidden="1" thickBot="1" x14ac:dyDescent="0.3">
      <c r="A653" s="731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0"/>
        <v>10,23</v>
      </c>
      <c r="L653" s="90"/>
      <c r="M653" s="90"/>
      <c r="N653" s="90"/>
    </row>
    <row r="654" spans="1:14" ht="19.5" hidden="1" customHeight="1" thickBot="1" x14ac:dyDescent="0.3">
      <c r="A654" s="732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737" t="s">
        <v>72</v>
      </c>
      <c r="H654" s="48" t="s">
        <v>191</v>
      </c>
      <c r="I654" s="163" t="s">
        <v>197</v>
      </c>
      <c r="J654" s="52"/>
      <c r="K654" s="48" t="str">
        <f t="shared" si="10"/>
        <v>10,23</v>
      </c>
      <c r="L654" s="48"/>
      <c r="M654" s="48"/>
      <c r="N654" s="48"/>
    </row>
    <row r="655" spans="1:14" ht="19.5" hidden="1" thickBot="1" x14ac:dyDescent="0.3">
      <c r="A655" s="732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737"/>
      <c r="H655" s="71" t="s">
        <v>201</v>
      </c>
      <c r="I655" s="167" t="s">
        <v>197</v>
      </c>
      <c r="J655" s="168"/>
      <c r="K655" s="71" t="str">
        <f t="shared" si="10"/>
        <v>10,23</v>
      </c>
      <c r="L655" s="71"/>
      <c r="M655" s="71"/>
      <c r="N655" s="71"/>
    </row>
    <row r="656" spans="1:14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0"/>
        <v>10,23</v>
      </c>
      <c r="L656" s="40"/>
      <c r="M656" s="40"/>
      <c r="N656" s="40"/>
    </row>
    <row r="657" spans="1:14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0"/>
        <v>10,23</v>
      </c>
      <c r="L657" s="75"/>
      <c r="M657" s="75"/>
      <c r="N657" s="75"/>
    </row>
    <row r="658" spans="1:14" ht="38.2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0"/>
        <v>10,23</v>
      </c>
      <c r="L658" s="266"/>
      <c r="M658" s="266"/>
      <c r="N658" s="266"/>
    </row>
    <row r="659" spans="1:14" ht="38.25" hidden="1" thickBot="1" x14ac:dyDescent="0.3">
      <c r="A659" s="732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0"/>
        <v>10,23</v>
      </c>
      <c r="L659" s="274"/>
      <c r="M659" s="274"/>
      <c r="N659" s="274"/>
    </row>
    <row r="660" spans="1:14" ht="19.5" hidden="1" customHeight="1" thickBot="1" x14ac:dyDescent="0.3">
      <c r="A660" s="732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748" t="s">
        <v>202</v>
      </c>
      <c r="K660" s="23" t="str">
        <f t="shared" si="10"/>
        <v>10,23</v>
      </c>
      <c r="L660" s="23"/>
      <c r="M660" s="23"/>
      <c r="N660" s="23"/>
    </row>
    <row r="661" spans="1:14" ht="19.5" hidden="1" thickBot="1" x14ac:dyDescent="0.3">
      <c r="A661" s="732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748"/>
      <c r="K661" s="23" t="str">
        <f t="shared" si="10"/>
        <v>10,23</v>
      </c>
      <c r="L661" s="23"/>
      <c r="M661" s="23"/>
      <c r="N661" s="23"/>
    </row>
    <row r="662" spans="1:14" ht="19.5" hidden="1" thickBot="1" x14ac:dyDescent="0.3">
      <c r="A662" s="732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0"/>
        <v>10,23</v>
      </c>
      <c r="L662" s="71"/>
      <c r="M662" s="71"/>
      <c r="N662" s="71"/>
    </row>
    <row r="663" spans="1:14" ht="19.5" hidden="1" thickBot="1" x14ac:dyDescent="0.3">
      <c r="A663" s="731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0"/>
        <v>10,23</v>
      </c>
      <c r="L663" s="82"/>
      <c r="M663" s="82"/>
      <c r="N663" s="82"/>
    </row>
    <row r="664" spans="1:14" ht="19.5" hidden="1" thickBot="1" x14ac:dyDescent="0.3">
      <c r="A664" s="731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0"/>
        <v>10,23</v>
      </c>
      <c r="L664" s="98"/>
      <c r="M664" s="98"/>
      <c r="N664" s="98"/>
    </row>
    <row r="665" spans="1:14" ht="19.5" hidden="1" thickBot="1" x14ac:dyDescent="0.3">
      <c r="A665" s="731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0"/>
        <v>10,23</v>
      </c>
      <c r="L665" s="90"/>
      <c r="M665" s="90"/>
      <c r="N665" s="90"/>
    </row>
    <row r="666" spans="1:14" ht="19.5" hidden="1" thickBot="1" x14ac:dyDescent="0.3">
      <c r="A666" s="732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0"/>
        <v>10,23</v>
      </c>
      <c r="L666" s="48"/>
      <c r="M666" s="48"/>
      <c r="N666" s="48"/>
    </row>
    <row r="667" spans="1:14" ht="19.5" hidden="1" thickBot="1" x14ac:dyDescent="0.3">
      <c r="A667" s="732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0"/>
        <v>10,23</v>
      </c>
      <c r="L667" s="23"/>
      <c r="M667" s="23"/>
      <c r="N667" s="23"/>
    </row>
    <row r="668" spans="1:14" ht="19.5" hidden="1" thickBot="1" x14ac:dyDescent="0.3">
      <c r="A668" s="732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0"/>
        <v>10,23</v>
      </c>
      <c r="L668" s="71"/>
      <c r="M668" s="71"/>
      <c r="N668" s="71"/>
    </row>
    <row r="669" spans="1:14" ht="19.5" hidden="1" thickBot="1" x14ac:dyDescent="0.3">
      <c r="A669" s="731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0"/>
        <v>10,23</v>
      </c>
      <c r="L669" s="82"/>
      <c r="M669" s="82"/>
      <c r="N669" s="82"/>
    </row>
    <row r="670" spans="1:14" ht="19.5" hidden="1" thickBot="1" x14ac:dyDescent="0.3">
      <c r="A670" s="731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0"/>
        <v>10,23</v>
      </c>
      <c r="L670" s="90"/>
      <c r="M670" s="90"/>
      <c r="N670" s="90"/>
    </row>
    <row r="671" spans="1:14" ht="19.5" hidden="1" thickBot="1" x14ac:dyDescent="0.3">
      <c r="A671" s="732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0"/>
        <v>10,23</v>
      </c>
      <c r="L671" s="48"/>
      <c r="M671" s="48"/>
      <c r="N671" s="48"/>
    </row>
    <row r="672" spans="1:14" ht="19.5" hidden="1" thickBot="1" x14ac:dyDescent="0.3">
      <c r="A672" s="732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0"/>
        <v>10,23</v>
      </c>
      <c r="L672" s="23"/>
      <c r="M672" s="23"/>
      <c r="N672" s="23"/>
    </row>
    <row r="673" spans="1:14" ht="19.5" hidden="1" thickBot="1" x14ac:dyDescent="0.3">
      <c r="A673" s="732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0"/>
        <v>10,23</v>
      </c>
      <c r="L673" s="23"/>
      <c r="M673" s="23"/>
      <c r="N673" s="23"/>
    </row>
    <row r="674" spans="1:14" ht="19.5" hidden="1" thickBot="1" x14ac:dyDescent="0.3">
      <c r="A674" s="732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0"/>
        <v>10,23</v>
      </c>
      <c r="L674" s="23"/>
      <c r="M674" s="23"/>
      <c r="N674" s="23"/>
    </row>
    <row r="675" spans="1:14" ht="38.25" hidden="1" thickBot="1" x14ac:dyDescent="0.3">
      <c r="A675" s="732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0"/>
        <v>10,23</v>
      </c>
      <c r="L675" s="23"/>
      <c r="M675" s="23"/>
      <c r="N675" s="23"/>
    </row>
    <row r="676" spans="1:14" ht="19.5" hidden="1" thickBot="1" x14ac:dyDescent="0.3">
      <c r="A676" s="732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0"/>
        <v>10,23</v>
      </c>
      <c r="L676" s="71"/>
      <c r="M676" s="71"/>
      <c r="N676" s="71"/>
    </row>
    <row r="677" spans="1:14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0"/>
        <v>10,23</v>
      </c>
      <c r="L677" s="110"/>
      <c r="M677" s="110"/>
      <c r="N677" s="110"/>
    </row>
    <row r="678" spans="1:14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0"/>
        <v>10,23</v>
      </c>
      <c r="L678" s="111"/>
      <c r="M678" s="111"/>
      <c r="N678" s="111"/>
    </row>
    <row r="679" spans="1:14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0"/>
        <v>11,23</v>
      </c>
      <c r="L679" s="110"/>
      <c r="M679" s="110"/>
      <c r="N679" s="110"/>
    </row>
    <row r="680" spans="1:14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0"/>
        <v>10,23</v>
      </c>
      <c r="L680" s="111"/>
      <c r="M680" s="111"/>
      <c r="N680" s="111"/>
    </row>
    <row r="681" spans="1:14" ht="19.5" hidden="1" thickBot="1" x14ac:dyDescent="0.3">
      <c r="A681" s="731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0"/>
        <v>10,23</v>
      </c>
      <c r="L681" s="278"/>
      <c r="M681" s="278"/>
      <c r="N681" s="278"/>
    </row>
    <row r="682" spans="1:14" ht="19.5" hidden="1" thickBot="1" x14ac:dyDescent="0.3">
      <c r="A682" s="731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0"/>
        <v>10,23</v>
      </c>
      <c r="L682" s="279"/>
      <c r="M682" s="279"/>
      <c r="N682" s="279"/>
    </row>
    <row r="683" spans="1:14" ht="19.5" hidden="1" thickBot="1" x14ac:dyDescent="0.3">
      <c r="A683" s="732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0"/>
        <v>10,23</v>
      </c>
      <c r="L683" s="280"/>
      <c r="M683" s="280"/>
      <c r="N683" s="280"/>
    </row>
    <row r="684" spans="1:14" ht="19.5" hidden="1" thickBot="1" x14ac:dyDescent="0.3">
      <c r="A684" s="732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0"/>
        <v>10,23</v>
      </c>
      <c r="L684" s="207"/>
      <c r="M684" s="207"/>
      <c r="N684" s="207"/>
    </row>
    <row r="685" spans="1:14" ht="19.5" hidden="1" thickBot="1" x14ac:dyDescent="0.3">
      <c r="A685" s="731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0"/>
        <v>10,23</v>
      </c>
      <c r="L685" s="278"/>
      <c r="M685" s="278"/>
      <c r="N685" s="278"/>
    </row>
    <row r="686" spans="1:14" ht="19.5" hidden="1" thickBot="1" x14ac:dyDescent="0.3">
      <c r="A686" s="731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0"/>
        <v>10,23</v>
      </c>
      <c r="L686" s="281"/>
      <c r="M686" s="281"/>
      <c r="N686" s="281"/>
    </row>
    <row r="687" spans="1:14" ht="19.5" hidden="1" thickBot="1" x14ac:dyDescent="0.3">
      <c r="A687" s="731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0"/>
        <v>10,23</v>
      </c>
      <c r="L687" s="281"/>
      <c r="M687" s="281"/>
      <c r="N687" s="281"/>
    </row>
    <row r="688" spans="1:14" ht="19.5" hidden="1" thickBot="1" x14ac:dyDescent="0.3">
      <c r="A688" s="731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0"/>
        <v>10,23</v>
      </c>
      <c r="L688" s="281"/>
      <c r="M688" s="281"/>
      <c r="N688" s="281"/>
    </row>
    <row r="689" spans="1:14" ht="19.5" hidden="1" thickBot="1" x14ac:dyDescent="0.3">
      <c r="A689" s="731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0"/>
        <v>10,23</v>
      </c>
      <c r="L689" s="281"/>
      <c r="M689" s="281"/>
      <c r="N689" s="281"/>
    </row>
    <row r="690" spans="1:14" ht="19.5" hidden="1" thickBot="1" x14ac:dyDescent="0.3">
      <c r="A690" s="731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0"/>
        <v>10,23</v>
      </c>
      <c r="L690" s="281"/>
      <c r="M690" s="281"/>
      <c r="N690" s="281"/>
    </row>
    <row r="691" spans="1:14" ht="19.5" hidden="1" thickBot="1" x14ac:dyDescent="0.3">
      <c r="A691" s="731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0"/>
        <v>10,23</v>
      </c>
      <c r="L691" s="279"/>
      <c r="M691" s="279"/>
      <c r="N691" s="279"/>
    </row>
    <row r="692" spans="1:14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0"/>
        <v>10,23</v>
      </c>
      <c r="L692" s="111"/>
      <c r="M692" s="111"/>
      <c r="N692" s="111"/>
    </row>
    <row r="693" spans="1:14" ht="19.5" hidden="1" thickBot="1" x14ac:dyDescent="0.3">
      <c r="A693" s="731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0"/>
        <v>10,23</v>
      </c>
      <c r="L693" s="278"/>
      <c r="M693" s="278"/>
      <c r="N693" s="278"/>
    </row>
    <row r="694" spans="1:14" ht="19.5" hidden="1" thickBot="1" x14ac:dyDescent="0.3">
      <c r="A694" s="731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0"/>
        <v>10,23</v>
      </c>
      <c r="L694" s="279"/>
      <c r="M694" s="279"/>
      <c r="N694" s="279"/>
    </row>
    <row r="695" spans="1:14" ht="19.5" hidden="1" customHeight="1" thickBot="1" x14ac:dyDescent="0.3">
      <c r="A695" s="732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737" t="s">
        <v>72</v>
      </c>
      <c r="H695" s="48" t="s">
        <v>208</v>
      </c>
      <c r="I695" s="163" t="s">
        <v>208</v>
      </c>
      <c r="J695" s="52"/>
      <c r="K695" s="48" t="str">
        <f t="shared" si="10"/>
        <v>10,23</v>
      </c>
      <c r="L695" s="280"/>
      <c r="M695" s="280"/>
      <c r="N695" s="280"/>
    </row>
    <row r="696" spans="1:14" ht="19.5" hidden="1" thickBot="1" x14ac:dyDescent="0.3">
      <c r="A696" s="732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737"/>
      <c r="H696" s="71" t="s">
        <v>208</v>
      </c>
      <c r="I696" s="167" t="s">
        <v>208</v>
      </c>
      <c r="J696" s="168"/>
      <c r="K696" s="71" t="str">
        <f t="shared" si="10"/>
        <v>10,23</v>
      </c>
      <c r="L696" s="207"/>
      <c r="M696" s="207"/>
      <c r="N696" s="207"/>
    </row>
    <row r="697" spans="1:14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0"/>
        <v>10,23</v>
      </c>
      <c r="L697" s="282"/>
      <c r="M697" s="282"/>
      <c r="N697" s="282"/>
    </row>
    <row r="698" spans="1:14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0"/>
        <v>10,23</v>
      </c>
      <c r="L698" s="111"/>
      <c r="M698" s="111"/>
      <c r="N698" s="111"/>
    </row>
    <row r="699" spans="1:14" ht="38.25" hidden="1" thickBot="1" x14ac:dyDescent="0.3">
      <c r="A699" s="749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0"/>
        <v>10,23</v>
      </c>
      <c r="L699" s="281"/>
      <c r="M699" s="281"/>
      <c r="N699" s="281"/>
    </row>
    <row r="700" spans="1:14" ht="38.25" hidden="1" thickBot="1" x14ac:dyDescent="0.3">
      <c r="A700" s="749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0"/>
        <v>10,23</v>
      </c>
      <c r="L700" s="281"/>
      <c r="M700" s="281"/>
      <c r="N700" s="281"/>
    </row>
    <row r="701" spans="1:14" ht="38.25" hidden="1" thickBot="1" x14ac:dyDescent="0.3">
      <c r="A701" s="749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0"/>
        <v>10,23</v>
      </c>
      <c r="L701" s="282"/>
      <c r="M701" s="282"/>
      <c r="N701" s="282"/>
    </row>
    <row r="702" spans="1:14" ht="38.25" hidden="1" thickBot="1" x14ac:dyDescent="0.3">
      <c r="A702" s="732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0"/>
        <v>10,23</v>
      </c>
      <c r="L702" s="280"/>
      <c r="M702" s="280"/>
      <c r="N702" s="280"/>
    </row>
    <row r="703" spans="1:14" ht="38.25" hidden="1" thickBot="1" x14ac:dyDescent="0.3">
      <c r="A703" s="732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0"/>
        <v>10,23</v>
      </c>
      <c r="L703" s="286"/>
      <c r="M703" s="286"/>
      <c r="N703" s="286"/>
    </row>
    <row r="704" spans="1:14" ht="38.25" hidden="1" thickBot="1" x14ac:dyDescent="0.3">
      <c r="A704" s="732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0"/>
        <v>10,23</v>
      </c>
      <c r="L704" s="207"/>
      <c r="M704" s="207"/>
      <c r="N704" s="207"/>
    </row>
    <row r="705" spans="1:14" ht="19.5" hidden="1" thickBot="1" x14ac:dyDescent="0.3">
      <c r="A705" s="749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0"/>
        <v>10,23</v>
      </c>
      <c r="L705" s="281"/>
      <c r="M705" s="281"/>
      <c r="N705" s="281"/>
    </row>
    <row r="706" spans="1:14" ht="19.5" hidden="1" thickBot="1" x14ac:dyDescent="0.3">
      <c r="A706" s="749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0"/>
        <v>10,23</v>
      </c>
      <c r="L706" s="282"/>
      <c r="M706" s="282"/>
      <c r="N706" s="282"/>
    </row>
    <row r="707" spans="1:14" ht="19.5" hidden="1" thickBot="1" x14ac:dyDescent="0.3">
      <c r="A707" s="732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1">RIGHT(H707,5)</f>
        <v>10,23</v>
      </c>
      <c r="L707" s="280"/>
      <c r="M707" s="280"/>
      <c r="N707" s="280"/>
    </row>
    <row r="708" spans="1:14" ht="19.5" hidden="1" thickBot="1" x14ac:dyDescent="0.3">
      <c r="A708" s="732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1"/>
        <v>10,23</v>
      </c>
      <c r="L708" s="286"/>
      <c r="M708" s="286"/>
      <c r="N708" s="286"/>
    </row>
    <row r="709" spans="1:14" ht="19.5" hidden="1" thickBot="1" x14ac:dyDescent="0.3">
      <c r="A709" s="732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1"/>
        <v>10,23</v>
      </c>
      <c r="L709" s="207"/>
      <c r="M709" s="207"/>
      <c r="N709" s="207"/>
    </row>
    <row r="710" spans="1:14" ht="19.5" hidden="1" thickBot="1" x14ac:dyDescent="0.3">
      <c r="A710" s="749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1"/>
        <v>10,23</v>
      </c>
      <c r="L710" s="281"/>
      <c r="M710" s="281"/>
      <c r="N710" s="281"/>
    </row>
    <row r="711" spans="1:14" ht="19.5" hidden="1" thickBot="1" x14ac:dyDescent="0.3">
      <c r="A711" s="749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1"/>
        <v>10,23</v>
      </c>
      <c r="L711" s="282"/>
      <c r="M711" s="282"/>
      <c r="N711" s="282"/>
    </row>
    <row r="712" spans="1:14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1"/>
        <v>10,23</v>
      </c>
      <c r="L712" s="111"/>
      <c r="M712" s="111"/>
      <c r="N712" s="111"/>
    </row>
    <row r="713" spans="1:14" ht="19.5" hidden="1" thickBot="1" x14ac:dyDescent="0.3">
      <c r="A713" s="731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1"/>
        <v>11,23</v>
      </c>
      <c r="L713" s="278"/>
      <c r="M713" s="278"/>
      <c r="N713" s="278"/>
    </row>
    <row r="714" spans="1:14" ht="19.5" hidden="1" thickBot="1" x14ac:dyDescent="0.3">
      <c r="A714" s="731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1"/>
        <v>11,23</v>
      </c>
      <c r="L714" s="281"/>
      <c r="M714" s="281"/>
      <c r="N714" s="281"/>
    </row>
    <row r="715" spans="1:14" ht="19.5" hidden="1" thickBot="1" x14ac:dyDescent="0.3">
      <c r="A715" s="731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1"/>
        <v>11,23</v>
      </c>
      <c r="L715" s="279"/>
      <c r="M715" s="279"/>
      <c r="N715" s="279"/>
    </row>
    <row r="716" spans="1:14" ht="19.5" hidden="1" thickBot="1" x14ac:dyDescent="0.3">
      <c r="A716" s="732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1"/>
        <v>11,23</v>
      </c>
      <c r="L716" s="280"/>
      <c r="M716" s="280"/>
      <c r="N716" s="280"/>
    </row>
    <row r="717" spans="1:14" ht="19.5" hidden="1" thickBot="1" x14ac:dyDescent="0.3">
      <c r="A717" s="732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1"/>
        <v>11,23</v>
      </c>
      <c r="L717" s="286"/>
      <c r="M717" s="286"/>
      <c r="N717" s="286"/>
    </row>
    <row r="718" spans="1:14" ht="19.5" hidden="1" thickBot="1" x14ac:dyDescent="0.3">
      <c r="A718" s="732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1"/>
        <v>11,23</v>
      </c>
      <c r="L718" s="207"/>
      <c r="M718" s="207"/>
      <c r="N718" s="207"/>
    </row>
    <row r="719" spans="1:14" ht="38.25" hidden="1" thickBot="1" x14ac:dyDescent="0.3">
      <c r="A719" s="731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1"/>
        <v>11,23</v>
      </c>
      <c r="L719" s="278"/>
      <c r="M719" s="278"/>
      <c r="N719" s="278"/>
    </row>
    <row r="720" spans="1:14" ht="38.25" hidden="1" thickBot="1" x14ac:dyDescent="0.3">
      <c r="A720" s="731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1"/>
        <v>11,23</v>
      </c>
      <c r="L720" s="281"/>
      <c r="M720" s="281"/>
      <c r="N720" s="281"/>
    </row>
    <row r="721" spans="1:14" ht="38.25" hidden="1" thickBot="1" x14ac:dyDescent="0.3">
      <c r="A721" s="731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1"/>
        <v>11,23</v>
      </c>
      <c r="L721" s="281"/>
      <c r="M721" s="281"/>
      <c r="N721" s="281"/>
    </row>
    <row r="722" spans="1:14" ht="38.25" hidden="1" thickBot="1" x14ac:dyDescent="0.3">
      <c r="A722" s="731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1"/>
        <v>11,23</v>
      </c>
      <c r="L722" s="281"/>
      <c r="M722" s="281"/>
      <c r="N722" s="281"/>
    </row>
    <row r="723" spans="1:14" ht="38.25" hidden="1" thickBot="1" x14ac:dyDescent="0.3">
      <c r="A723" s="731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1"/>
        <v>11,23</v>
      </c>
      <c r="L723" s="281"/>
      <c r="M723" s="281"/>
      <c r="N723" s="281"/>
    </row>
    <row r="724" spans="1:14" ht="38.25" hidden="1" thickBot="1" x14ac:dyDescent="0.3">
      <c r="A724" s="731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1"/>
        <v>11,23</v>
      </c>
      <c r="L724" s="281"/>
      <c r="M724" s="281"/>
      <c r="N724" s="281"/>
    </row>
    <row r="725" spans="1:14" ht="38.25" hidden="1" thickBot="1" x14ac:dyDescent="0.3">
      <c r="A725" s="731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1"/>
        <v>11,23</v>
      </c>
      <c r="L725" s="281"/>
      <c r="M725" s="281"/>
      <c r="N725" s="281"/>
    </row>
    <row r="726" spans="1:14" ht="38.25" hidden="1" thickBot="1" x14ac:dyDescent="0.3">
      <c r="A726" s="731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1"/>
        <v>11,23</v>
      </c>
      <c r="L726" s="279"/>
      <c r="M726" s="279"/>
      <c r="N726" s="279"/>
    </row>
    <row r="727" spans="1:14" ht="19.5" hidden="1" thickBot="1" x14ac:dyDescent="0.3">
      <c r="A727" s="732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1"/>
        <v>11,23</v>
      </c>
      <c r="L727" s="280"/>
      <c r="M727" s="280"/>
      <c r="N727" s="280"/>
    </row>
    <row r="728" spans="1:14" ht="19.5" hidden="1" thickBot="1" x14ac:dyDescent="0.3">
      <c r="A728" s="732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1"/>
        <v>11,23</v>
      </c>
      <c r="L728" s="286"/>
      <c r="M728" s="286"/>
      <c r="N728" s="286"/>
    </row>
    <row r="729" spans="1:14" ht="19.5" hidden="1" thickBot="1" x14ac:dyDescent="0.3">
      <c r="A729" s="732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1"/>
        <v>11,23</v>
      </c>
      <c r="L729" s="286"/>
      <c r="M729" s="286"/>
      <c r="N729" s="286"/>
    </row>
    <row r="730" spans="1:14" ht="19.5" hidden="1" thickBot="1" x14ac:dyDescent="0.3">
      <c r="A730" s="732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1"/>
        <v>11,23</v>
      </c>
      <c r="L730" s="286"/>
      <c r="M730" s="286"/>
      <c r="N730" s="286"/>
    </row>
    <row r="731" spans="1:14" ht="19.5" hidden="1" thickBot="1" x14ac:dyDescent="0.3">
      <c r="A731" s="732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1"/>
        <v>11,23</v>
      </c>
      <c r="L731" s="286"/>
      <c r="M731" s="286"/>
      <c r="N731" s="286"/>
    </row>
    <row r="732" spans="1:14" ht="38.25" hidden="1" thickBot="1" x14ac:dyDescent="0.3">
      <c r="A732" s="732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1"/>
        <v>11,23</v>
      </c>
      <c r="L732" s="286"/>
      <c r="M732" s="286"/>
      <c r="N732" s="286"/>
    </row>
    <row r="733" spans="1:14" ht="38.25" hidden="1" thickBot="1" x14ac:dyDescent="0.3">
      <c r="A733" s="732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1"/>
        <v>11,23</v>
      </c>
      <c r="L733" s="207"/>
      <c r="M733" s="207"/>
      <c r="N733" s="207"/>
    </row>
    <row r="734" spans="1:14" ht="19.5" hidden="1" customHeight="1" thickBot="1" x14ac:dyDescent="0.3">
      <c r="A734" s="731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750" t="s">
        <v>223</v>
      </c>
      <c r="K734" s="82" t="str">
        <f t="shared" si="11"/>
        <v>11,23</v>
      </c>
      <c r="L734" s="278"/>
      <c r="M734" s="278"/>
      <c r="N734" s="278"/>
    </row>
    <row r="735" spans="1:14" ht="19.5" hidden="1" thickBot="1" x14ac:dyDescent="0.3">
      <c r="A735" s="731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750"/>
      <c r="K735" s="98" t="str">
        <f t="shared" si="11"/>
        <v>11,23</v>
      </c>
      <c r="L735" s="281"/>
      <c r="M735" s="281"/>
      <c r="N735" s="281"/>
    </row>
    <row r="736" spans="1:14" ht="19.5" hidden="1" thickBot="1" x14ac:dyDescent="0.3">
      <c r="A736" s="731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1"/>
        <v>11,23</v>
      </c>
      <c r="L736" s="281"/>
      <c r="M736" s="281"/>
      <c r="N736" s="281"/>
    </row>
    <row r="737" spans="1:14" ht="19.5" hidden="1" thickBot="1" x14ac:dyDescent="0.3">
      <c r="A737" s="731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1"/>
        <v>11,23</v>
      </c>
      <c r="L737" s="281"/>
      <c r="M737" s="281"/>
      <c r="N737" s="281"/>
    </row>
    <row r="738" spans="1:14" ht="19.5" hidden="1" thickBot="1" x14ac:dyDescent="0.3">
      <c r="A738" s="731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1"/>
        <v>11,23</v>
      </c>
      <c r="L738" s="281"/>
      <c r="M738" s="281"/>
      <c r="N738" s="281"/>
    </row>
    <row r="739" spans="1:14" ht="19.5" hidden="1" thickBot="1" x14ac:dyDescent="0.3">
      <c r="A739" s="731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1"/>
        <v>11,23</v>
      </c>
      <c r="L739" s="281"/>
      <c r="M739" s="281"/>
      <c r="N739" s="281"/>
    </row>
    <row r="740" spans="1:14" ht="19.5" hidden="1" thickBot="1" x14ac:dyDescent="0.3">
      <c r="A740" s="731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1"/>
        <v>11,23</v>
      </c>
      <c r="L740" s="279"/>
      <c r="M740" s="279"/>
      <c r="N740" s="279"/>
    </row>
    <row r="741" spans="1:14" ht="19.5" hidden="1" thickBot="1" x14ac:dyDescent="0.3">
      <c r="A741" s="732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1"/>
        <v>11,23</v>
      </c>
      <c r="L741" s="280"/>
      <c r="M741" s="280"/>
      <c r="N741" s="280"/>
    </row>
    <row r="742" spans="1:14" ht="19.5" hidden="1" thickBot="1" x14ac:dyDescent="0.3">
      <c r="A742" s="732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1"/>
        <v>11,23</v>
      </c>
      <c r="L742" s="286"/>
      <c r="M742" s="286"/>
      <c r="N742" s="286"/>
    </row>
    <row r="743" spans="1:14" ht="19.5" hidden="1" thickBot="1" x14ac:dyDescent="0.3">
      <c r="A743" s="732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1"/>
        <v>11,23</v>
      </c>
      <c r="L743" s="207"/>
      <c r="M743" s="207"/>
      <c r="N743" s="207"/>
    </row>
    <row r="744" spans="1:14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1"/>
        <v>11,23</v>
      </c>
      <c r="L744" s="110"/>
      <c r="M744" s="110"/>
      <c r="N744" s="110"/>
    </row>
    <row r="745" spans="1:14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1"/>
        <v>11,23</v>
      </c>
      <c r="L745" s="111"/>
      <c r="M745" s="111"/>
      <c r="N745" s="111"/>
    </row>
    <row r="746" spans="1:14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1"/>
        <v>11,23</v>
      </c>
      <c r="L746" s="110"/>
      <c r="M746" s="110"/>
      <c r="N746" s="110"/>
    </row>
    <row r="747" spans="1:14" ht="19.5" hidden="1" thickBot="1" x14ac:dyDescent="0.3">
      <c r="A747" s="732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1"/>
        <v>11,23</v>
      </c>
      <c r="L747" s="280"/>
      <c r="M747" s="280"/>
      <c r="N747" s="280"/>
    </row>
    <row r="748" spans="1:14" ht="19.5" hidden="1" thickBot="1" x14ac:dyDescent="0.3">
      <c r="A748" s="732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1"/>
        <v>11,23</v>
      </c>
      <c r="L748" s="286"/>
      <c r="M748" s="286"/>
      <c r="N748" s="286"/>
    </row>
    <row r="749" spans="1:14" ht="19.5" hidden="1" thickBot="1" x14ac:dyDescent="0.3">
      <c r="A749" s="732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1"/>
        <v>11,23</v>
      </c>
      <c r="L749" s="286"/>
      <c r="M749" s="286"/>
      <c r="N749" s="286"/>
    </row>
    <row r="750" spans="1:14" ht="19.5" hidden="1" thickBot="1" x14ac:dyDescent="0.3">
      <c r="A750" s="732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1"/>
        <v>11,23</v>
      </c>
      <c r="L750" s="207"/>
      <c r="M750" s="207"/>
      <c r="N750" s="207"/>
    </row>
    <row r="751" spans="1:14" ht="19.5" hidden="1" thickBot="1" x14ac:dyDescent="0.3">
      <c r="A751" s="731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1"/>
        <v>11,23</v>
      </c>
      <c r="L751" s="278"/>
      <c r="M751" s="278"/>
      <c r="N751" s="278"/>
    </row>
    <row r="752" spans="1:14" ht="19.5" hidden="1" thickBot="1" x14ac:dyDescent="0.3">
      <c r="A752" s="731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1"/>
        <v>11,23</v>
      </c>
      <c r="L752" s="281"/>
      <c r="M752" s="281"/>
      <c r="N752" s="281"/>
    </row>
    <row r="753" spans="1:14" ht="19.5" hidden="1" thickBot="1" x14ac:dyDescent="0.3">
      <c r="A753" s="731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1"/>
        <v>11,23</v>
      </c>
      <c r="L753" s="281"/>
      <c r="M753" s="281"/>
      <c r="N753" s="281"/>
    </row>
    <row r="754" spans="1:14" ht="19.5" hidden="1" thickBot="1" x14ac:dyDescent="0.3">
      <c r="A754" s="731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1"/>
        <v>11,23</v>
      </c>
      <c r="L754" s="279"/>
      <c r="M754" s="279"/>
      <c r="N754" s="279"/>
    </row>
    <row r="755" spans="1:14" ht="19.5" hidden="1" thickBot="1" x14ac:dyDescent="0.3">
      <c r="A755" s="762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1"/>
        <v>11,23</v>
      </c>
      <c r="L755" s="286"/>
      <c r="M755" s="286"/>
      <c r="N755" s="286"/>
    </row>
    <row r="756" spans="1:14" ht="19.5" hidden="1" thickBot="1" x14ac:dyDescent="0.3">
      <c r="A756" s="762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1"/>
        <v>11,23</v>
      </c>
      <c r="L756" s="286"/>
      <c r="M756" s="286"/>
      <c r="N756" s="286"/>
    </row>
    <row r="757" spans="1:14" ht="19.5" hidden="1" thickBot="1" x14ac:dyDescent="0.3">
      <c r="A757" s="762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1"/>
        <v>11,23</v>
      </c>
      <c r="L757" s="286"/>
      <c r="M757" s="286"/>
      <c r="N757" s="286"/>
    </row>
    <row r="758" spans="1:14" ht="19.5" hidden="1" thickBot="1" x14ac:dyDescent="0.3">
      <c r="A758" s="762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1"/>
        <v>11,23</v>
      </c>
      <c r="L758" s="286"/>
      <c r="M758" s="286"/>
      <c r="N758" s="286"/>
    </row>
    <row r="759" spans="1:14" ht="19.5" hidden="1" thickBot="1" x14ac:dyDescent="0.3">
      <c r="A759" s="762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1"/>
        <v>11,23</v>
      </c>
      <c r="L759" s="286"/>
      <c r="M759" s="286"/>
      <c r="N759" s="286"/>
    </row>
    <row r="760" spans="1:14" ht="19.5" hidden="1" thickBot="1" x14ac:dyDescent="0.3">
      <c r="A760" s="762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1"/>
        <v>11,23</v>
      </c>
      <c r="L760" s="288"/>
      <c r="M760" s="288"/>
      <c r="N760" s="288"/>
    </row>
    <row r="761" spans="1:14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1"/>
        <v>11,23</v>
      </c>
      <c r="L761" s="110"/>
      <c r="M761" s="110"/>
      <c r="N761" s="110"/>
    </row>
    <row r="762" spans="1:14" ht="19.5" hidden="1" customHeight="1" thickBot="1" x14ac:dyDescent="0.3">
      <c r="A762" s="732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737" t="s">
        <v>72</v>
      </c>
      <c r="H762" s="48" t="s">
        <v>226</v>
      </c>
      <c r="I762" s="163" t="s">
        <v>226</v>
      </c>
      <c r="J762" s="52"/>
      <c r="K762" s="48" t="str">
        <f t="shared" si="11"/>
        <v>11,23</v>
      </c>
      <c r="L762" s="280"/>
      <c r="M762" s="280"/>
      <c r="N762" s="280"/>
    </row>
    <row r="763" spans="1:14" ht="19.5" hidden="1" thickBot="1" x14ac:dyDescent="0.3">
      <c r="A763" s="732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737"/>
      <c r="H763" s="71" t="s">
        <v>226</v>
      </c>
      <c r="I763" s="167" t="s">
        <v>226</v>
      </c>
      <c r="J763" s="168"/>
      <c r="K763" s="71" t="str">
        <f t="shared" si="11"/>
        <v>11,23</v>
      </c>
      <c r="L763" s="207"/>
      <c r="M763" s="207"/>
      <c r="N763" s="207"/>
    </row>
    <row r="764" spans="1:14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1"/>
        <v>11,23</v>
      </c>
      <c r="L764" s="110"/>
      <c r="M764" s="110"/>
      <c r="N764" s="110"/>
    </row>
    <row r="765" spans="1:14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1"/>
        <v>11,23</v>
      </c>
      <c r="L765" s="111"/>
      <c r="M765" s="111"/>
      <c r="N765" s="111"/>
    </row>
    <row r="766" spans="1:14" ht="38.25" hidden="1" thickBot="1" x14ac:dyDescent="0.3">
      <c r="A766" s="731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1"/>
        <v>11,23</v>
      </c>
      <c r="L766" s="278"/>
      <c r="M766" s="278"/>
      <c r="N766" s="278"/>
    </row>
    <row r="767" spans="1:14" ht="38.25" hidden="1" thickBot="1" x14ac:dyDescent="0.3">
      <c r="A767" s="731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1"/>
        <v>11,23</v>
      </c>
      <c r="L767" s="281"/>
      <c r="M767" s="281"/>
      <c r="N767" s="281"/>
    </row>
    <row r="768" spans="1:14" ht="38.25" hidden="1" thickBot="1" x14ac:dyDescent="0.3">
      <c r="A768" s="731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1"/>
        <v>11,23</v>
      </c>
      <c r="L768" s="279"/>
      <c r="M768" s="279"/>
      <c r="N768" s="279"/>
    </row>
    <row r="769" spans="1:14" ht="38.25" hidden="1" thickBot="1" x14ac:dyDescent="0.3">
      <c r="A769" s="732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1"/>
        <v>11,23</v>
      </c>
      <c r="L769" s="280"/>
      <c r="M769" s="280"/>
      <c r="N769" s="280"/>
    </row>
    <row r="770" spans="1:14" ht="38.25" hidden="1" thickBot="1" x14ac:dyDescent="0.3">
      <c r="A770" s="732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1"/>
        <v>11,23</v>
      </c>
      <c r="L770" s="286"/>
      <c r="M770" s="286"/>
      <c r="N770" s="286"/>
    </row>
    <row r="771" spans="1:14" ht="38.25" hidden="1" thickBot="1" x14ac:dyDescent="0.3">
      <c r="A771" s="732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2">RIGHT(H771,5)</f>
        <v>11,23</v>
      </c>
      <c r="L771" s="207"/>
      <c r="M771" s="207"/>
      <c r="N771" s="207"/>
    </row>
    <row r="772" spans="1:14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2"/>
        <v>11,23</v>
      </c>
      <c r="L772" s="110"/>
      <c r="M772" s="110"/>
      <c r="N772" s="110"/>
    </row>
    <row r="773" spans="1:14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2"/>
        <v>11,23</v>
      </c>
      <c r="L773" s="111"/>
      <c r="M773" s="111"/>
      <c r="N773" s="111"/>
    </row>
    <row r="774" spans="1:14" ht="19.5" hidden="1" thickBot="1" x14ac:dyDescent="0.3">
      <c r="A774" s="73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2"/>
        <v>11,23</v>
      </c>
      <c r="L774" s="278"/>
      <c r="M774" s="278"/>
      <c r="N774" s="278"/>
    </row>
    <row r="775" spans="1:14" ht="19.5" hidden="1" thickBot="1" x14ac:dyDescent="0.3">
      <c r="A775" s="73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2"/>
        <v>11,23</v>
      </c>
      <c r="L775" s="281"/>
      <c r="M775" s="281"/>
      <c r="N775" s="281"/>
    </row>
    <row r="776" spans="1:14" ht="19.5" hidden="1" thickBot="1" x14ac:dyDescent="0.3">
      <c r="A776" s="73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2"/>
        <v>11,23</v>
      </c>
      <c r="L776" s="281"/>
      <c r="M776" s="281"/>
      <c r="N776" s="281"/>
    </row>
    <row r="777" spans="1:14" ht="19.5" hidden="1" thickBot="1" x14ac:dyDescent="0.3">
      <c r="A777" s="73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2"/>
        <v>11,23</v>
      </c>
      <c r="L777" s="281"/>
      <c r="M777" s="281"/>
      <c r="N777" s="281"/>
    </row>
    <row r="778" spans="1:14" ht="19.5" hidden="1" thickBot="1" x14ac:dyDescent="0.3">
      <c r="A778" s="73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2"/>
        <v>11,23</v>
      </c>
      <c r="L778" s="282"/>
      <c r="M778" s="282"/>
      <c r="N778" s="282"/>
    </row>
    <row r="779" spans="1:14" ht="38.25" hidden="1" thickBot="1" x14ac:dyDescent="0.3">
      <c r="A779" s="732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2"/>
        <v>11,23</v>
      </c>
      <c r="L779" s="280"/>
      <c r="M779" s="280"/>
      <c r="N779" s="280"/>
    </row>
    <row r="780" spans="1:14" ht="57" hidden="1" thickBot="1" x14ac:dyDescent="0.3">
      <c r="A780" s="732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2"/>
        <v>11,23</v>
      </c>
      <c r="L780" s="300"/>
      <c r="M780" s="300"/>
      <c r="N780" s="300"/>
    </row>
    <row r="781" spans="1:14" ht="38.25" hidden="1" thickBot="1" x14ac:dyDescent="0.3">
      <c r="A781" s="732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2"/>
        <v>11,23</v>
      </c>
      <c r="L781" s="302"/>
      <c r="M781" s="302"/>
      <c r="N781" s="302"/>
    </row>
    <row r="782" spans="1:14" ht="19.5" hidden="1" thickBot="1" x14ac:dyDescent="0.3">
      <c r="A782" s="732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2"/>
        <v>11,23</v>
      </c>
      <c r="L782" s="302"/>
      <c r="M782" s="302"/>
      <c r="N782" s="302"/>
    </row>
    <row r="783" spans="1:14" ht="19.5" hidden="1" thickBot="1" x14ac:dyDescent="0.3">
      <c r="A783" s="732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2"/>
        <v>11,23</v>
      </c>
      <c r="L783" s="304"/>
      <c r="M783" s="304"/>
      <c r="N783" s="304"/>
    </row>
    <row r="784" spans="1:14" ht="19.5" hidden="1" thickBot="1" x14ac:dyDescent="0.3">
      <c r="A784" s="76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2"/>
        <v>11,23</v>
      </c>
      <c r="L784" s="281"/>
      <c r="M784" s="281"/>
      <c r="N784" s="281"/>
    </row>
    <row r="785" spans="1:14" ht="19.5" hidden="1" thickBot="1" x14ac:dyDescent="0.3">
      <c r="A785" s="76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2"/>
        <v>11,23</v>
      </c>
      <c r="L785" s="279"/>
      <c r="M785" s="279"/>
      <c r="N785" s="279"/>
    </row>
    <row r="786" spans="1:14" ht="19.5" hidden="1" thickBot="1" x14ac:dyDescent="0.3">
      <c r="A786" s="732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2"/>
        <v>11,23</v>
      </c>
      <c r="L786" s="280"/>
      <c r="M786" s="280"/>
      <c r="N786" s="280"/>
    </row>
    <row r="787" spans="1:14" ht="19.5" hidden="1" thickBot="1" x14ac:dyDescent="0.3">
      <c r="A787" s="732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2"/>
        <v>11,23</v>
      </c>
      <c r="L787" s="286"/>
      <c r="M787" s="286"/>
      <c r="N787" s="286"/>
    </row>
    <row r="788" spans="1:14" ht="19.5" hidden="1" thickBot="1" x14ac:dyDescent="0.3">
      <c r="A788" s="732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2"/>
        <v>11,23</v>
      </c>
      <c r="L788" s="207"/>
      <c r="M788" s="207"/>
      <c r="N788" s="207"/>
    </row>
    <row r="789" spans="1:14" ht="19.5" hidden="1" thickBot="1" x14ac:dyDescent="0.3">
      <c r="A789" s="731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2"/>
        <v>11,23</v>
      </c>
      <c r="L789" s="278"/>
      <c r="M789" s="278"/>
      <c r="N789" s="278"/>
    </row>
    <row r="790" spans="1:14" ht="19.5" hidden="1" thickBot="1" x14ac:dyDescent="0.3">
      <c r="A790" s="731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2"/>
        <v>11,23</v>
      </c>
      <c r="L790" s="279"/>
      <c r="M790" s="279"/>
      <c r="N790" s="279"/>
    </row>
    <row r="791" spans="1:14" ht="19.5" hidden="1" thickBot="1" x14ac:dyDescent="0.3">
      <c r="A791" s="732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2"/>
        <v>11,23</v>
      </c>
      <c r="L791" s="280"/>
      <c r="M791" s="280"/>
      <c r="N791" s="280"/>
    </row>
    <row r="792" spans="1:14" ht="19.5" hidden="1" thickBot="1" x14ac:dyDescent="0.3">
      <c r="A792" s="732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2"/>
        <v>11,23</v>
      </c>
      <c r="L792" s="207"/>
      <c r="M792" s="207"/>
      <c r="N792" s="207"/>
    </row>
    <row r="793" spans="1:14" ht="19.5" hidden="1" thickBot="1" x14ac:dyDescent="0.3">
      <c r="A793" s="731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2"/>
        <v>11,23</v>
      </c>
      <c r="L793" s="278"/>
      <c r="M793" s="278"/>
      <c r="N793" s="278"/>
    </row>
    <row r="794" spans="1:14" ht="19.5" hidden="1" thickBot="1" x14ac:dyDescent="0.3">
      <c r="A794" s="731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2"/>
        <v>11,23</v>
      </c>
      <c r="L794" s="281"/>
      <c r="M794" s="281"/>
      <c r="N794" s="281"/>
    </row>
    <row r="795" spans="1:14" ht="19.5" hidden="1" thickBot="1" x14ac:dyDescent="0.3">
      <c r="A795" s="731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2"/>
        <v>11,23</v>
      </c>
      <c r="L795" s="281"/>
      <c r="M795" s="281"/>
      <c r="N795" s="281"/>
    </row>
    <row r="796" spans="1:14" ht="19.5" hidden="1" thickBot="1" x14ac:dyDescent="0.3">
      <c r="A796" s="731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2"/>
        <v>11,23</v>
      </c>
      <c r="L796" s="279"/>
      <c r="M796" s="279"/>
      <c r="N796" s="279"/>
    </row>
    <row r="797" spans="1:14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2"/>
        <v>11,23</v>
      </c>
      <c r="L797" s="111"/>
      <c r="M797" s="111"/>
      <c r="N797" s="111"/>
    </row>
    <row r="798" spans="1:14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2"/>
        <v>11,23</v>
      </c>
      <c r="L798" s="110"/>
      <c r="M798" s="110"/>
      <c r="N798" s="110"/>
    </row>
    <row r="799" spans="1:14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2"/>
        <v>11,23</v>
      </c>
      <c r="L799" s="111"/>
      <c r="M799" s="111"/>
      <c r="N799" s="111"/>
    </row>
    <row r="800" spans="1:14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2"/>
        <v>11,23</v>
      </c>
      <c r="L800" s="110"/>
      <c r="M800" s="110"/>
      <c r="N800" s="110"/>
    </row>
    <row r="801" spans="1:14" ht="19.5" hidden="1" thickBot="1" x14ac:dyDescent="0.3">
      <c r="A801" s="732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2"/>
        <v>11,23</v>
      </c>
      <c r="L801" s="280"/>
      <c r="M801" s="280"/>
      <c r="N801" s="280"/>
    </row>
    <row r="802" spans="1:14" ht="19.5" hidden="1" thickBot="1" x14ac:dyDescent="0.3">
      <c r="A802" s="732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2"/>
        <v>11,23</v>
      </c>
      <c r="L802" s="207"/>
      <c r="M802" s="207"/>
      <c r="N802" s="207"/>
    </row>
    <row r="803" spans="1:14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2"/>
        <v>11,23</v>
      </c>
      <c r="L803" s="110"/>
      <c r="M803" s="110"/>
      <c r="N803" s="110"/>
    </row>
    <row r="804" spans="1:14" ht="19.5" hidden="1" thickBot="1" x14ac:dyDescent="0.3">
      <c r="A804" s="732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2"/>
        <v>11,23</v>
      </c>
      <c r="L804" s="280"/>
      <c r="M804" s="280"/>
      <c r="N804" s="280"/>
    </row>
    <row r="805" spans="1:14" ht="19.5" hidden="1" thickBot="1" x14ac:dyDescent="0.3">
      <c r="A805" s="732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2"/>
        <v>11,23</v>
      </c>
      <c r="L805" s="286"/>
      <c r="M805" s="286"/>
      <c r="N805" s="286"/>
    </row>
    <row r="806" spans="1:14" ht="19.5" hidden="1" thickBot="1" x14ac:dyDescent="0.3">
      <c r="A806" s="732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2"/>
        <v>11,23</v>
      </c>
      <c r="L806" s="286"/>
      <c r="M806" s="286"/>
      <c r="N806" s="286"/>
    </row>
    <row r="807" spans="1:14" ht="19.5" hidden="1" thickBot="1" x14ac:dyDescent="0.3">
      <c r="A807" s="732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2"/>
        <v>11,23</v>
      </c>
      <c r="L807" s="286"/>
      <c r="M807" s="286"/>
      <c r="N807" s="286"/>
    </row>
    <row r="808" spans="1:14" ht="19.5" hidden="1" thickBot="1" x14ac:dyDescent="0.3">
      <c r="A808" s="732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2"/>
        <v>11,23</v>
      </c>
      <c r="L808" s="207"/>
      <c r="M808" s="207"/>
      <c r="N808" s="207"/>
    </row>
    <row r="809" spans="1:14" ht="19.5" hidden="1" thickBot="1" x14ac:dyDescent="0.3">
      <c r="A809" s="731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2"/>
        <v>11,23</v>
      </c>
      <c r="L809" s="278"/>
      <c r="M809" s="278"/>
      <c r="N809" s="278"/>
    </row>
    <row r="810" spans="1:14" ht="19.5" hidden="1" thickBot="1" x14ac:dyDescent="0.3">
      <c r="A810" s="731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2"/>
        <v>11,23</v>
      </c>
      <c r="L810" s="281"/>
      <c r="M810" s="281"/>
      <c r="N810" s="281"/>
    </row>
    <row r="811" spans="1:14" ht="19.5" hidden="1" thickBot="1" x14ac:dyDescent="0.3">
      <c r="A811" s="731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2"/>
        <v>11,23</v>
      </c>
      <c r="L811" s="281"/>
      <c r="M811" s="281"/>
      <c r="N811" s="281"/>
    </row>
    <row r="812" spans="1:14" ht="19.5" hidden="1" thickBot="1" x14ac:dyDescent="0.3">
      <c r="A812" s="731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2"/>
        <v>11,23</v>
      </c>
      <c r="L812" s="279"/>
      <c r="M812" s="279"/>
      <c r="N812" s="279"/>
    </row>
    <row r="813" spans="1:14" ht="19.5" hidden="1" thickBot="1" x14ac:dyDescent="0.3">
      <c r="A813" s="732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2"/>
        <v>11,23</v>
      </c>
      <c r="L813" s="280"/>
      <c r="M813" s="280"/>
      <c r="N813" s="280"/>
    </row>
    <row r="814" spans="1:14" ht="19.5" hidden="1" thickBot="1" x14ac:dyDescent="0.3">
      <c r="A814" s="732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2"/>
        <v>11,23</v>
      </c>
      <c r="L814" s="207"/>
      <c r="M814" s="207"/>
      <c r="N814" s="207"/>
    </row>
    <row r="815" spans="1:14" ht="19.5" hidden="1" customHeight="1" thickBot="1" x14ac:dyDescent="0.3">
      <c r="A815" s="731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734" t="s">
        <v>72</v>
      </c>
      <c r="H815" s="82" t="s">
        <v>238</v>
      </c>
      <c r="I815" s="114" t="s">
        <v>238</v>
      </c>
      <c r="J815" s="86"/>
      <c r="K815" s="82" t="str">
        <f t="shared" si="12"/>
        <v>11,23</v>
      </c>
      <c r="L815" s="278"/>
      <c r="M815" s="278"/>
      <c r="N815" s="278"/>
    </row>
    <row r="816" spans="1:14" ht="19.5" hidden="1" thickBot="1" x14ac:dyDescent="0.3">
      <c r="A816" s="731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734"/>
      <c r="H816" s="90" t="s">
        <v>238</v>
      </c>
      <c r="I816" s="176" t="s">
        <v>238</v>
      </c>
      <c r="J816" s="173"/>
      <c r="K816" s="90" t="str">
        <f t="shared" si="12"/>
        <v>11,23</v>
      </c>
      <c r="L816" s="279"/>
      <c r="M816" s="279"/>
      <c r="N816" s="279"/>
    </row>
    <row r="817" spans="1:14" ht="57" hidden="1" thickBot="1" x14ac:dyDescent="0.3">
      <c r="A817" s="732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2"/>
        <v>11,23</v>
      </c>
      <c r="L817" s="280"/>
      <c r="M817" s="280"/>
      <c r="N817" s="280"/>
    </row>
    <row r="818" spans="1:14" ht="38.25" hidden="1" thickBot="1" x14ac:dyDescent="0.3">
      <c r="A818" s="732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2"/>
        <v>11,23</v>
      </c>
      <c r="L818" s="286"/>
      <c r="M818" s="286"/>
      <c r="N818" s="286"/>
    </row>
    <row r="819" spans="1:14" ht="57" hidden="1" thickBot="1" x14ac:dyDescent="0.3">
      <c r="A819" s="732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2"/>
        <v>11,23</v>
      </c>
      <c r="L819" s="207"/>
      <c r="M819" s="207"/>
      <c r="N819" s="207"/>
    </row>
    <row r="820" spans="1:14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2"/>
        <v>11,23</v>
      </c>
      <c r="L820" s="110"/>
      <c r="M820" s="110"/>
      <c r="N820" s="110"/>
    </row>
    <row r="821" spans="1:14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2"/>
        <v>11,23</v>
      </c>
      <c r="L821" s="111"/>
      <c r="M821" s="111"/>
      <c r="N821" s="111"/>
    </row>
    <row r="822" spans="1:14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2"/>
        <v>11,23</v>
      </c>
      <c r="L822" s="110"/>
      <c r="M822" s="110"/>
      <c r="N822" s="110"/>
    </row>
    <row r="823" spans="1:14" ht="19.5" hidden="1" thickBot="1" x14ac:dyDescent="0.3">
      <c r="A823" s="732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2"/>
        <v>11,23</v>
      </c>
      <c r="L823" s="280"/>
      <c r="M823" s="280"/>
      <c r="N823" s="280"/>
    </row>
    <row r="824" spans="1:14" ht="19.5" hidden="1" thickBot="1" x14ac:dyDescent="0.3">
      <c r="A824" s="732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2"/>
        <v>11,23</v>
      </c>
      <c r="L824" s="286"/>
      <c r="M824" s="286"/>
      <c r="N824" s="286"/>
    </row>
    <row r="825" spans="1:14" ht="19.5" hidden="1" thickBot="1" x14ac:dyDescent="0.3">
      <c r="A825" s="732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2"/>
        <v>11,23</v>
      </c>
      <c r="L825" s="286"/>
      <c r="M825" s="286"/>
      <c r="N825" s="286"/>
    </row>
    <row r="826" spans="1:14" ht="19.5" hidden="1" thickBot="1" x14ac:dyDescent="0.3">
      <c r="A826" s="732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2"/>
        <v>11,23</v>
      </c>
      <c r="L826" s="286"/>
      <c r="M826" s="286"/>
      <c r="N826" s="286"/>
    </row>
    <row r="827" spans="1:14" ht="19.5" hidden="1" thickBot="1" x14ac:dyDescent="0.3">
      <c r="A827" s="732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2"/>
        <v>11,23</v>
      </c>
      <c r="L827" s="286"/>
      <c r="M827" s="286"/>
      <c r="N827" s="286"/>
    </row>
    <row r="828" spans="1:14" ht="19.5" hidden="1" thickBot="1" x14ac:dyDescent="0.3">
      <c r="A828" s="732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2"/>
        <v>11,23</v>
      </c>
      <c r="L828" s="286"/>
      <c r="M828" s="286"/>
      <c r="N828" s="286"/>
    </row>
    <row r="829" spans="1:14" ht="19.5" hidden="1" thickBot="1" x14ac:dyDescent="0.3">
      <c r="A829" s="732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2"/>
        <v>11,23</v>
      </c>
      <c r="L829" s="207"/>
      <c r="M829" s="207"/>
      <c r="N829" s="207"/>
    </row>
    <row r="830" spans="1:14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2"/>
        <v>11,23</v>
      </c>
      <c r="L830" s="110"/>
      <c r="M830" s="110"/>
      <c r="N830" s="110"/>
    </row>
    <row r="831" spans="1:14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2"/>
        <v>11,23</v>
      </c>
      <c r="L831" s="111"/>
      <c r="M831" s="111"/>
      <c r="N831" s="111"/>
    </row>
    <row r="832" spans="1:14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2"/>
        <v>11,23</v>
      </c>
      <c r="L832" s="110"/>
      <c r="M832" s="110"/>
      <c r="N832" s="110"/>
    </row>
    <row r="833" spans="1:14" ht="19.5" hidden="1" thickBot="1" x14ac:dyDescent="0.3">
      <c r="A833" s="732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2"/>
        <v>11,23</v>
      </c>
      <c r="L833" s="280"/>
      <c r="M833" s="280"/>
      <c r="N833" s="280"/>
    </row>
    <row r="834" spans="1:14" ht="19.5" hidden="1" thickBot="1" x14ac:dyDescent="0.3">
      <c r="A834" s="732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2"/>
        <v>11,23</v>
      </c>
      <c r="L834" s="286"/>
      <c r="M834" s="286"/>
      <c r="N834" s="286"/>
    </row>
    <row r="835" spans="1:14" ht="19.5" hidden="1" thickBot="1" x14ac:dyDescent="0.3">
      <c r="A835" s="732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3">RIGHT(H835,5)</f>
        <v>11,23</v>
      </c>
      <c r="L835" s="207"/>
      <c r="M835" s="207"/>
      <c r="N835" s="207"/>
    </row>
    <row r="836" spans="1:14" ht="19.5" hidden="1" thickBot="1" x14ac:dyDescent="0.3">
      <c r="A836" s="731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3"/>
        <v>11,23</v>
      </c>
      <c r="L836" s="278"/>
      <c r="M836" s="278"/>
      <c r="N836" s="278"/>
    </row>
    <row r="837" spans="1:14" ht="19.5" hidden="1" thickBot="1" x14ac:dyDescent="0.3">
      <c r="A837" s="731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3"/>
        <v>11,23</v>
      </c>
      <c r="L837" s="281"/>
      <c r="M837" s="281"/>
      <c r="N837" s="281"/>
    </row>
    <row r="838" spans="1:14" ht="19.5" hidden="1" thickBot="1" x14ac:dyDescent="0.3">
      <c r="A838" s="731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3"/>
        <v>11,23</v>
      </c>
      <c r="L838" s="279"/>
      <c r="M838" s="279"/>
      <c r="N838" s="279"/>
    </row>
    <row r="839" spans="1:14" ht="19.5" hidden="1" thickBot="1" x14ac:dyDescent="0.3">
      <c r="A839" s="732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3"/>
        <v>11,23</v>
      </c>
      <c r="L839" s="280"/>
      <c r="M839" s="280"/>
      <c r="N839" s="280"/>
    </row>
    <row r="840" spans="1:14" ht="19.5" hidden="1" thickBot="1" x14ac:dyDescent="0.3">
      <c r="A840" s="732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3"/>
        <v>11,23</v>
      </c>
      <c r="L840" s="286"/>
      <c r="M840" s="286"/>
      <c r="N840" s="286"/>
    </row>
    <row r="841" spans="1:14" ht="19.5" hidden="1" thickBot="1" x14ac:dyDescent="0.3">
      <c r="A841" s="732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3"/>
        <v>11,23</v>
      </c>
      <c r="L841" s="207"/>
      <c r="M841" s="207"/>
      <c r="N841" s="207"/>
    </row>
    <row r="842" spans="1:14" ht="19.5" hidden="1" thickBot="1" x14ac:dyDescent="0.3">
      <c r="A842" s="731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3"/>
        <v>11,23</v>
      </c>
      <c r="L842" s="278"/>
      <c r="M842" s="278"/>
      <c r="N842" s="278"/>
    </row>
    <row r="843" spans="1:14" ht="19.5" hidden="1" thickBot="1" x14ac:dyDescent="0.3">
      <c r="A843" s="731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3"/>
        <v>11,23</v>
      </c>
      <c r="L843" s="279"/>
      <c r="M843" s="279"/>
      <c r="N843" s="279"/>
    </row>
    <row r="844" spans="1:14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3"/>
        <v>11,23</v>
      </c>
      <c r="L844" s="111"/>
      <c r="M844" s="111"/>
      <c r="N844" s="111"/>
    </row>
    <row r="845" spans="1:14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3"/>
        <v>11,23</v>
      </c>
      <c r="L845" s="110"/>
      <c r="M845" s="110"/>
      <c r="N845" s="110"/>
    </row>
    <row r="846" spans="1:14" ht="19.5" hidden="1" thickBot="1" x14ac:dyDescent="0.3">
      <c r="A846" s="732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3"/>
        <v>11,23</v>
      </c>
      <c r="L846" s="280"/>
      <c r="M846" s="280"/>
      <c r="N846" s="280"/>
    </row>
    <row r="847" spans="1:14" ht="19.5" hidden="1" thickBot="1" x14ac:dyDescent="0.3">
      <c r="A847" s="732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3"/>
        <v>11,23</v>
      </c>
      <c r="L847" s="286"/>
      <c r="M847" s="286"/>
      <c r="N847" s="286"/>
    </row>
    <row r="848" spans="1:14" ht="19.5" hidden="1" thickBot="1" x14ac:dyDescent="0.3">
      <c r="A848" s="732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3"/>
        <v>11,23</v>
      </c>
      <c r="L848" s="286"/>
      <c r="M848" s="286"/>
      <c r="N848" s="286"/>
    </row>
    <row r="849" spans="1:14" ht="19.5" hidden="1" thickBot="1" x14ac:dyDescent="0.3">
      <c r="A849" s="732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3"/>
        <v>11,23</v>
      </c>
      <c r="L849" s="207"/>
      <c r="M849" s="207"/>
      <c r="N849" s="207"/>
    </row>
    <row r="850" spans="1:14" ht="19.5" hidden="1" thickBot="1" x14ac:dyDescent="0.3">
      <c r="A850" s="731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3"/>
        <v>11,23</v>
      </c>
      <c r="L850" s="278"/>
      <c r="M850" s="278"/>
      <c r="N850" s="278"/>
    </row>
    <row r="851" spans="1:14" ht="19.5" hidden="1" thickBot="1" x14ac:dyDescent="0.3">
      <c r="A851" s="731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3"/>
        <v>11,23</v>
      </c>
      <c r="L851" s="281"/>
      <c r="M851" s="281"/>
      <c r="N851" s="281"/>
    </row>
    <row r="852" spans="1:14" ht="19.5" hidden="1" thickBot="1" x14ac:dyDescent="0.3">
      <c r="A852" s="731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3"/>
        <v>11,23</v>
      </c>
      <c r="L852" s="279"/>
      <c r="M852" s="279"/>
      <c r="N852" s="279"/>
    </row>
    <row r="853" spans="1:14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3"/>
        <v>11,23</v>
      </c>
      <c r="L853" s="111"/>
      <c r="M853" s="111"/>
      <c r="N853" s="111"/>
    </row>
    <row r="854" spans="1:14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3"/>
        <v>11,23</v>
      </c>
      <c r="L854" s="110"/>
      <c r="M854" s="110"/>
      <c r="N854" s="110"/>
    </row>
    <row r="855" spans="1:14" ht="19.5" hidden="1" thickBot="1" x14ac:dyDescent="0.3">
      <c r="A855" s="732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3"/>
        <v>11,23</v>
      </c>
      <c r="L855" s="280"/>
      <c r="M855" s="280"/>
      <c r="N855" s="280"/>
    </row>
    <row r="856" spans="1:14" ht="19.5" hidden="1" thickBot="1" x14ac:dyDescent="0.3">
      <c r="A856" s="732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3"/>
        <v>11,23</v>
      </c>
      <c r="L856" s="286"/>
      <c r="M856" s="286"/>
      <c r="N856" s="286"/>
    </row>
    <row r="857" spans="1:14" ht="19.5" hidden="1" thickBot="1" x14ac:dyDescent="0.3">
      <c r="A857" s="732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3"/>
        <v>11,23</v>
      </c>
      <c r="L857" s="286"/>
      <c r="M857" s="286"/>
      <c r="N857" s="286"/>
    </row>
    <row r="858" spans="1:14" ht="19.5" hidden="1" thickBot="1" x14ac:dyDescent="0.3">
      <c r="A858" s="732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3"/>
        <v>11,23</v>
      </c>
      <c r="L858" s="286"/>
      <c r="M858" s="286"/>
      <c r="N858" s="286"/>
    </row>
    <row r="859" spans="1:14" ht="19.5" hidden="1" thickBot="1" x14ac:dyDescent="0.3">
      <c r="A859" s="732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3"/>
        <v>11,23</v>
      </c>
      <c r="L859" s="286"/>
      <c r="M859" s="286"/>
      <c r="N859" s="286"/>
    </row>
    <row r="860" spans="1:14" ht="19.5" hidden="1" thickBot="1" x14ac:dyDescent="0.3">
      <c r="A860" s="732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3"/>
        <v>11,23</v>
      </c>
      <c r="L860" s="207"/>
      <c r="M860" s="207"/>
      <c r="N860" s="207"/>
    </row>
    <row r="861" spans="1:14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3"/>
        <v>11,23</v>
      </c>
      <c r="L861" s="110"/>
      <c r="M861" s="110"/>
      <c r="N861" s="110"/>
    </row>
    <row r="862" spans="1:14" ht="19.5" hidden="1" thickBot="1" x14ac:dyDescent="0.3">
      <c r="A862" s="732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3"/>
        <v>11,23</v>
      </c>
      <c r="L862" s="280"/>
      <c r="M862" s="280"/>
      <c r="N862" s="280"/>
    </row>
    <row r="863" spans="1:14" ht="19.5" hidden="1" thickBot="1" x14ac:dyDescent="0.3">
      <c r="A863" s="732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3"/>
        <v>11,23</v>
      </c>
      <c r="L863" s="286"/>
      <c r="M863" s="286"/>
      <c r="N863" s="286"/>
    </row>
    <row r="864" spans="1:14" ht="19.5" hidden="1" thickBot="1" x14ac:dyDescent="0.3">
      <c r="A864" s="732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3"/>
        <v>11,23</v>
      </c>
      <c r="L864" s="207"/>
      <c r="M864" s="207"/>
      <c r="N864" s="207"/>
    </row>
    <row r="865" spans="1:14" ht="19.5" hidden="1" thickBot="1" x14ac:dyDescent="0.3">
      <c r="A865" s="731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3"/>
        <v>11,23</v>
      </c>
      <c r="L865" s="278"/>
      <c r="M865" s="278"/>
      <c r="N865" s="278"/>
    </row>
    <row r="866" spans="1:14" ht="19.5" hidden="1" thickBot="1" x14ac:dyDescent="0.3">
      <c r="A866" s="731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3"/>
        <v>11,23</v>
      </c>
      <c r="L866" s="279"/>
      <c r="M866" s="279"/>
      <c r="N866" s="279"/>
    </row>
    <row r="867" spans="1:14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3"/>
        <v>11,23</v>
      </c>
      <c r="L867" s="111"/>
      <c r="M867" s="111"/>
      <c r="N867" s="111"/>
    </row>
    <row r="868" spans="1:14" ht="19.5" hidden="1" thickBot="1" x14ac:dyDescent="0.3">
      <c r="A868" s="731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3"/>
        <v>11,23</v>
      </c>
      <c r="L868" s="278"/>
      <c r="M868" s="278"/>
      <c r="N868" s="278"/>
    </row>
    <row r="869" spans="1:14" ht="19.5" hidden="1" thickBot="1" x14ac:dyDescent="0.3">
      <c r="A869" s="731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3"/>
        <v>11,23</v>
      </c>
      <c r="L869" s="281"/>
      <c r="M869" s="281"/>
      <c r="N869" s="281"/>
    </row>
    <row r="870" spans="1:14" ht="19.5" hidden="1" thickBot="1" x14ac:dyDescent="0.3">
      <c r="A870" s="731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3"/>
        <v>11,23</v>
      </c>
      <c r="L870" s="279"/>
      <c r="M870" s="279"/>
      <c r="N870" s="279"/>
    </row>
    <row r="871" spans="1:14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3"/>
        <v>11,23</v>
      </c>
      <c r="L871" s="111"/>
      <c r="M871" s="111"/>
      <c r="N871" s="111"/>
    </row>
    <row r="872" spans="1:14" ht="38.25" hidden="1" thickBot="1" x14ac:dyDescent="0.3">
      <c r="A872" s="731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3"/>
        <v>11,23</v>
      </c>
      <c r="L872" s="278"/>
      <c r="M872" s="278"/>
      <c r="N872" s="278"/>
    </row>
    <row r="873" spans="1:14" ht="38.25" hidden="1" thickBot="1" x14ac:dyDescent="0.3">
      <c r="A873" s="731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3"/>
        <v>11,23</v>
      </c>
      <c r="L873" s="281"/>
      <c r="M873" s="281"/>
      <c r="N873" s="281"/>
    </row>
    <row r="874" spans="1:14" ht="38.25" hidden="1" thickBot="1" x14ac:dyDescent="0.3">
      <c r="A874" s="731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3"/>
        <v>11,23</v>
      </c>
      <c r="L874" s="279"/>
      <c r="M874" s="279"/>
      <c r="N874" s="279"/>
    </row>
    <row r="875" spans="1:14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3"/>
        <v>11,23</v>
      </c>
      <c r="L875" s="111"/>
      <c r="M875" s="111"/>
      <c r="N875" s="111"/>
    </row>
    <row r="876" spans="1:14" ht="19.5" hidden="1" thickBot="1" x14ac:dyDescent="0.3">
      <c r="A876" s="731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3"/>
        <v>11,23</v>
      </c>
      <c r="L876" s="278"/>
      <c r="M876" s="278"/>
      <c r="N876" s="278"/>
    </row>
    <row r="877" spans="1:14" ht="19.5" hidden="1" thickBot="1" x14ac:dyDescent="0.3">
      <c r="A877" s="731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3"/>
        <v>11,23</v>
      </c>
      <c r="L877" s="279"/>
      <c r="M877" s="279"/>
      <c r="N877" s="279"/>
    </row>
    <row r="878" spans="1:14" ht="38.25" hidden="1" thickBot="1" x14ac:dyDescent="0.3">
      <c r="A878" s="732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3"/>
        <v>11,23</v>
      </c>
      <c r="L878" s="280"/>
      <c r="M878" s="280"/>
      <c r="N878" s="280"/>
    </row>
    <row r="879" spans="1:14" ht="38.25" hidden="1" thickBot="1" x14ac:dyDescent="0.3">
      <c r="A879" s="732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3"/>
        <v>11,23</v>
      </c>
      <c r="L879" s="286"/>
      <c r="M879" s="286"/>
      <c r="N879" s="286"/>
    </row>
    <row r="880" spans="1:14" ht="38.25" hidden="1" thickBot="1" x14ac:dyDescent="0.3">
      <c r="A880" s="732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3"/>
        <v>11,23</v>
      </c>
      <c r="L880" s="207"/>
      <c r="M880" s="207"/>
      <c r="N880" s="207"/>
    </row>
    <row r="881" spans="1:14" ht="19.5" hidden="1" thickBot="1" x14ac:dyDescent="0.3">
      <c r="A881" s="731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3"/>
        <v>11,23</v>
      </c>
      <c r="L881" s="278"/>
      <c r="M881" s="278"/>
      <c r="N881" s="278"/>
    </row>
    <row r="882" spans="1:14" ht="19.5" hidden="1" thickBot="1" x14ac:dyDescent="0.3">
      <c r="A882" s="731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3"/>
        <v>11,23</v>
      </c>
      <c r="L882" s="279"/>
      <c r="M882" s="279"/>
      <c r="N882" s="279"/>
    </row>
    <row r="883" spans="1:14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3"/>
        <v>11,23</v>
      </c>
      <c r="L883" s="111"/>
      <c r="M883" s="111"/>
      <c r="N883" s="111"/>
    </row>
    <row r="884" spans="1:14" ht="19.5" hidden="1" thickBot="1" x14ac:dyDescent="0.3">
      <c r="A884" s="731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3"/>
        <v>11,23</v>
      </c>
      <c r="L884" s="278"/>
      <c r="M884" s="278"/>
      <c r="N884" s="278"/>
    </row>
    <row r="885" spans="1:14" ht="19.5" hidden="1" thickBot="1" x14ac:dyDescent="0.3">
      <c r="A885" s="731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3"/>
        <v>11,23</v>
      </c>
      <c r="L885" s="281"/>
      <c r="M885" s="281"/>
      <c r="N885" s="281"/>
    </row>
    <row r="886" spans="1:14" ht="19.5" hidden="1" thickBot="1" x14ac:dyDescent="0.3">
      <c r="A886" s="731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3"/>
        <v>11,23</v>
      </c>
      <c r="L886" s="279"/>
      <c r="M886" s="279"/>
      <c r="N886" s="279"/>
    </row>
    <row r="887" spans="1:14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3"/>
        <v>11,23</v>
      </c>
      <c r="L887" s="111"/>
      <c r="M887" s="111"/>
      <c r="N887" s="111"/>
    </row>
    <row r="888" spans="1:14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3"/>
        <v>11,23</v>
      </c>
      <c r="L888" s="110"/>
      <c r="M888" s="110"/>
      <c r="N888" s="110"/>
    </row>
    <row r="889" spans="1:14" ht="19.5" hidden="1" thickBot="1" x14ac:dyDescent="0.3">
      <c r="A889" s="732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3"/>
        <v>11,23</v>
      </c>
      <c r="L889" s="280"/>
      <c r="M889" s="280"/>
      <c r="N889" s="280"/>
    </row>
    <row r="890" spans="1:14" ht="19.5" hidden="1" thickBot="1" x14ac:dyDescent="0.3">
      <c r="A890" s="732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3"/>
        <v>11,23</v>
      </c>
      <c r="L890" s="207"/>
      <c r="M890" s="207"/>
      <c r="N890" s="207"/>
    </row>
    <row r="891" spans="1:14" ht="19.5" hidden="1" thickBot="1" x14ac:dyDescent="0.3">
      <c r="A891" s="731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3"/>
        <v>11,23</v>
      </c>
      <c r="L891" s="278"/>
      <c r="M891" s="278"/>
      <c r="N891" s="278"/>
    </row>
    <row r="892" spans="1:14" ht="19.5" hidden="1" thickBot="1" x14ac:dyDescent="0.3">
      <c r="A892" s="731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3"/>
        <v>11,23</v>
      </c>
      <c r="L892" s="281"/>
      <c r="M892" s="281"/>
      <c r="N892" s="281"/>
    </row>
    <row r="893" spans="1:14" ht="19.5" hidden="1" thickBot="1" x14ac:dyDescent="0.3">
      <c r="A893" s="731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3"/>
        <v>11,23</v>
      </c>
      <c r="L893" s="279"/>
      <c r="M893" s="279"/>
      <c r="N893" s="279"/>
    </row>
    <row r="894" spans="1:14" ht="19.5" hidden="1" thickBot="1" x14ac:dyDescent="0.3">
      <c r="A894" s="732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3"/>
        <v>11,23</v>
      </c>
      <c r="L894" s="280"/>
      <c r="M894" s="280"/>
      <c r="N894" s="280"/>
    </row>
    <row r="895" spans="1:14" ht="19.5" hidden="1" thickBot="1" x14ac:dyDescent="0.3">
      <c r="A895" s="732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3"/>
        <v>11,23</v>
      </c>
      <c r="L895" s="286"/>
      <c r="M895" s="286"/>
      <c r="N895" s="286"/>
    </row>
    <row r="896" spans="1:14" ht="19.5" hidden="1" thickBot="1" x14ac:dyDescent="0.3">
      <c r="A896" s="732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3"/>
        <v>11,23</v>
      </c>
      <c r="L896" s="207"/>
      <c r="M896" s="207"/>
      <c r="N896" s="207"/>
    </row>
    <row r="897" spans="1:14" ht="19.5" hidden="1" thickBot="1" x14ac:dyDescent="0.3">
      <c r="A897" s="731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3"/>
        <v>11,23</v>
      </c>
      <c r="L897" s="278"/>
      <c r="M897" s="278"/>
      <c r="N897" s="278"/>
    </row>
    <row r="898" spans="1:14" ht="19.5" hidden="1" thickBot="1" x14ac:dyDescent="0.3">
      <c r="A898" s="731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3"/>
        <v>11,23</v>
      </c>
      <c r="L898" s="279"/>
      <c r="M898" s="279"/>
      <c r="N898" s="279"/>
    </row>
    <row r="899" spans="1:14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4">RIGHT(H899,5)</f>
        <v>11,23</v>
      </c>
      <c r="L899" s="111"/>
      <c r="M899" s="111"/>
      <c r="N899" s="111"/>
    </row>
    <row r="900" spans="1:14" ht="19.5" hidden="1" thickBot="1" x14ac:dyDescent="0.3">
      <c r="A900" s="731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4"/>
        <v>11,23</v>
      </c>
      <c r="L900" s="278"/>
      <c r="M900" s="278"/>
      <c r="N900" s="278"/>
    </row>
    <row r="901" spans="1:14" ht="19.5" hidden="1" thickBot="1" x14ac:dyDescent="0.3">
      <c r="A901" s="731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4"/>
        <v>11,23</v>
      </c>
      <c r="L901" s="281"/>
      <c r="M901" s="281"/>
      <c r="N901" s="281"/>
    </row>
    <row r="902" spans="1:14" ht="19.5" hidden="1" thickBot="1" x14ac:dyDescent="0.3">
      <c r="A902" s="731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4"/>
        <v>11,23</v>
      </c>
      <c r="L902" s="281"/>
      <c r="M902" s="281"/>
      <c r="N902" s="281"/>
    </row>
    <row r="903" spans="1:14" ht="19.5" hidden="1" thickBot="1" x14ac:dyDescent="0.3">
      <c r="A903" s="731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4"/>
        <v>11,23</v>
      </c>
      <c r="L903" s="281"/>
      <c r="M903" s="281"/>
      <c r="N903" s="281"/>
    </row>
    <row r="904" spans="1:14" ht="19.5" hidden="1" thickBot="1" x14ac:dyDescent="0.3">
      <c r="A904" s="731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4"/>
        <v>11,23</v>
      </c>
      <c r="L904" s="279"/>
      <c r="M904" s="279"/>
      <c r="N904" s="279"/>
    </row>
    <row r="905" spans="1:14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4"/>
        <v>11,23</v>
      </c>
      <c r="L905" s="307"/>
      <c r="M905" s="307"/>
      <c r="N905" s="307"/>
    </row>
    <row r="906" spans="1:14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4"/>
        <v>11,23</v>
      </c>
      <c r="L906" s="308"/>
      <c r="M906" s="308"/>
      <c r="N906" s="308"/>
    </row>
    <row r="907" spans="1:14" ht="19.5" hidden="1" thickBot="1" x14ac:dyDescent="0.3">
      <c r="A907" s="732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4"/>
        <v>11,23</v>
      </c>
      <c r="L907" s="280"/>
      <c r="M907" s="280"/>
      <c r="N907" s="280"/>
    </row>
    <row r="908" spans="1:14" ht="19.5" hidden="1" thickBot="1" x14ac:dyDescent="0.3">
      <c r="A908" s="732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4"/>
        <v>11,23</v>
      </c>
      <c r="L908" s="207"/>
      <c r="M908" s="207"/>
      <c r="N908" s="207"/>
    </row>
    <row r="909" spans="1:14" ht="19.5" hidden="1" thickBot="1" x14ac:dyDescent="0.3">
      <c r="A909" s="731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4"/>
        <v>11,23</v>
      </c>
      <c r="L909" s="278"/>
      <c r="M909" s="278"/>
      <c r="N909" s="278"/>
    </row>
    <row r="910" spans="1:14" ht="19.5" hidden="1" thickBot="1" x14ac:dyDescent="0.3">
      <c r="A910" s="731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4"/>
        <v>11,23</v>
      </c>
      <c r="L910" s="281"/>
      <c r="M910" s="281"/>
      <c r="N910" s="281"/>
    </row>
    <row r="911" spans="1:14" ht="19.5" hidden="1" thickBot="1" x14ac:dyDescent="0.3">
      <c r="A911" s="731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4"/>
        <v>11,23</v>
      </c>
      <c r="L911" s="279"/>
      <c r="M911" s="279"/>
      <c r="N911" s="279"/>
    </row>
    <row r="912" spans="1:14" ht="19.5" hidden="1" thickBot="1" x14ac:dyDescent="0.3">
      <c r="A912" s="732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4"/>
        <v>11,23</v>
      </c>
      <c r="L912" s="280"/>
      <c r="M912" s="280"/>
      <c r="N912" s="280"/>
    </row>
    <row r="913" spans="1:14" ht="19.5" hidden="1" thickBot="1" x14ac:dyDescent="0.3">
      <c r="A913" s="732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4"/>
        <v>11,23</v>
      </c>
      <c r="L913" s="286"/>
      <c r="M913" s="286"/>
      <c r="N913" s="286"/>
    </row>
    <row r="914" spans="1:14" ht="19.5" hidden="1" thickBot="1" x14ac:dyDescent="0.3">
      <c r="A914" s="732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4"/>
        <v>11,23</v>
      </c>
      <c r="L914" s="207"/>
      <c r="M914" s="207"/>
      <c r="N914" s="207"/>
    </row>
    <row r="915" spans="1:14" ht="19.5" hidden="1" thickBot="1" x14ac:dyDescent="0.3">
      <c r="A915" s="731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4"/>
        <v>11,23</v>
      </c>
      <c r="L915" s="278"/>
      <c r="M915" s="278"/>
      <c r="N915" s="278"/>
    </row>
    <row r="916" spans="1:14" ht="19.5" hidden="1" thickBot="1" x14ac:dyDescent="0.3">
      <c r="A916" s="731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4"/>
        <v>11,23</v>
      </c>
      <c r="L916" s="279"/>
      <c r="M916" s="279"/>
      <c r="N916" s="279"/>
    </row>
    <row r="917" spans="1:14" ht="19.5" hidden="1" thickBot="1" x14ac:dyDescent="0.3">
      <c r="A917" s="732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4"/>
        <v>11,23</v>
      </c>
      <c r="L917" s="280"/>
      <c r="M917" s="280"/>
      <c r="N917" s="280"/>
    </row>
    <row r="918" spans="1:14" ht="19.5" hidden="1" thickBot="1" x14ac:dyDescent="0.3">
      <c r="A918" s="732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4"/>
        <v>11,23</v>
      </c>
      <c r="L918" s="207"/>
      <c r="M918" s="207"/>
      <c r="N918" s="207"/>
    </row>
    <row r="919" spans="1:14" ht="19.5" hidden="1" thickBot="1" x14ac:dyDescent="0.3">
      <c r="A919" s="731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4"/>
        <v>11,23</v>
      </c>
      <c r="L919" s="278"/>
      <c r="M919" s="278"/>
      <c r="N919" s="278"/>
    </row>
    <row r="920" spans="1:14" ht="38.25" hidden="1" thickBot="1" x14ac:dyDescent="0.3">
      <c r="A920" s="731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4"/>
        <v>11,23</v>
      </c>
      <c r="L920" s="279"/>
      <c r="M920" s="279"/>
      <c r="N920" s="279"/>
    </row>
    <row r="921" spans="1:14" ht="19.5" hidden="1" thickBot="1" x14ac:dyDescent="0.3">
      <c r="A921" s="732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4"/>
        <v>11,23</v>
      </c>
      <c r="L921" s="280"/>
      <c r="M921" s="280"/>
      <c r="N921" s="280"/>
    </row>
    <row r="922" spans="1:14" ht="19.5" hidden="1" thickBot="1" x14ac:dyDescent="0.3">
      <c r="A922" s="732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4"/>
        <v>11,23</v>
      </c>
      <c r="L922" s="207"/>
      <c r="M922" s="207"/>
      <c r="N922" s="207"/>
    </row>
    <row r="923" spans="1:14" ht="19.5" hidden="1" thickBot="1" x14ac:dyDescent="0.3">
      <c r="A923" s="731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4"/>
        <v>11,23</v>
      </c>
      <c r="L923" s="278"/>
      <c r="M923" s="278"/>
      <c r="N923" s="278"/>
    </row>
    <row r="924" spans="1:14" ht="19.5" hidden="1" thickBot="1" x14ac:dyDescent="0.3">
      <c r="A924" s="731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4"/>
        <v>11,23</v>
      </c>
      <c r="L924" s="279"/>
      <c r="M924" s="279"/>
      <c r="N924" s="279"/>
    </row>
    <row r="925" spans="1:14" ht="19.5" hidden="1" thickBot="1" x14ac:dyDescent="0.3">
      <c r="A925" s="732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4"/>
        <v>11,23</v>
      </c>
      <c r="L925" s="280"/>
      <c r="M925" s="280"/>
      <c r="N925" s="280"/>
    </row>
    <row r="926" spans="1:14" ht="19.5" hidden="1" thickBot="1" x14ac:dyDescent="0.3">
      <c r="A926" s="732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4"/>
        <v>11,23</v>
      </c>
      <c r="L926" s="286"/>
      <c r="M926" s="286"/>
      <c r="N926" s="286"/>
    </row>
    <row r="927" spans="1:14" ht="19.5" hidden="1" thickBot="1" x14ac:dyDescent="0.3">
      <c r="A927" s="732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4"/>
        <v>11,23</v>
      </c>
      <c r="L927" s="286"/>
      <c r="M927" s="286"/>
      <c r="N927" s="286"/>
    </row>
    <row r="928" spans="1:14" ht="19.5" hidden="1" thickBot="1" x14ac:dyDescent="0.3">
      <c r="A928" s="732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4"/>
        <v>11,23</v>
      </c>
      <c r="L928" s="207"/>
      <c r="M928" s="207"/>
      <c r="N928" s="207"/>
    </row>
    <row r="929" spans="1:14" ht="19.5" hidden="1" customHeight="1" thickBot="1" x14ac:dyDescent="0.3">
      <c r="A929" s="731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734" t="s">
        <v>72</v>
      </c>
      <c r="H929" s="82" t="s">
        <v>252</v>
      </c>
      <c r="I929" s="147" t="s">
        <v>252</v>
      </c>
      <c r="J929" s="86"/>
      <c r="K929" s="82" t="str">
        <f t="shared" si="14"/>
        <v>11,23</v>
      </c>
      <c r="L929" s="278"/>
      <c r="M929" s="278"/>
      <c r="N929" s="278"/>
    </row>
    <row r="930" spans="1:14" ht="19.5" hidden="1" thickBot="1" x14ac:dyDescent="0.3">
      <c r="A930" s="731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734"/>
      <c r="H930" s="90" t="s">
        <v>252</v>
      </c>
      <c r="I930" s="172" t="s">
        <v>252</v>
      </c>
      <c r="J930" s="173"/>
      <c r="K930" s="90" t="str">
        <f t="shared" si="14"/>
        <v>11,23</v>
      </c>
      <c r="L930" s="279"/>
      <c r="M930" s="279"/>
      <c r="N930" s="279"/>
    </row>
    <row r="931" spans="1:14" ht="57" hidden="1" thickBot="1" x14ac:dyDescent="0.3">
      <c r="A931" s="732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4"/>
        <v>11,23</v>
      </c>
      <c r="L931" s="280"/>
      <c r="M931" s="280"/>
      <c r="N931" s="280"/>
    </row>
    <row r="932" spans="1:14" ht="57" hidden="1" thickBot="1" x14ac:dyDescent="0.3">
      <c r="A932" s="732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4"/>
        <v>11,23</v>
      </c>
      <c r="L932" s="286"/>
      <c r="M932" s="286"/>
      <c r="N932" s="286"/>
    </row>
    <row r="933" spans="1:14" ht="57" hidden="1" thickBot="1" x14ac:dyDescent="0.3">
      <c r="A933" s="732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4"/>
        <v>11,23</v>
      </c>
      <c r="L933" s="207"/>
      <c r="M933" s="207"/>
      <c r="N933" s="207"/>
    </row>
    <row r="934" spans="1:14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4"/>
        <v>11,23</v>
      </c>
      <c r="L934" s="110"/>
      <c r="M934" s="110"/>
      <c r="N934" s="110"/>
    </row>
    <row r="935" spans="1:14" ht="19.5" hidden="1" thickBot="1" x14ac:dyDescent="0.3">
      <c r="A935" s="732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4"/>
        <v>11,23</v>
      </c>
      <c r="L935" s="280"/>
      <c r="M935" s="280"/>
      <c r="N935" s="280"/>
    </row>
    <row r="936" spans="1:14" ht="19.5" hidden="1" thickBot="1" x14ac:dyDescent="0.3">
      <c r="A936" s="732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4"/>
        <v>11,23</v>
      </c>
      <c r="L936" s="304"/>
      <c r="M936" s="304"/>
      <c r="N936" s="304"/>
    </row>
    <row r="937" spans="1:14" ht="19.5" hidden="1" thickBot="1" x14ac:dyDescent="0.3">
      <c r="A937" s="731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4"/>
        <v>11,23</v>
      </c>
      <c r="L937" s="278"/>
      <c r="M937" s="278"/>
      <c r="N937" s="278"/>
    </row>
    <row r="938" spans="1:14" ht="19.5" hidden="1" thickBot="1" x14ac:dyDescent="0.3">
      <c r="A938" s="731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4"/>
        <v>11,23</v>
      </c>
      <c r="L938" s="309"/>
      <c r="M938" s="309"/>
      <c r="N938" s="309"/>
    </row>
    <row r="939" spans="1:14" ht="38.25" hidden="1" thickBot="1" x14ac:dyDescent="0.3">
      <c r="A939" s="732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4"/>
        <v>11,23</v>
      </c>
      <c r="L939" s="280"/>
      <c r="M939" s="280"/>
      <c r="N939" s="280"/>
    </row>
    <row r="940" spans="1:14" ht="38.25" hidden="1" thickBot="1" x14ac:dyDescent="0.3">
      <c r="A940" s="732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4"/>
        <v>11,23</v>
      </c>
      <c r="L940" s="302"/>
      <c r="M940" s="302"/>
      <c r="N940" s="302"/>
    </row>
    <row r="941" spans="1:14" ht="38.25" hidden="1" thickBot="1" x14ac:dyDescent="0.3">
      <c r="A941" s="732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4"/>
        <v>11,23</v>
      </c>
      <c r="L941" s="304"/>
      <c r="M941" s="304"/>
      <c r="N941" s="304"/>
    </row>
    <row r="942" spans="1:14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4"/>
        <v>11,23</v>
      </c>
      <c r="L942" s="110"/>
      <c r="M942" s="110"/>
      <c r="N942" s="110"/>
    </row>
    <row r="943" spans="1:14" ht="38.25" hidden="1" thickBot="1" x14ac:dyDescent="0.3">
      <c r="A943" s="732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4"/>
        <v>11,23</v>
      </c>
      <c r="L943" s="280"/>
      <c r="M943" s="280"/>
      <c r="N943" s="280"/>
    </row>
    <row r="944" spans="1:14" ht="19.5" hidden="1" thickBot="1" x14ac:dyDescent="0.3">
      <c r="A944" s="732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4"/>
        <v>11,23</v>
      </c>
      <c r="L944" s="302"/>
      <c r="M944" s="302"/>
      <c r="N944" s="302"/>
    </row>
    <row r="945" spans="1:14" ht="19.5" hidden="1" thickBot="1" x14ac:dyDescent="0.3">
      <c r="A945" s="732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4"/>
        <v>11,23</v>
      </c>
      <c r="L945" s="302"/>
      <c r="M945" s="302"/>
      <c r="N945" s="302"/>
    </row>
    <row r="946" spans="1:14" ht="19.5" hidden="1" thickBot="1" x14ac:dyDescent="0.3">
      <c r="A946" s="732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4"/>
        <v>11,23</v>
      </c>
      <c r="L946" s="302"/>
      <c r="M946" s="302"/>
      <c r="N946" s="302"/>
    </row>
    <row r="947" spans="1:14" ht="19.5" hidden="1" thickBot="1" x14ac:dyDescent="0.3">
      <c r="A947" s="732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4"/>
        <v>11,23</v>
      </c>
      <c r="L947" s="304"/>
      <c r="M947" s="304"/>
      <c r="N947" s="304"/>
    </row>
    <row r="948" spans="1:14" ht="19.5" hidden="1" thickBot="1" x14ac:dyDescent="0.3">
      <c r="A948" s="731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4"/>
        <v>11,23</v>
      </c>
      <c r="L948" s="278"/>
      <c r="M948" s="278"/>
      <c r="N948" s="278"/>
    </row>
    <row r="949" spans="1:14" ht="19.5" hidden="1" thickBot="1" x14ac:dyDescent="0.3">
      <c r="A949" s="731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4"/>
        <v>11,23</v>
      </c>
      <c r="L949" s="309"/>
      <c r="M949" s="309"/>
      <c r="N949" s="309"/>
    </row>
    <row r="950" spans="1:14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4"/>
        <v>11,23</v>
      </c>
      <c r="L950" s="310"/>
      <c r="M950" s="310"/>
      <c r="N950" s="310"/>
    </row>
    <row r="951" spans="1:14" ht="19.5" hidden="1" thickBot="1" x14ac:dyDescent="0.3">
      <c r="A951" s="731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4"/>
        <v>11,23</v>
      </c>
      <c r="L951" s="145"/>
      <c r="M951" s="82"/>
      <c r="N951" s="311"/>
    </row>
    <row r="952" spans="1:14" ht="19.5" hidden="1" thickBot="1" x14ac:dyDescent="0.3">
      <c r="A952" s="731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4"/>
        <v>11,23</v>
      </c>
      <c r="L952" s="141"/>
      <c r="M952" s="109"/>
      <c r="N952" s="312"/>
    </row>
    <row r="953" spans="1:14" ht="19.5" hidden="1" thickBot="1" x14ac:dyDescent="0.3">
      <c r="A953" s="731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4"/>
        <v>11,23</v>
      </c>
      <c r="L953" s="141"/>
      <c r="M953" s="109"/>
      <c r="N953" s="312"/>
    </row>
    <row r="954" spans="1:14" ht="38.25" hidden="1" thickBot="1" x14ac:dyDescent="0.3">
      <c r="A954" s="731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4"/>
        <v>11,23</v>
      </c>
      <c r="L954" s="142"/>
      <c r="M954" s="107"/>
      <c r="N954" s="313"/>
    </row>
    <row r="955" spans="1:14" ht="19.5" hidden="1" thickBot="1" x14ac:dyDescent="0.3">
      <c r="A955" s="763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4"/>
        <v>11,23</v>
      </c>
      <c r="L955" s="286"/>
      <c r="M955" s="286"/>
      <c r="N955" s="286"/>
    </row>
    <row r="956" spans="1:14" ht="19.5" hidden="1" thickBot="1" x14ac:dyDescent="0.3">
      <c r="A956" s="763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4"/>
        <v>11,23</v>
      </c>
      <c r="L956" s="304"/>
      <c r="M956" s="304"/>
      <c r="N956" s="304"/>
    </row>
    <row r="957" spans="1:14" ht="19.5" hidden="1" thickBot="1" x14ac:dyDescent="0.3">
      <c r="A957" s="731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4"/>
        <v>11,23</v>
      </c>
      <c r="L957" s="278"/>
      <c r="M957" s="278"/>
      <c r="N957" s="278"/>
    </row>
    <row r="958" spans="1:14" ht="19.5" hidden="1" thickBot="1" x14ac:dyDescent="0.3">
      <c r="A958" s="731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4"/>
        <v>11,23</v>
      </c>
      <c r="L958" s="309"/>
      <c r="M958" s="309"/>
      <c r="N958" s="309"/>
    </row>
    <row r="959" spans="1:14" ht="19.5" hidden="1" thickBot="1" x14ac:dyDescent="0.3">
      <c r="A959" s="732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4"/>
        <v>11,23</v>
      </c>
      <c r="L959" s="280"/>
      <c r="M959" s="280"/>
      <c r="N959" s="280"/>
    </row>
    <row r="960" spans="1:14" ht="19.5" hidden="1" thickBot="1" x14ac:dyDescent="0.3">
      <c r="A960" s="732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4"/>
        <v>11,23</v>
      </c>
      <c r="L960" s="304"/>
      <c r="M960" s="304"/>
      <c r="N960" s="304"/>
    </row>
    <row r="961" spans="1:14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4"/>
        <v>12,23</v>
      </c>
      <c r="L961" s="110"/>
      <c r="M961" s="110"/>
      <c r="N961" s="110"/>
    </row>
    <row r="962" spans="1:14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4"/>
        <v>12,23</v>
      </c>
      <c r="L962" s="111"/>
      <c r="M962" s="111"/>
      <c r="N962" s="111"/>
    </row>
    <row r="963" spans="1:14" ht="19.5" hidden="1" thickBot="1" x14ac:dyDescent="0.3">
      <c r="A963" s="731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5">RIGHT(H963,5)</f>
        <v>12,23</v>
      </c>
      <c r="L963" s="278"/>
      <c r="M963" s="278"/>
      <c r="N963" s="278"/>
    </row>
    <row r="964" spans="1:14" ht="19.5" hidden="1" thickBot="1" x14ac:dyDescent="0.3">
      <c r="A964" s="731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5"/>
        <v>12,23</v>
      </c>
      <c r="L964" s="314"/>
      <c r="M964" s="314"/>
      <c r="N964" s="314"/>
    </row>
    <row r="965" spans="1:14" ht="19.5" hidden="1" thickBot="1" x14ac:dyDescent="0.3">
      <c r="A965" s="731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5"/>
        <v>12,23</v>
      </c>
      <c r="L965" s="314"/>
      <c r="M965" s="314"/>
      <c r="N965" s="314"/>
    </row>
    <row r="966" spans="1:14" ht="19.5" hidden="1" thickBot="1" x14ac:dyDescent="0.3">
      <c r="A966" s="731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5"/>
        <v>12,23</v>
      </c>
      <c r="L966" s="314"/>
      <c r="M966" s="314"/>
      <c r="N966" s="314"/>
    </row>
    <row r="967" spans="1:14" ht="19.5" hidden="1" thickBot="1" x14ac:dyDescent="0.3">
      <c r="A967" s="731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5"/>
        <v>12,23</v>
      </c>
      <c r="L967" s="309"/>
      <c r="M967" s="309"/>
      <c r="N967" s="309"/>
    </row>
    <row r="968" spans="1:14" ht="19.5" hidden="1" thickBot="1" x14ac:dyDescent="0.3">
      <c r="A968" s="732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5"/>
        <v>12,23</v>
      </c>
      <c r="L968" s="48" t="s">
        <v>265</v>
      </c>
      <c r="M968" s="48">
        <v>12519</v>
      </c>
      <c r="N968" s="315">
        <v>0.33333333333333298</v>
      </c>
    </row>
    <row r="969" spans="1:14" ht="19.5" hidden="1" thickBot="1" x14ac:dyDescent="0.3">
      <c r="A969" s="732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5"/>
        <v>12,23</v>
      </c>
      <c r="L969" s="31" t="s">
        <v>265</v>
      </c>
      <c r="M969" s="31">
        <v>4763</v>
      </c>
      <c r="N969" s="316">
        <v>0.33333333333333298</v>
      </c>
    </row>
    <row r="970" spans="1:14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5"/>
        <v>12,23</v>
      </c>
      <c r="L970" s="40" t="s">
        <v>28</v>
      </c>
      <c r="M970" s="40">
        <v>17632</v>
      </c>
      <c r="N970" s="317">
        <v>0.375</v>
      </c>
    </row>
    <row r="971" spans="1:14" ht="19.5" hidden="1" thickBot="1" x14ac:dyDescent="0.3">
      <c r="A971" s="732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5"/>
        <v>12,23</v>
      </c>
      <c r="L971" s="48" t="s">
        <v>28</v>
      </c>
      <c r="M971" s="48">
        <v>7300</v>
      </c>
      <c r="N971" s="315">
        <v>0.41666666666666702</v>
      </c>
    </row>
    <row r="972" spans="1:14" ht="19.5" hidden="1" thickBot="1" x14ac:dyDescent="0.3">
      <c r="A972" s="732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5"/>
        <v>12,23</v>
      </c>
      <c r="L972" s="56" t="s">
        <v>28</v>
      </c>
      <c r="M972" s="56">
        <v>8643</v>
      </c>
      <c r="N972" s="318">
        <v>0.41666666666666702</v>
      </c>
    </row>
    <row r="973" spans="1:14" ht="38.25" hidden="1" thickBot="1" x14ac:dyDescent="0.3">
      <c r="A973" s="732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5"/>
        <v>12,23</v>
      </c>
      <c r="L973" s="31" t="s">
        <v>28</v>
      </c>
      <c r="M973" s="31">
        <v>413</v>
      </c>
      <c r="N973" s="316">
        <v>0.41666666666666702</v>
      </c>
    </row>
    <row r="974" spans="1:14" ht="19.5" hidden="1" thickBot="1" x14ac:dyDescent="0.3">
      <c r="A974" s="731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5"/>
        <v>12,23</v>
      </c>
      <c r="L974" s="82" t="s">
        <v>28</v>
      </c>
      <c r="M974" s="82">
        <v>6345</v>
      </c>
      <c r="N974" s="319">
        <v>0.45833333333333298</v>
      </c>
    </row>
    <row r="975" spans="1:14" ht="19.5" hidden="1" thickBot="1" x14ac:dyDescent="0.3">
      <c r="A975" s="731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5"/>
        <v>12,23</v>
      </c>
      <c r="L975" s="109" t="s">
        <v>28</v>
      </c>
      <c r="M975" s="109">
        <v>8805</v>
      </c>
      <c r="N975" s="320">
        <v>0.45833333333333298</v>
      </c>
    </row>
    <row r="976" spans="1:14" ht="19.5" hidden="1" thickBot="1" x14ac:dyDescent="0.3">
      <c r="A976" s="731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5"/>
        <v>12,23</v>
      </c>
      <c r="L976" s="107" t="s">
        <v>28</v>
      </c>
      <c r="M976" s="107">
        <v>2511</v>
      </c>
      <c r="N976" s="321">
        <v>0.45833333333333298</v>
      </c>
    </row>
    <row r="977" spans="1:14" ht="19.5" hidden="1" thickBot="1" x14ac:dyDescent="0.3">
      <c r="A977" s="732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5"/>
        <v>12,23</v>
      </c>
      <c r="L977" s="48" t="s">
        <v>266</v>
      </c>
      <c r="M977" s="48">
        <v>13005</v>
      </c>
      <c r="N977" s="315">
        <v>0.5</v>
      </c>
    </row>
    <row r="978" spans="1:14" ht="19.5" hidden="1" thickBot="1" x14ac:dyDescent="0.3">
      <c r="A978" s="732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5"/>
        <v>12,23</v>
      </c>
      <c r="L978" s="56" t="s">
        <v>265</v>
      </c>
      <c r="M978" s="56">
        <v>100</v>
      </c>
      <c r="N978" s="318">
        <v>0.5</v>
      </c>
    </row>
    <row r="979" spans="1:14" ht="19.5" hidden="1" thickBot="1" x14ac:dyDescent="0.3">
      <c r="A979" s="732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5"/>
        <v>12,23</v>
      </c>
      <c r="L979" s="31" t="s">
        <v>28</v>
      </c>
      <c r="M979" s="31">
        <v>4020</v>
      </c>
      <c r="N979" s="316">
        <v>0.5</v>
      </c>
    </row>
    <row r="980" spans="1:14" ht="19.5" hidden="1" thickBot="1" x14ac:dyDescent="0.3">
      <c r="A980" s="731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5"/>
        <v>12,23</v>
      </c>
      <c r="L980" s="82" t="s">
        <v>266</v>
      </c>
      <c r="M980" s="82">
        <v>5737</v>
      </c>
      <c r="N980" s="319">
        <v>0.54166666666666696</v>
      </c>
    </row>
    <row r="981" spans="1:14" ht="19.5" hidden="1" thickBot="1" x14ac:dyDescent="0.3">
      <c r="A981" s="731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5"/>
        <v>12,23</v>
      </c>
      <c r="L981" s="109" t="s">
        <v>265</v>
      </c>
      <c r="M981" s="109">
        <v>202</v>
      </c>
      <c r="N981" s="320">
        <v>0.54166666666666696</v>
      </c>
    </row>
    <row r="982" spans="1:14" ht="19.5" hidden="1" thickBot="1" x14ac:dyDescent="0.3">
      <c r="A982" s="731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5"/>
        <v>12,23</v>
      </c>
      <c r="L982" s="107" t="s">
        <v>28</v>
      </c>
      <c r="M982" s="107">
        <v>11667</v>
      </c>
      <c r="N982" s="321">
        <v>0.54166666666666696</v>
      </c>
    </row>
    <row r="983" spans="1:14" ht="19.5" hidden="1" customHeight="1" thickBot="1" x14ac:dyDescent="0.3">
      <c r="A983" s="732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737" t="s">
        <v>72</v>
      </c>
      <c r="H983" s="48" t="s">
        <v>267</v>
      </c>
      <c r="I983" s="163" t="s">
        <v>267</v>
      </c>
      <c r="J983" s="52"/>
      <c r="K983" s="48" t="str">
        <f t="shared" si="15"/>
        <v>12,23</v>
      </c>
      <c r="L983" s="48" t="s">
        <v>265</v>
      </c>
      <c r="M983" s="48">
        <v>4563</v>
      </c>
      <c r="N983" s="315">
        <v>0.33333333333333298</v>
      </c>
    </row>
    <row r="984" spans="1:14" ht="19.5" hidden="1" thickBot="1" x14ac:dyDescent="0.3">
      <c r="A984" s="732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737"/>
      <c r="H984" s="71" t="s">
        <v>267</v>
      </c>
      <c r="I984" s="189" t="s">
        <v>267</v>
      </c>
      <c r="J984" s="35"/>
      <c r="K984" s="71" t="str">
        <f t="shared" si="15"/>
        <v>12,23</v>
      </c>
      <c r="L984" s="31" t="s">
        <v>265</v>
      </c>
      <c r="M984" s="31">
        <v>10997</v>
      </c>
      <c r="N984" s="316">
        <v>0.41666666666666702</v>
      </c>
    </row>
    <row r="985" spans="1:14" ht="38.25" hidden="1" thickBot="1" x14ac:dyDescent="0.3">
      <c r="A985" s="731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5"/>
        <v>12,23</v>
      </c>
      <c r="L985" s="82" t="s">
        <v>266</v>
      </c>
      <c r="M985" s="82">
        <v>10988</v>
      </c>
      <c r="N985" s="319">
        <v>0.5</v>
      </c>
    </row>
    <row r="986" spans="1:14" ht="38.25" hidden="1" thickBot="1" x14ac:dyDescent="0.3">
      <c r="A986" s="731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5"/>
        <v>12,23</v>
      </c>
      <c r="L986" s="109" t="s">
        <v>265</v>
      </c>
      <c r="M986" s="109">
        <v>3801</v>
      </c>
      <c r="N986" s="320">
        <v>0.5</v>
      </c>
    </row>
    <row r="987" spans="1:14" ht="38.25" hidden="1" thickBot="1" x14ac:dyDescent="0.3">
      <c r="A987" s="731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5"/>
        <v>12,23</v>
      </c>
      <c r="L987" s="107" t="s">
        <v>28</v>
      </c>
      <c r="M987" s="107">
        <v>3004</v>
      </c>
      <c r="N987" s="321">
        <v>0.5</v>
      </c>
    </row>
    <row r="988" spans="1:14" ht="19.5" hidden="1" thickBot="1" x14ac:dyDescent="0.3">
      <c r="A988" s="732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5"/>
        <v>12,23</v>
      </c>
      <c r="L988" s="48" t="s">
        <v>265</v>
      </c>
      <c r="M988" s="48">
        <v>5048</v>
      </c>
      <c r="N988" s="315">
        <v>0.33333333333333298</v>
      </c>
    </row>
    <row r="989" spans="1:14" ht="19.5" hidden="1" thickBot="1" x14ac:dyDescent="0.3">
      <c r="A989" s="732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5"/>
        <v>12,23</v>
      </c>
      <c r="L989" s="31" t="s">
        <v>265</v>
      </c>
      <c r="M989" s="31">
        <v>12428</v>
      </c>
      <c r="N989" s="316">
        <v>0.33333333333333298</v>
      </c>
    </row>
    <row r="990" spans="1:14" ht="38.25" hidden="1" thickBot="1" x14ac:dyDescent="0.3">
      <c r="A990" s="731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5"/>
        <v>12,23</v>
      </c>
      <c r="L990" s="82" t="s">
        <v>266</v>
      </c>
      <c r="M990" s="82">
        <v>8909</v>
      </c>
      <c r="N990" s="319">
        <v>0.41666666666666702</v>
      </c>
    </row>
    <row r="991" spans="1:14" ht="38.25" hidden="1" thickBot="1" x14ac:dyDescent="0.3">
      <c r="A991" s="731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5"/>
        <v>12,23</v>
      </c>
      <c r="L991" s="109" t="s">
        <v>265</v>
      </c>
      <c r="M991" s="109">
        <v>2307</v>
      </c>
      <c r="N991" s="320">
        <v>0.41666666666666702</v>
      </c>
    </row>
    <row r="992" spans="1:14" ht="38.25" hidden="1" thickBot="1" x14ac:dyDescent="0.3">
      <c r="A992" s="731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5"/>
        <v>12,23</v>
      </c>
      <c r="L992" s="107" t="s">
        <v>28</v>
      </c>
      <c r="M992" s="107">
        <v>6506</v>
      </c>
      <c r="N992" s="321">
        <v>0.41666666666666702</v>
      </c>
    </row>
    <row r="993" spans="1:14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5"/>
        <v>12,23</v>
      </c>
      <c r="L993" s="75" t="s">
        <v>265</v>
      </c>
      <c r="M993" s="75">
        <v>17445</v>
      </c>
      <c r="N993" s="322">
        <v>0.33333333333333298</v>
      </c>
    </row>
    <row r="994" spans="1:14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5"/>
        <v>12,23</v>
      </c>
      <c r="L994" s="40" t="s">
        <v>28</v>
      </c>
      <c r="M994" s="40">
        <v>13605</v>
      </c>
      <c r="N994" s="317">
        <v>0.33333333333333298</v>
      </c>
    </row>
    <row r="995" spans="1:14" ht="19.5" hidden="1" thickBot="1" x14ac:dyDescent="0.3">
      <c r="A995" s="732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5"/>
        <v>12,23</v>
      </c>
      <c r="L995" s="48" t="s">
        <v>28</v>
      </c>
      <c r="M995" s="48">
        <v>5605</v>
      </c>
      <c r="N995" s="315">
        <v>0.41666666666666702</v>
      </c>
    </row>
    <row r="996" spans="1:14" ht="38.25" hidden="1" thickBot="1" x14ac:dyDescent="0.3">
      <c r="A996" s="732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5"/>
        <v>12,23</v>
      </c>
      <c r="L996" s="56" t="s">
        <v>28</v>
      </c>
      <c r="M996" s="56">
        <v>660</v>
      </c>
      <c r="N996" s="318">
        <v>0.41666666666666702</v>
      </c>
    </row>
    <row r="997" spans="1:14" ht="19.5" hidden="1" thickBot="1" x14ac:dyDescent="0.3">
      <c r="A997" s="732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5"/>
        <v>12,23</v>
      </c>
      <c r="L997" s="56" t="s">
        <v>28</v>
      </c>
      <c r="M997" s="56">
        <v>1691</v>
      </c>
      <c r="N997" s="318">
        <v>0.41666666666666702</v>
      </c>
    </row>
    <row r="998" spans="1:14" ht="19.5" hidden="1" thickBot="1" x14ac:dyDescent="0.3">
      <c r="A998" s="732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5"/>
        <v>12,23</v>
      </c>
      <c r="L998" s="56" t="s">
        <v>28</v>
      </c>
      <c r="M998" s="56">
        <v>2721</v>
      </c>
      <c r="N998" s="318">
        <v>0.41666666666666702</v>
      </c>
    </row>
    <row r="999" spans="1:14" ht="38.25" hidden="1" thickBot="1" x14ac:dyDescent="0.3">
      <c r="A999" s="732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5"/>
        <v>12,23</v>
      </c>
      <c r="L999" s="56" t="s">
        <v>28</v>
      </c>
      <c r="M999" s="71">
        <v>2053</v>
      </c>
      <c r="N999" s="323">
        <v>0.5</v>
      </c>
    </row>
    <row r="1000" spans="1:14" ht="19.5" hidden="1" thickBot="1" x14ac:dyDescent="0.3">
      <c r="A1000" s="731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5"/>
        <v>12,23</v>
      </c>
      <c r="L1000" s="82" t="s">
        <v>266</v>
      </c>
      <c r="M1000" s="82">
        <v>16894</v>
      </c>
      <c r="N1000" s="319">
        <v>0.5</v>
      </c>
    </row>
    <row r="1001" spans="1:14" ht="19.5" hidden="1" thickBot="1" x14ac:dyDescent="0.3">
      <c r="A1001" s="731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5"/>
        <v>12,23</v>
      </c>
      <c r="L1001" s="107" t="s">
        <v>28</v>
      </c>
      <c r="M1001" s="107">
        <v>264</v>
      </c>
      <c r="N1001" s="321">
        <v>0.5</v>
      </c>
    </row>
    <row r="1002" spans="1:14" ht="19.5" hidden="1" thickBot="1" x14ac:dyDescent="0.3">
      <c r="A1002" s="735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5"/>
        <v>12,23</v>
      </c>
      <c r="L1002" s="48" t="s">
        <v>266</v>
      </c>
      <c r="M1002" s="48">
        <v>16675</v>
      </c>
      <c r="N1002" s="315">
        <v>0.375</v>
      </c>
    </row>
    <row r="1003" spans="1:14" ht="19.5" hidden="1" thickBot="1" x14ac:dyDescent="0.3">
      <c r="A1003" s="735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5"/>
        <v>12,23</v>
      </c>
      <c r="L1003" s="195" t="s">
        <v>28</v>
      </c>
      <c r="M1003" s="195">
        <v>1354</v>
      </c>
      <c r="N1003" s="324">
        <v>0.375</v>
      </c>
    </row>
    <row r="1004" spans="1:14" ht="19.5" hidden="1" thickBot="1" x14ac:dyDescent="0.3">
      <c r="A1004" s="731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5"/>
        <v>12,23</v>
      </c>
      <c r="L1004" s="82" t="s">
        <v>266</v>
      </c>
      <c r="M1004" s="82">
        <v>16750</v>
      </c>
      <c r="N1004" s="319">
        <v>0.41666666666666702</v>
      </c>
    </row>
    <row r="1005" spans="1:14" ht="19.5" hidden="1" thickBot="1" x14ac:dyDescent="0.3">
      <c r="A1005" s="731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5"/>
        <v>12,23</v>
      </c>
      <c r="L1005" s="107" t="s">
        <v>28</v>
      </c>
      <c r="M1005" s="107">
        <v>1454</v>
      </c>
      <c r="N1005" s="325">
        <v>0.41666666666666702</v>
      </c>
    </row>
    <row r="1006" spans="1:14" ht="19.5" hidden="1" thickBot="1" x14ac:dyDescent="0.3">
      <c r="A1006" s="732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5"/>
        <v>12,23</v>
      </c>
      <c r="L1006" s="48" t="s">
        <v>266</v>
      </c>
      <c r="M1006" s="48">
        <v>13888</v>
      </c>
      <c r="N1006" s="315">
        <v>0.45833333333333298</v>
      </c>
    </row>
    <row r="1007" spans="1:14" ht="19.5" hidden="1" thickBot="1" x14ac:dyDescent="0.3">
      <c r="A1007" s="732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5"/>
        <v>12,23</v>
      </c>
      <c r="L1007" s="31" t="s">
        <v>28</v>
      </c>
      <c r="M1007" s="31">
        <v>4094</v>
      </c>
      <c r="N1007" s="323">
        <v>0.45833333333333298</v>
      </c>
    </row>
    <row r="1008" spans="1:14" ht="19.5" hidden="1" thickBot="1" x14ac:dyDescent="0.3">
      <c r="A1008" s="731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5"/>
        <v>12,23</v>
      </c>
      <c r="L1008" s="82" t="s">
        <v>266</v>
      </c>
      <c r="M1008" s="82">
        <v>1075</v>
      </c>
      <c r="N1008" s="319">
        <v>0.5</v>
      </c>
    </row>
    <row r="1009" spans="1:14" ht="19.5" hidden="1" thickBot="1" x14ac:dyDescent="0.3">
      <c r="A1009" s="731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5"/>
        <v>12,23</v>
      </c>
      <c r="L1009" s="98" t="s">
        <v>266</v>
      </c>
      <c r="M1009" s="109">
        <v>1435</v>
      </c>
      <c r="N1009" s="320">
        <v>0.5</v>
      </c>
    </row>
    <row r="1010" spans="1:14" ht="19.5" hidden="1" thickBot="1" x14ac:dyDescent="0.3">
      <c r="A1010" s="731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5"/>
        <v>12,23</v>
      </c>
      <c r="L1010" s="98" t="s">
        <v>266</v>
      </c>
      <c r="M1010" s="109">
        <v>3127</v>
      </c>
      <c r="N1010" s="320">
        <v>0.5</v>
      </c>
    </row>
    <row r="1011" spans="1:14" ht="19.5" hidden="1" thickBot="1" x14ac:dyDescent="0.3">
      <c r="A1011" s="731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5"/>
        <v>12,23</v>
      </c>
      <c r="L1011" s="98" t="s">
        <v>266</v>
      </c>
      <c r="M1011" s="109">
        <v>2527</v>
      </c>
      <c r="N1011" s="320">
        <v>0.5</v>
      </c>
    </row>
    <row r="1012" spans="1:14" ht="19.5" hidden="1" thickBot="1" x14ac:dyDescent="0.3">
      <c r="A1012" s="731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5"/>
        <v>12,23</v>
      </c>
      <c r="L1012" s="98" t="s">
        <v>266</v>
      </c>
      <c r="M1012" s="109">
        <v>7677</v>
      </c>
      <c r="N1012" s="320">
        <v>0.5</v>
      </c>
    </row>
    <row r="1013" spans="1:14" ht="19.5" hidden="1" thickBot="1" x14ac:dyDescent="0.3">
      <c r="A1013" s="731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5"/>
        <v>12,23</v>
      </c>
      <c r="L1013" s="98" t="s">
        <v>266</v>
      </c>
      <c r="M1013" s="129">
        <v>2027</v>
      </c>
      <c r="N1013" s="327">
        <v>0.5</v>
      </c>
    </row>
    <row r="1014" spans="1:14" ht="38.25" hidden="1" thickBot="1" x14ac:dyDescent="0.3">
      <c r="A1014" s="731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5"/>
        <v>12,23</v>
      </c>
      <c r="L1014" s="90" t="s">
        <v>266</v>
      </c>
      <c r="M1014" s="107">
        <v>72</v>
      </c>
      <c r="N1014" s="321">
        <v>0.5</v>
      </c>
    </row>
    <row r="1015" spans="1:14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5"/>
        <v>12,23</v>
      </c>
      <c r="L1015" s="75" t="s">
        <v>265</v>
      </c>
      <c r="M1015" s="75">
        <v>13016</v>
      </c>
      <c r="N1015" s="322">
        <v>0.33333333333333298</v>
      </c>
    </row>
    <row r="1016" spans="1:14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5"/>
        <v>12,23</v>
      </c>
      <c r="L1016" s="40" t="s">
        <v>265</v>
      </c>
      <c r="M1016" s="40">
        <v>17585</v>
      </c>
      <c r="N1016" s="317">
        <v>0.33333333333333298</v>
      </c>
    </row>
    <row r="1017" spans="1:14" ht="19.5" hidden="1" thickBot="1" x14ac:dyDescent="0.3">
      <c r="A1017" s="732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5"/>
        <v>12,23</v>
      </c>
      <c r="L1017" s="48" t="s">
        <v>265</v>
      </c>
      <c r="M1017" s="48">
        <v>3466</v>
      </c>
      <c r="N1017" s="315">
        <v>0.33333333333333298</v>
      </c>
    </row>
    <row r="1018" spans="1:14" ht="19.5" hidden="1" thickBot="1" x14ac:dyDescent="0.3">
      <c r="A1018" s="732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5"/>
        <v>12,23</v>
      </c>
      <c r="L1018" s="31" t="s">
        <v>265</v>
      </c>
      <c r="M1018" s="31">
        <v>14274</v>
      </c>
      <c r="N1018" s="316">
        <v>0.33333333333333298</v>
      </c>
    </row>
    <row r="1019" spans="1:14" ht="19.5" hidden="1" thickBot="1" x14ac:dyDescent="0.3">
      <c r="A1019" s="731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5"/>
        <v>12,23</v>
      </c>
      <c r="L1019" s="82" t="s">
        <v>266</v>
      </c>
      <c r="M1019" s="82">
        <v>17574</v>
      </c>
      <c r="N1019" s="319">
        <v>0.375</v>
      </c>
    </row>
    <row r="1020" spans="1:14" ht="19.5" hidden="1" thickBot="1" x14ac:dyDescent="0.3">
      <c r="A1020" s="731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5"/>
        <v>12,23</v>
      </c>
      <c r="L1020" s="107" t="s">
        <v>28</v>
      </c>
      <c r="M1020" s="107">
        <v>279</v>
      </c>
      <c r="N1020" s="321">
        <v>0.375</v>
      </c>
    </row>
    <row r="1021" spans="1:14" ht="57" hidden="1" thickBot="1" x14ac:dyDescent="0.3">
      <c r="A1021" s="732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5"/>
        <v>12,23</v>
      </c>
      <c r="L1021" s="48" t="s">
        <v>266</v>
      </c>
      <c r="M1021" s="48">
        <v>12657</v>
      </c>
      <c r="N1021" s="315">
        <v>0.41666666666666702</v>
      </c>
    </row>
    <row r="1022" spans="1:14" ht="57" hidden="1" thickBot="1" x14ac:dyDescent="0.3">
      <c r="A1022" s="732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5"/>
        <v>12,23</v>
      </c>
      <c r="L1022" s="31" t="s">
        <v>28</v>
      </c>
      <c r="M1022" s="31">
        <v>5111</v>
      </c>
      <c r="N1022" s="316">
        <v>0.41666666666666702</v>
      </c>
    </row>
    <row r="1023" spans="1:14" ht="19.5" hidden="1" thickBot="1" x14ac:dyDescent="0.3">
      <c r="A1023" s="731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5"/>
        <v>12,23</v>
      </c>
      <c r="L1023" s="82" t="s">
        <v>28</v>
      </c>
      <c r="M1023" s="82">
        <v>3825</v>
      </c>
      <c r="N1023" s="319">
        <v>0.45833333333333298</v>
      </c>
    </row>
    <row r="1024" spans="1:14" ht="19.5" hidden="1" thickBot="1" x14ac:dyDescent="0.3">
      <c r="A1024" s="731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5"/>
        <v>12,23</v>
      </c>
      <c r="L1024" s="109" t="s">
        <v>28</v>
      </c>
      <c r="M1024" s="109">
        <v>12869</v>
      </c>
      <c r="N1024" s="320">
        <v>0.45833333333333298</v>
      </c>
    </row>
    <row r="1025" spans="1:14" ht="19.5" hidden="1" thickBot="1" x14ac:dyDescent="0.3">
      <c r="A1025" s="731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5"/>
        <v>12,23</v>
      </c>
      <c r="L1025" s="107" t="s">
        <v>28</v>
      </c>
      <c r="M1025" s="107">
        <v>520</v>
      </c>
      <c r="N1025" s="321">
        <v>0.45833333333333298</v>
      </c>
    </row>
    <row r="1026" spans="1:14" ht="19.5" hidden="1" thickBot="1" x14ac:dyDescent="0.3">
      <c r="A1026" s="732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5"/>
        <v>12,23</v>
      </c>
      <c r="L1026" s="48" t="s">
        <v>28</v>
      </c>
      <c r="M1026" s="48">
        <v>5896</v>
      </c>
      <c r="N1026" s="315">
        <v>0.5</v>
      </c>
    </row>
    <row r="1027" spans="1:14" ht="19.5" hidden="1" thickBot="1" x14ac:dyDescent="0.3">
      <c r="A1027" s="732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6">RIGHT(H1027,5)</f>
        <v>12,23</v>
      </c>
      <c r="L1027" s="31" t="s">
        <v>28</v>
      </c>
      <c r="M1027" s="31">
        <v>11509</v>
      </c>
      <c r="N1027" s="316">
        <v>0.5</v>
      </c>
    </row>
    <row r="1028" spans="1:14" ht="19.5" hidden="1" thickBot="1" x14ac:dyDescent="0.3">
      <c r="A1028" s="731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6"/>
        <v>12,23</v>
      </c>
      <c r="L1028" s="82" t="s">
        <v>28</v>
      </c>
      <c r="M1028" s="82">
        <v>12303</v>
      </c>
      <c r="N1028" s="319">
        <v>0.54166666666666696</v>
      </c>
    </row>
    <row r="1029" spans="1:14" ht="19.5" hidden="1" thickBot="1" x14ac:dyDescent="0.3">
      <c r="A1029" s="731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6"/>
        <v>12,23</v>
      </c>
      <c r="L1029" s="107" t="s">
        <v>28</v>
      </c>
      <c r="M1029" s="107">
        <v>5355</v>
      </c>
      <c r="N1029" s="321">
        <v>0.54166666666666696</v>
      </c>
    </row>
    <row r="1030" spans="1:14" ht="19.5" hidden="1" customHeight="1" thickBot="1" x14ac:dyDescent="0.3">
      <c r="A1030" s="732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737" t="s">
        <v>72</v>
      </c>
      <c r="H1030" s="48" t="s">
        <v>276</v>
      </c>
      <c r="I1030" s="163" t="s">
        <v>276</v>
      </c>
      <c r="J1030" s="52"/>
      <c r="K1030" s="48" t="str">
        <f t="shared" si="16"/>
        <v>12,23</v>
      </c>
      <c r="L1030" s="48" t="s">
        <v>265</v>
      </c>
      <c r="M1030" s="48">
        <v>3492</v>
      </c>
      <c r="N1030" s="315">
        <v>0.33333333333333298</v>
      </c>
    </row>
    <row r="1031" spans="1:14" ht="19.5" hidden="1" thickBot="1" x14ac:dyDescent="0.3">
      <c r="A1031" s="732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737"/>
      <c r="H1031" s="31" t="s">
        <v>276</v>
      </c>
      <c r="I1031" s="189" t="s">
        <v>277</v>
      </c>
      <c r="J1031" s="35"/>
      <c r="K1031" s="31" t="str">
        <f t="shared" si="16"/>
        <v>12,23</v>
      </c>
      <c r="L1031" s="31" t="s">
        <v>265</v>
      </c>
      <c r="M1031" s="31">
        <v>11793</v>
      </c>
      <c r="N1031" s="316">
        <v>0.66666666666666696</v>
      </c>
    </row>
    <row r="1032" spans="1:14" ht="19.5" hidden="1" thickBot="1" x14ac:dyDescent="0.3">
      <c r="A1032" s="731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6"/>
        <v>12,23</v>
      </c>
      <c r="L1032" s="82" t="s">
        <v>266</v>
      </c>
      <c r="M1032" s="82">
        <v>7872</v>
      </c>
      <c r="N1032" s="319">
        <v>0.45833333333333298</v>
      </c>
    </row>
    <row r="1033" spans="1:14" ht="19.5" hidden="1" thickBot="1" x14ac:dyDescent="0.3">
      <c r="A1033" s="731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6"/>
        <v>12,23</v>
      </c>
      <c r="L1033" s="109" t="s">
        <v>28</v>
      </c>
      <c r="M1033" s="109">
        <v>280</v>
      </c>
      <c r="N1033" s="320">
        <v>0.45833333333333298</v>
      </c>
    </row>
    <row r="1034" spans="1:14" ht="19.5" hidden="1" thickBot="1" x14ac:dyDescent="0.3">
      <c r="A1034" s="731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6"/>
        <v>12,23</v>
      </c>
      <c r="L1034" s="107" t="s">
        <v>28</v>
      </c>
      <c r="M1034" s="107">
        <v>9851</v>
      </c>
      <c r="N1034" s="321">
        <v>0.45833333333333298</v>
      </c>
    </row>
    <row r="1035" spans="1:14" ht="38.25" hidden="1" thickBot="1" x14ac:dyDescent="0.3">
      <c r="A1035" s="732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6"/>
        <v>12,23</v>
      </c>
      <c r="L1035" s="48" t="s">
        <v>266</v>
      </c>
      <c r="M1035" s="48">
        <v>13875</v>
      </c>
      <c r="N1035" s="315">
        <v>0.5</v>
      </c>
    </row>
    <row r="1036" spans="1:14" ht="38.25" hidden="1" thickBot="1" x14ac:dyDescent="0.3">
      <c r="A1036" s="732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6"/>
        <v>12,23</v>
      </c>
      <c r="L1036" s="31" t="s">
        <v>28</v>
      </c>
      <c r="M1036" s="31">
        <v>4010</v>
      </c>
      <c r="N1036" s="316">
        <v>0.5</v>
      </c>
    </row>
    <row r="1037" spans="1:14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6"/>
        <v>12,23</v>
      </c>
      <c r="L1037" s="40" t="s">
        <v>265</v>
      </c>
      <c r="M1037" s="40">
        <v>17751</v>
      </c>
      <c r="N1037" s="317">
        <v>0.33333333333333298</v>
      </c>
    </row>
    <row r="1038" spans="1:14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6"/>
        <v>12,23</v>
      </c>
      <c r="L1038" s="75" t="s">
        <v>265</v>
      </c>
      <c r="M1038" s="75">
        <v>16908</v>
      </c>
      <c r="N1038" s="322">
        <v>0.375</v>
      </c>
    </row>
    <row r="1039" spans="1:14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6"/>
        <v>12,23</v>
      </c>
      <c r="L1039" s="40" t="s">
        <v>28</v>
      </c>
      <c r="M1039" s="40">
        <v>17200</v>
      </c>
      <c r="N1039" s="317">
        <v>0.41666666666666702</v>
      </c>
    </row>
    <row r="1040" spans="1:14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6"/>
        <v>12,23</v>
      </c>
      <c r="L1040" s="75" t="s">
        <v>265</v>
      </c>
      <c r="M1040" s="75">
        <v>17745</v>
      </c>
      <c r="N1040" s="322">
        <v>0.33333333333333298</v>
      </c>
    </row>
    <row r="1041" spans="1:14" ht="19.5" hidden="1" thickBot="1" x14ac:dyDescent="0.3">
      <c r="A1041" s="731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6"/>
        <v>12,23</v>
      </c>
      <c r="L1041" s="82" t="s">
        <v>28</v>
      </c>
      <c r="M1041" s="82">
        <v>6009</v>
      </c>
      <c r="N1041" s="319">
        <v>0.33333333333333298</v>
      </c>
    </row>
    <row r="1042" spans="1:14" ht="19.5" hidden="1" thickBot="1" x14ac:dyDescent="0.3">
      <c r="A1042" s="731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6"/>
        <v>12,23</v>
      </c>
      <c r="L1042" s="107" t="s">
        <v>28</v>
      </c>
      <c r="M1042" s="107">
        <v>7043</v>
      </c>
      <c r="N1042" s="321">
        <v>0.33333333333333298</v>
      </c>
    </row>
    <row r="1043" spans="1:14" ht="19.5" hidden="1" thickBot="1" x14ac:dyDescent="0.3">
      <c r="A1043" s="732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6"/>
        <v>12,23</v>
      </c>
      <c r="L1043" s="48" t="s">
        <v>28</v>
      </c>
      <c r="M1043" s="48">
        <v>6286</v>
      </c>
      <c r="N1043" s="315">
        <v>0.375</v>
      </c>
    </row>
    <row r="1044" spans="1:14" ht="19.5" hidden="1" thickBot="1" x14ac:dyDescent="0.3">
      <c r="A1044" s="732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6"/>
        <v>12,23</v>
      </c>
      <c r="L1044" s="56" t="s">
        <v>28</v>
      </c>
      <c r="M1044" s="56">
        <v>2527</v>
      </c>
      <c r="N1044" s="318">
        <v>0.375</v>
      </c>
    </row>
    <row r="1045" spans="1:14" ht="19.5" hidden="1" thickBot="1" x14ac:dyDescent="0.3">
      <c r="A1045" s="732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6"/>
        <v>12,23</v>
      </c>
      <c r="L1045" s="31" t="s">
        <v>28</v>
      </c>
      <c r="M1045" s="31">
        <v>1586</v>
      </c>
      <c r="N1045" s="316">
        <v>0.375</v>
      </c>
    </row>
    <row r="1046" spans="1:14" ht="19.5" hidden="1" thickBot="1" x14ac:dyDescent="0.3">
      <c r="A1046" s="731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6"/>
        <v>12,23</v>
      </c>
      <c r="L1046" s="82" t="s">
        <v>266</v>
      </c>
      <c r="M1046" s="82">
        <v>15076</v>
      </c>
      <c r="N1046" s="319">
        <v>0.375</v>
      </c>
    </row>
    <row r="1047" spans="1:14" ht="19.5" hidden="1" thickBot="1" x14ac:dyDescent="0.3">
      <c r="A1047" s="731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6"/>
        <v>12,23</v>
      </c>
      <c r="L1047" s="107" t="s">
        <v>28</v>
      </c>
      <c r="M1047" s="107">
        <v>2707</v>
      </c>
      <c r="N1047" s="321">
        <v>0.375</v>
      </c>
    </row>
    <row r="1048" spans="1:14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6"/>
        <v>12,23</v>
      </c>
      <c r="L1048" s="75" t="s">
        <v>266</v>
      </c>
      <c r="M1048" s="75">
        <v>18510</v>
      </c>
      <c r="N1048" s="322">
        <v>0.41666666666666702</v>
      </c>
    </row>
    <row r="1049" spans="1:14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6"/>
        <v>12,23</v>
      </c>
      <c r="L1049" s="40" t="s">
        <v>266</v>
      </c>
      <c r="M1049" s="40">
        <v>18000</v>
      </c>
      <c r="N1049" s="317">
        <v>0.45833333333333298</v>
      </c>
    </row>
    <row r="1050" spans="1:14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6"/>
        <v>12,23</v>
      </c>
      <c r="L1050" s="75" t="s">
        <v>266</v>
      </c>
      <c r="M1050" s="75">
        <v>18555</v>
      </c>
      <c r="N1050" s="322">
        <v>0.5</v>
      </c>
    </row>
    <row r="1051" spans="1:14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6"/>
        <v>12,23</v>
      </c>
      <c r="L1051" s="40" t="s">
        <v>266</v>
      </c>
      <c r="M1051" s="40">
        <v>8316</v>
      </c>
      <c r="N1051" s="317">
        <v>0.54166666666666696</v>
      </c>
    </row>
    <row r="1052" spans="1:14" ht="19.5" hidden="1" thickBot="1" x14ac:dyDescent="0.3">
      <c r="A1052" s="732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6"/>
        <v>12,23</v>
      </c>
      <c r="L1052" s="48" t="s">
        <v>266</v>
      </c>
      <c r="M1052" s="48">
        <v>1510</v>
      </c>
      <c r="N1052" s="315">
        <v>0.58333333333333304</v>
      </c>
    </row>
    <row r="1053" spans="1:14" ht="19.5" hidden="1" thickBot="1" x14ac:dyDescent="0.3">
      <c r="A1053" s="732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6"/>
        <v>12,23</v>
      </c>
      <c r="L1053" s="56" t="s">
        <v>266</v>
      </c>
      <c r="M1053" s="56">
        <v>2685</v>
      </c>
      <c r="N1053" s="318">
        <v>0.58333333333333304</v>
      </c>
    </row>
    <row r="1054" spans="1:14" ht="19.5" hidden="1" thickBot="1" x14ac:dyDescent="0.3">
      <c r="A1054" s="732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6"/>
        <v>12,23</v>
      </c>
      <c r="L1054" s="56" t="s">
        <v>266</v>
      </c>
      <c r="M1054" s="56">
        <v>4037</v>
      </c>
      <c r="N1054" s="318">
        <v>0.58333333333333304</v>
      </c>
    </row>
    <row r="1055" spans="1:14" ht="19.5" hidden="1" thickBot="1" x14ac:dyDescent="0.3">
      <c r="A1055" s="732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6"/>
        <v>12,23</v>
      </c>
      <c r="L1055" s="56" t="s">
        <v>266</v>
      </c>
      <c r="M1055" s="56">
        <v>2980</v>
      </c>
      <c r="N1055" s="318">
        <v>0.58333333333333304</v>
      </c>
    </row>
    <row r="1056" spans="1:14" ht="19.5" hidden="1" thickBot="1" x14ac:dyDescent="0.3">
      <c r="A1056" s="732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6"/>
        <v>12,23</v>
      </c>
      <c r="L1056" s="56" t="s">
        <v>266</v>
      </c>
      <c r="M1056" s="56">
        <v>3552</v>
      </c>
      <c r="N1056" s="318">
        <v>0.58333333333333304</v>
      </c>
    </row>
    <row r="1057" spans="1:14" ht="113.25" hidden="1" thickBot="1" x14ac:dyDescent="0.3">
      <c r="A1057" s="732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6"/>
        <v>--,--</v>
      </c>
      <c r="L1057" s="56" t="s">
        <v>266</v>
      </c>
      <c r="M1057" s="56"/>
      <c r="N1057" s="318"/>
    </row>
    <row r="1058" spans="1:14" ht="19.5" hidden="1" thickBot="1" x14ac:dyDescent="0.3">
      <c r="A1058" s="732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6"/>
        <v>12,23</v>
      </c>
      <c r="L1058" s="56" t="s">
        <v>28</v>
      </c>
      <c r="M1058" s="56">
        <v>184</v>
      </c>
      <c r="N1058" s="318">
        <v>0.58333333333333304</v>
      </c>
    </row>
    <row r="1059" spans="1:14" ht="19.5" hidden="1" thickBot="1" x14ac:dyDescent="0.3">
      <c r="A1059" s="732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6"/>
        <v>12,23</v>
      </c>
      <c r="L1059" s="31" t="s">
        <v>266</v>
      </c>
      <c r="M1059" s="31">
        <v>2744</v>
      </c>
      <c r="N1059" s="316">
        <v>0.58333333333333304</v>
      </c>
    </row>
    <row r="1060" spans="1:14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6"/>
        <v>12,23</v>
      </c>
      <c r="L1060" s="82" t="s">
        <v>265</v>
      </c>
      <c r="M1060" s="82">
        <v>13394</v>
      </c>
      <c r="N1060" s="319">
        <v>0.33333333333333298</v>
      </c>
    </row>
    <row r="1061" spans="1:14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6"/>
        <v>12,23</v>
      </c>
      <c r="L1061" s="293" t="s">
        <v>265</v>
      </c>
      <c r="M1061" s="195">
        <v>17787</v>
      </c>
      <c r="N1061" s="324">
        <v>0.33333333333333298</v>
      </c>
    </row>
    <row r="1062" spans="1:14" ht="38.25" hidden="1" thickBot="1" x14ac:dyDescent="0.3">
      <c r="A1062" s="731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6"/>
        <v>12,23</v>
      </c>
      <c r="L1062" s="82" t="s">
        <v>266</v>
      </c>
      <c r="M1062" s="82">
        <v>11070</v>
      </c>
      <c r="N1062" s="319">
        <v>0.41666666666666702</v>
      </c>
    </row>
    <row r="1063" spans="1:14" ht="38.25" hidden="1" thickBot="1" x14ac:dyDescent="0.3">
      <c r="A1063" s="731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6"/>
        <v>12,23</v>
      </c>
      <c r="L1063" s="107" t="s">
        <v>28</v>
      </c>
      <c r="M1063" s="107">
        <v>6808</v>
      </c>
      <c r="N1063" s="321">
        <v>0.41666666666666702</v>
      </c>
    </row>
    <row r="1064" spans="1:14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6"/>
        <v>12,23</v>
      </c>
      <c r="L1064" s="75" t="s">
        <v>265</v>
      </c>
      <c r="M1064" s="75">
        <v>17836</v>
      </c>
      <c r="N1064" s="322">
        <v>0.33333333333333298</v>
      </c>
    </row>
    <row r="1065" spans="1:14" ht="19.5" hidden="1" thickBot="1" x14ac:dyDescent="0.3">
      <c r="A1065" s="731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6"/>
        <v>12,23</v>
      </c>
      <c r="L1065" s="82" t="s">
        <v>28</v>
      </c>
      <c r="M1065" s="82">
        <v>3861</v>
      </c>
      <c r="N1065" s="319">
        <v>0.375</v>
      </c>
    </row>
    <row r="1066" spans="1:14" ht="19.5" hidden="1" thickBot="1" x14ac:dyDescent="0.3">
      <c r="A1066" s="731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6"/>
        <v>12,23</v>
      </c>
      <c r="L1066" s="109" t="s">
        <v>28</v>
      </c>
      <c r="M1066" s="109">
        <v>9097</v>
      </c>
      <c r="N1066" s="320">
        <v>0.375</v>
      </c>
    </row>
    <row r="1067" spans="1:14" ht="19.5" hidden="1" thickBot="1" x14ac:dyDescent="0.3">
      <c r="A1067" s="731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6"/>
        <v>12,23</v>
      </c>
      <c r="L1067" s="107" t="s">
        <v>28</v>
      </c>
      <c r="M1067" s="107">
        <v>4831</v>
      </c>
      <c r="N1067" s="321">
        <v>0.375</v>
      </c>
    </row>
    <row r="1068" spans="1:14" ht="19.5" hidden="1" thickBot="1" x14ac:dyDescent="0.3">
      <c r="A1068" s="732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6"/>
        <v>12,23</v>
      </c>
      <c r="L1068" s="48" t="s">
        <v>28</v>
      </c>
      <c r="M1068" s="48">
        <v>9634</v>
      </c>
      <c r="N1068" s="315">
        <v>0.41666666666666702</v>
      </c>
    </row>
    <row r="1069" spans="1:14" ht="19.5" hidden="1" thickBot="1" x14ac:dyDescent="0.3">
      <c r="A1069" s="732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6"/>
        <v>12,23</v>
      </c>
      <c r="L1069" s="31" t="s">
        <v>28</v>
      </c>
      <c r="M1069" s="31">
        <v>8437</v>
      </c>
      <c r="N1069" s="316">
        <v>0.41666666666666702</v>
      </c>
    </row>
    <row r="1070" spans="1:14" ht="19.5" hidden="1" thickBot="1" x14ac:dyDescent="0.3">
      <c r="A1070" s="731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6"/>
        <v>12,23</v>
      </c>
      <c r="L1070" s="82" t="s">
        <v>28</v>
      </c>
      <c r="M1070" s="82">
        <v>9917</v>
      </c>
      <c r="N1070" s="319">
        <v>0.45833333333333298</v>
      </c>
    </row>
    <row r="1071" spans="1:14" ht="19.5" hidden="1" thickBot="1" x14ac:dyDescent="0.3">
      <c r="A1071" s="731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6"/>
        <v>12,23</v>
      </c>
      <c r="L1071" s="107" t="s">
        <v>28</v>
      </c>
      <c r="M1071" s="107">
        <v>8233</v>
      </c>
      <c r="N1071" s="321">
        <v>0.45833333333333298</v>
      </c>
    </row>
    <row r="1072" spans="1:14" ht="19.5" hidden="1" thickBot="1" x14ac:dyDescent="0.3">
      <c r="A1072" s="732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6"/>
        <v>12,23</v>
      </c>
      <c r="L1072" s="48" t="s">
        <v>266</v>
      </c>
      <c r="M1072" s="48">
        <v>13014</v>
      </c>
      <c r="N1072" s="315">
        <v>0.5</v>
      </c>
    </row>
    <row r="1073" spans="1:14" ht="19.5" hidden="1" thickBot="1" x14ac:dyDescent="0.3">
      <c r="A1073" s="732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6"/>
        <v>12,23</v>
      </c>
      <c r="L1073" s="56" t="s">
        <v>28</v>
      </c>
      <c r="M1073" s="56">
        <v>403</v>
      </c>
      <c r="N1073" s="318">
        <v>0.5</v>
      </c>
    </row>
    <row r="1074" spans="1:14" ht="19.5" hidden="1" thickBot="1" x14ac:dyDescent="0.3">
      <c r="A1074" s="732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6"/>
        <v>12,23</v>
      </c>
      <c r="L1074" s="31" t="s">
        <v>28</v>
      </c>
      <c r="M1074" s="31">
        <v>4740</v>
      </c>
      <c r="N1074" s="316">
        <v>0.5</v>
      </c>
    </row>
    <row r="1075" spans="1:14" ht="19.5" hidden="1" thickBot="1" x14ac:dyDescent="0.3">
      <c r="A1075" s="731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6"/>
        <v>12,23</v>
      </c>
      <c r="L1075" s="82" t="s">
        <v>266</v>
      </c>
      <c r="M1075" s="82">
        <v>16158</v>
      </c>
      <c r="N1075" s="319">
        <v>0.54166666666666696</v>
      </c>
    </row>
    <row r="1076" spans="1:14" ht="19.5" hidden="1" thickBot="1" x14ac:dyDescent="0.3">
      <c r="A1076" s="731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6"/>
        <v>12,23</v>
      </c>
      <c r="L1076" s="109" t="s">
        <v>28</v>
      </c>
      <c r="M1076" s="109">
        <v>654</v>
      </c>
      <c r="N1076" s="320">
        <v>0.54166666666666696</v>
      </c>
    </row>
    <row r="1077" spans="1:14" ht="19.5" hidden="1" thickBot="1" x14ac:dyDescent="0.3">
      <c r="A1077" s="731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6"/>
        <v>12,23</v>
      </c>
      <c r="L1077" s="107" t="s">
        <v>28</v>
      </c>
      <c r="M1077" s="107">
        <v>1500</v>
      </c>
      <c r="N1077" s="321">
        <v>0.54166666666666696</v>
      </c>
    </row>
    <row r="1078" spans="1:14" ht="38.25" hidden="1" thickBot="1" x14ac:dyDescent="0.3">
      <c r="A1078" s="732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6"/>
        <v>12,23</v>
      </c>
      <c r="L1078" s="48" t="s">
        <v>266</v>
      </c>
      <c r="M1078" s="48">
        <v>11701</v>
      </c>
      <c r="N1078" s="315">
        <v>0.58333333333333304</v>
      </c>
    </row>
    <row r="1079" spans="1:14" ht="38.25" hidden="1" thickBot="1" x14ac:dyDescent="0.3">
      <c r="A1079" s="732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6"/>
        <v>12,23</v>
      </c>
      <c r="L1079" s="31" t="s">
        <v>28</v>
      </c>
      <c r="M1079" s="31">
        <v>6012</v>
      </c>
      <c r="N1079" s="316">
        <v>0.58333333333333304</v>
      </c>
    </row>
    <row r="1080" spans="1:14" ht="19.5" hidden="1" customHeight="1" thickBot="1" x14ac:dyDescent="0.3">
      <c r="A1080" s="731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734" t="s">
        <v>72</v>
      </c>
      <c r="H1080" s="82" t="s">
        <v>289</v>
      </c>
      <c r="I1080" s="147" t="s">
        <v>289</v>
      </c>
      <c r="J1080" s="86"/>
      <c r="K1080" s="82" t="str">
        <f t="shared" si="16"/>
        <v>12,23</v>
      </c>
      <c r="L1080" s="82" t="s">
        <v>265</v>
      </c>
      <c r="M1080" s="82">
        <v>7527</v>
      </c>
      <c r="N1080" s="319">
        <v>0.33333333333333298</v>
      </c>
    </row>
    <row r="1081" spans="1:14" ht="19.5" hidden="1" thickBot="1" x14ac:dyDescent="0.3">
      <c r="A1081" s="731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734"/>
      <c r="H1081" s="107" t="s">
        <v>289</v>
      </c>
      <c r="I1081" s="148" t="s">
        <v>289</v>
      </c>
      <c r="J1081" s="94"/>
      <c r="K1081" s="107" t="str">
        <f t="shared" si="16"/>
        <v>12,23</v>
      </c>
      <c r="L1081" s="107" t="s">
        <v>265</v>
      </c>
      <c r="M1081" s="107">
        <v>8729</v>
      </c>
      <c r="N1081" s="321">
        <v>0.41666666666666702</v>
      </c>
    </row>
    <row r="1082" spans="1:14" ht="19.5" hidden="1" thickBot="1" x14ac:dyDescent="0.3">
      <c r="A1082" s="732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6"/>
        <v>12,23</v>
      </c>
      <c r="L1082" s="48" t="s">
        <v>265</v>
      </c>
      <c r="M1082" s="48">
        <v>13827</v>
      </c>
      <c r="N1082" s="315">
        <v>0.33333333333333298</v>
      </c>
    </row>
    <row r="1083" spans="1:14" ht="19.5" hidden="1" thickBot="1" x14ac:dyDescent="0.3">
      <c r="A1083" s="732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6"/>
        <v>12,23</v>
      </c>
      <c r="L1083" s="31" t="s">
        <v>265</v>
      </c>
      <c r="M1083" s="31">
        <v>3510</v>
      </c>
      <c r="N1083" s="316">
        <v>0.33333333333333298</v>
      </c>
    </row>
    <row r="1084" spans="1:14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6"/>
        <v>12,23</v>
      </c>
      <c r="L1084" s="40" t="s">
        <v>265</v>
      </c>
      <c r="M1084" s="40">
        <v>17.7</v>
      </c>
      <c r="N1084" s="317">
        <v>0.41666666666666702</v>
      </c>
    </row>
    <row r="1085" spans="1:14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6"/>
        <v>12,23</v>
      </c>
      <c r="L1085" s="75" t="s">
        <v>265</v>
      </c>
      <c r="M1085" s="75">
        <v>17753</v>
      </c>
      <c r="N1085" s="322">
        <v>0.33333333333333298</v>
      </c>
    </row>
    <row r="1086" spans="1:14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6"/>
        <v>12,23</v>
      </c>
      <c r="L1086" s="40" t="s">
        <v>28</v>
      </c>
      <c r="M1086" s="40">
        <v>13156</v>
      </c>
      <c r="N1086" s="317">
        <v>0.33333333333333298</v>
      </c>
    </row>
    <row r="1087" spans="1:14" ht="19.5" hidden="1" thickBot="1" x14ac:dyDescent="0.3">
      <c r="A1087" s="732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6"/>
        <v>12,23</v>
      </c>
      <c r="L1087" s="48" t="s">
        <v>28</v>
      </c>
      <c r="M1087" s="48">
        <v>1000</v>
      </c>
      <c r="N1087" s="315">
        <v>0.41666666666666702</v>
      </c>
    </row>
    <row r="1088" spans="1:14" ht="19.5" hidden="1" thickBot="1" x14ac:dyDescent="0.3">
      <c r="A1088" s="732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6"/>
        <v>12,23</v>
      </c>
      <c r="L1088" s="56" t="s">
        <v>28</v>
      </c>
      <c r="M1088" s="56">
        <v>6535</v>
      </c>
      <c r="N1088" s="318">
        <v>0.41666666666666702</v>
      </c>
    </row>
    <row r="1089" spans="1:14" ht="19.5" hidden="1" thickBot="1" x14ac:dyDescent="0.3">
      <c r="A1089" s="732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6"/>
        <v>12,23</v>
      </c>
      <c r="L1089" s="56" t="s">
        <v>28</v>
      </c>
      <c r="M1089" s="56">
        <v>1005</v>
      </c>
      <c r="N1089" s="318">
        <v>0.41666666666666702</v>
      </c>
    </row>
    <row r="1090" spans="1:14" ht="19.5" hidden="1" thickBot="1" x14ac:dyDescent="0.3">
      <c r="A1090" s="732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6"/>
        <v>12,23</v>
      </c>
      <c r="L1090" s="31" t="s">
        <v>28</v>
      </c>
      <c r="M1090" s="31">
        <v>4561</v>
      </c>
      <c r="N1090" s="316">
        <v>0.41666666666666702</v>
      </c>
    </row>
    <row r="1091" spans="1:14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7">RIGHT(H1091,5)</f>
        <v>12,23</v>
      </c>
      <c r="L1091" s="40" t="s">
        <v>266</v>
      </c>
      <c r="M1091" s="40">
        <v>5156</v>
      </c>
      <c r="N1091" s="317">
        <v>0.5</v>
      </c>
    </row>
    <row r="1092" spans="1:14" ht="19.5" hidden="1" thickBot="1" x14ac:dyDescent="0.3">
      <c r="A1092" s="732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7"/>
        <v>12,23</v>
      </c>
      <c r="L1092" s="48" t="s">
        <v>266</v>
      </c>
      <c r="M1092" s="48">
        <v>17560</v>
      </c>
      <c r="N1092" s="315">
        <v>0.5</v>
      </c>
    </row>
    <row r="1093" spans="1:14" ht="19.5" hidden="1" thickBot="1" x14ac:dyDescent="0.3">
      <c r="A1093" s="732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7"/>
        <v>12,23</v>
      </c>
      <c r="L1093" s="31" t="s">
        <v>28</v>
      </c>
      <c r="M1093" s="31">
        <v>234</v>
      </c>
      <c r="N1093" s="316">
        <v>0.5</v>
      </c>
    </row>
    <row r="1094" spans="1:14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7"/>
        <v>12,23</v>
      </c>
      <c r="L1094" s="40" t="s">
        <v>266</v>
      </c>
      <c r="M1094" s="40">
        <v>18043</v>
      </c>
      <c r="N1094" s="317">
        <v>0.375</v>
      </c>
    </row>
    <row r="1095" spans="1:14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7"/>
        <v>12,23</v>
      </c>
      <c r="L1095" s="75" t="s">
        <v>266</v>
      </c>
      <c r="M1095" s="75">
        <v>18015</v>
      </c>
      <c r="N1095" s="322">
        <v>0.41666666666666702</v>
      </c>
    </row>
    <row r="1096" spans="1:14" ht="38.25" hidden="1" thickBot="1" x14ac:dyDescent="0.3">
      <c r="A1096" s="731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7"/>
        <v>12,23</v>
      </c>
      <c r="L1096" s="82" t="s">
        <v>266</v>
      </c>
      <c r="M1096" s="82">
        <v>7340</v>
      </c>
      <c r="N1096" s="319">
        <v>0.45833333333333298</v>
      </c>
    </row>
    <row r="1097" spans="1:14" ht="38.25" hidden="1" thickBot="1" x14ac:dyDescent="0.3">
      <c r="A1097" s="731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7"/>
        <v>12,23</v>
      </c>
      <c r="L1097" s="90" t="s">
        <v>28</v>
      </c>
      <c r="M1097" s="90">
        <v>10347</v>
      </c>
      <c r="N1097" s="325">
        <v>0.45833333333333298</v>
      </c>
    </row>
    <row r="1098" spans="1:14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7"/>
        <v>12,23</v>
      </c>
      <c r="L1098" s="75" t="s">
        <v>266</v>
      </c>
      <c r="M1098" s="75">
        <v>18088</v>
      </c>
      <c r="N1098" s="322">
        <v>0.5</v>
      </c>
    </row>
    <row r="1099" spans="1:14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7"/>
        <v>12,23</v>
      </c>
      <c r="L1099" s="40" t="s">
        <v>265</v>
      </c>
      <c r="M1099" s="40">
        <v>13291</v>
      </c>
      <c r="N1099" s="317">
        <v>0.33333333333333298</v>
      </c>
    </row>
    <row r="1100" spans="1:14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7"/>
        <v>12,23</v>
      </c>
      <c r="L1100" s="75" t="s">
        <v>265</v>
      </c>
      <c r="M1100" s="75">
        <v>17709</v>
      </c>
      <c r="N1100" s="322">
        <v>0.33333333333333298</v>
      </c>
    </row>
    <row r="1101" spans="1:14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7"/>
        <v>12,23</v>
      </c>
      <c r="L1101" s="40" t="s">
        <v>266</v>
      </c>
      <c r="M1101" s="40">
        <v>17823</v>
      </c>
      <c r="N1101" s="317">
        <v>0.41666666666666702</v>
      </c>
    </row>
    <row r="1102" spans="1:14" ht="19.5" hidden="1" thickBot="1" x14ac:dyDescent="0.3">
      <c r="A1102" s="732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7"/>
        <v>12,23</v>
      </c>
      <c r="L1102" s="48" t="s">
        <v>266</v>
      </c>
      <c r="M1102" s="48">
        <v>1571</v>
      </c>
      <c r="N1102" s="315">
        <v>0.45833333333333298</v>
      </c>
    </row>
    <row r="1103" spans="1:14" ht="19.5" hidden="1" thickBot="1" x14ac:dyDescent="0.3">
      <c r="A1103" s="732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7"/>
        <v>12,23</v>
      </c>
      <c r="L1103" s="23" t="s">
        <v>266</v>
      </c>
      <c r="M1103" s="23">
        <v>8785</v>
      </c>
      <c r="N1103" s="329">
        <v>0.45833333333333298</v>
      </c>
    </row>
    <row r="1104" spans="1:14" ht="19.5" hidden="1" thickBot="1" x14ac:dyDescent="0.3">
      <c r="A1104" s="732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7"/>
        <v>12,23</v>
      </c>
      <c r="L1104" s="23" t="s">
        <v>266</v>
      </c>
      <c r="M1104" s="23">
        <v>1605</v>
      </c>
      <c r="N1104" s="329">
        <v>0.45833333333333298</v>
      </c>
    </row>
    <row r="1105" spans="1:14" ht="19.5" hidden="1" thickBot="1" x14ac:dyDescent="0.3">
      <c r="A1105" s="732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7"/>
        <v>12,23</v>
      </c>
      <c r="L1105" s="71" t="s">
        <v>266</v>
      </c>
      <c r="M1105" s="71">
        <v>5810</v>
      </c>
      <c r="N1105" s="323">
        <v>0.45833333333333298</v>
      </c>
    </row>
    <row r="1106" spans="1:14" ht="19.5" hidden="1" thickBot="1" x14ac:dyDescent="0.3">
      <c r="A1106" s="731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7"/>
        <v>12,23</v>
      </c>
      <c r="L1106" s="82" t="s">
        <v>265</v>
      </c>
      <c r="M1106" s="82">
        <v>15561</v>
      </c>
      <c r="N1106" s="319">
        <v>0.33333333333333298</v>
      </c>
    </row>
    <row r="1107" spans="1:14" ht="19.5" hidden="1" thickBot="1" x14ac:dyDescent="0.3">
      <c r="A1107" s="731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7"/>
        <v>12,23</v>
      </c>
      <c r="L1107" s="90" t="s">
        <v>265</v>
      </c>
      <c r="M1107" s="90">
        <v>1827</v>
      </c>
      <c r="N1107" s="325">
        <v>0.33333333333333298</v>
      </c>
    </row>
    <row r="1108" spans="1:14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7"/>
        <v>12,23</v>
      </c>
      <c r="L1108" s="75" t="s">
        <v>265</v>
      </c>
      <c r="M1108" s="75">
        <v>17539</v>
      </c>
      <c r="N1108" s="322">
        <v>0.375</v>
      </c>
    </row>
    <row r="1109" spans="1:14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7"/>
        <v>12,23</v>
      </c>
      <c r="L1109" s="40" t="s">
        <v>28</v>
      </c>
      <c r="M1109" s="40">
        <v>17555</v>
      </c>
      <c r="N1109" s="317">
        <v>0.41666666666666702</v>
      </c>
    </row>
    <row r="1110" spans="1:14" ht="19.5" hidden="1" thickBot="1" x14ac:dyDescent="0.3">
      <c r="A1110" s="732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7"/>
        <v>12,23</v>
      </c>
      <c r="L1110" s="48" t="s">
        <v>28</v>
      </c>
      <c r="M1110" s="48">
        <v>6626</v>
      </c>
      <c r="N1110" s="315">
        <v>0.45833333333333298</v>
      </c>
    </row>
    <row r="1111" spans="1:14" ht="19.5" hidden="1" thickBot="1" x14ac:dyDescent="0.3">
      <c r="A1111" s="732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7"/>
        <v>12,23</v>
      </c>
      <c r="L1111" s="23" t="s">
        <v>28</v>
      </c>
      <c r="M1111" s="23">
        <v>8936</v>
      </c>
      <c r="N1111" s="329">
        <v>0.45833333333333298</v>
      </c>
    </row>
    <row r="1112" spans="1:14" ht="19.5" hidden="1" thickBot="1" x14ac:dyDescent="0.3">
      <c r="A1112" s="732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7"/>
        <v>12,23</v>
      </c>
      <c r="L1112" s="71" t="s">
        <v>28</v>
      </c>
      <c r="M1112" s="71">
        <v>2010</v>
      </c>
      <c r="N1112" s="323">
        <v>0.45833333333333298</v>
      </c>
    </row>
    <row r="1113" spans="1:14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7"/>
        <v>12,23</v>
      </c>
      <c r="L1113" s="40" t="s">
        <v>28</v>
      </c>
      <c r="M1113" s="40">
        <v>17615</v>
      </c>
      <c r="N1113" s="317">
        <v>0.5</v>
      </c>
    </row>
    <row r="1114" spans="1:14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7"/>
        <v>12,23</v>
      </c>
      <c r="L1114" s="75" t="s">
        <v>28</v>
      </c>
      <c r="M1114" s="75">
        <v>17619</v>
      </c>
      <c r="N1114" s="322">
        <v>0.54166666666666696</v>
      </c>
    </row>
    <row r="1115" spans="1:14" ht="75.75" hidden="1" thickBot="1" x14ac:dyDescent="0.3">
      <c r="A1115" s="731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7"/>
        <v>12,23</v>
      </c>
      <c r="L1115" s="82" t="s">
        <v>28</v>
      </c>
      <c r="M1115" s="82">
        <v>2700</v>
      </c>
      <c r="N1115" s="319">
        <v>0.58333333333333304</v>
      </c>
    </row>
    <row r="1116" spans="1:14" ht="19.5" hidden="1" thickBot="1" x14ac:dyDescent="0.3">
      <c r="A1116" s="731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7"/>
        <v>12,23</v>
      </c>
      <c r="L1116" s="90" t="s">
        <v>28</v>
      </c>
      <c r="M1116" s="90">
        <v>14968</v>
      </c>
      <c r="N1116" s="325">
        <v>0.58333333333333304</v>
      </c>
    </row>
    <row r="1117" spans="1:14" ht="19.5" hidden="1" thickBot="1" x14ac:dyDescent="0.3">
      <c r="A1117" s="732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7"/>
        <v>12,23</v>
      </c>
      <c r="L1117" s="48" t="s">
        <v>28</v>
      </c>
      <c r="M1117" s="48">
        <v>1305</v>
      </c>
      <c r="N1117" s="315">
        <v>0.625</v>
      </c>
    </row>
    <row r="1118" spans="1:14" ht="38.25" hidden="1" thickBot="1" x14ac:dyDescent="0.3">
      <c r="A1118" s="732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7"/>
        <v>12,23</v>
      </c>
      <c r="L1118" s="23" t="s">
        <v>28</v>
      </c>
      <c r="M1118" s="23">
        <v>900</v>
      </c>
      <c r="N1118" s="329">
        <v>0.625</v>
      </c>
    </row>
    <row r="1119" spans="1:14" ht="38.25" hidden="1" thickBot="1" x14ac:dyDescent="0.3">
      <c r="A1119" s="732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7"/>
        <v>12,23</v>
      </c>
      <c r="L1119" s="23" t="s">
        <v>28</v>
      </c>
      <c r="M1119" s="23">
        <v>12801</v>
      </c>
      <c r="N1119" s="329">
        <v>0.625</v>
      </c>
    </row>
    <row r="1120" spans="1:14" ht="38.25" hidden="1" thickBot="1" x14ac:dyDescent="0.3">
      <c r="A1120" s="732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7"/>
        <v>12,23</v>
      </c>
      <c r="L1120" s="71" t="s">
        <v>28</v>
      </c>
      <c r="M1120" s="71">
        <v>2625</v>
      </c>
      <c r="N1120" s="323">
        <v>0.625</v>
      </c>
    </row>
    <row r="1121" spans="1:14" ht="19.5" hidden="1" customHeight="1" thickBot="1" x14ac:dyDescent="0.3">
      <c r="A1121" s="731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734" t="s">
        <v>72</v>
      </c>
      <c r="H1121" s="82" t="s">
        <v>294</v>
      </c>
      <c r="I1121" s="147" t="s">
        <v>294</v>
      </c>
      <c r="J1121" s="86"/>
      <c r="K1121" s="82" t="str">
        <f t="shared" si="17"/>
        <v>12,23</v>
      </c>
      <c r="L1121" s="82" t="s">
        <v>265</v>
      </c>
      <c r="M1121" s="82">
        <v>4247</v>
      </c>
      <c r="N1121" s="319">
        <v>0.33333333333333298</v>
      </c>
    </row>
    <row r="1122" spans="1:14" ht="19.5" hidden="1" thickBot="1" x14ac:dyDescent="0.3">
      <c r="A1122" s="731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734"/>
      <c r="H1122" s="90" t="s">
        <v>294</v>
      </c>
      <c r="I1122" s="172" t="s">
        <v>294</v>
      </c>
      <c r="J1122" s="173"/>
      <c r="K1122" s="90" t="str">
        <f t="shared" si="17"/>
        <v>12,23</v>
      </c>
      <c r="L1122" s="90" t="s">
        <v>265</v>
      </c>
      <c r="M1122" s="90">
        <v>10670</v>
      </c>
      <c r="N1122" s="325">
        <v>0.41666666666666702</v>
      </c>
    </row>
    <row r="1123" spans="1:14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7"/>
        <v>12,23</v>
      </c>
      <c r="L1123" s="75" t="s">
        <v>265</v>
      </c>
      <c r="M1123" s="75">
        <v>17933</v>
      </c>
      <c r="N1123" s="322">
        <v>0.33333333333333298</v>
      </c>
    </row>
    <row r="1124" spans="1:14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7"/>
        <v>12,23</v>
      </c>
      <c r="L1124" s="40" t="s">
        <v>265</v>
      </c>
      <c r="M1124" s="40">
        <v>17933</v>
      </c>
      <c r="N1124" s="317">
        <v>0.33333333333333298</v>
      </c>
    </row>
    <row r="1125" spans="1:14" ht="57" hidden="1" thickBot="1" x14ac:dyDescent="0.3">
      <c r="A1125" s="732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7"/>
        <v>12,23</v>
      </c>
      <c r="L1125" s="48" t="s">
        <v>28</v>
      </c>
      <c r="M1125" s="48">
        <v>2476</v>
      </c>
      <c r="N1125" s="315">
        <v>0.33333333333333298</v>
      </c>
    </row>
    <row r="1126" spans="1:14" ht="19.5" hidden="1" thickBot="1" x14ac:dyDescent="0.3">
      <c r="A1126" s="732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7"/>
        <v>12,23</v>
      </c>
      <c r="L1126" s="71" t="s">
        <v>28</v>
      </c>
      <c r="M1126" s="71">
        <v>9652</v>
      </c>
      <c r="N1126" s="323">
        <v>0.33333333333333298</v>
      </c>
    </row>
    <row r="1127" spans="1:14" ht="19.5" hidden="1" thickBot="1" x14ac:dyDescent="0.3">
      <c r="A1127" s="731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7"/>
        <v>12,23</v>
      </c>
      <c r="L1127" s="82" t="s">
        <v>28</v>
      </c>
      <c r="M1127" s="82">
        <v>11155</v>
      </c>
      <c r="N1127" s="319">
        <v>0.41666666666666702</v>
      </c>
    </row>
    <row r="1128" spans="1:14" ht="19.5" hidden="1" thickBot="1" x14ac:dyDescent="0.3">
      <c r="A1128" s="731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7"/>
        <v>12,23</v>
      </c>
      <c r="L1128" s="90" t="s">
        <v>28</v>
      </c>
      <c r="M1128" s="90">
        <v>2013</v>
      </c>
      <c r="N1128" s="325">
        <v>0.41666666666666702</v>
      </c>
    </row>
    <row r="1129" spans="1:14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7"/>
        <v>12,23</v>
      </c>
      <c r="L1129" s="75" t="s">
        <v>266</v>
      </c>
      <c r="M1129" s="75">
        <v>13541</v>
      </c>
      <c r="N1129" s="322">
        <v>0.33333333333333298</v>
      </c>
    </row>
    <row r="1130" spans="1:14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7"/>
        <v>12,23</v>
      </c>
      <c r="L1130" s="40" t="s">
        <v>265</v>
      </c>
      <c r="M1130" s="40">
        <v>17923</v>
      </c>
      <c r="N1130" s="317">
        <v>0.33333333333333298</v>
      </c>
    </row>
    <row r="1131" spans="1:14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7"/>
        <v>12,23</v>
      </c>
      <c r="L1131" s="75" t="s">
        <v>265</v>
      </c>
      <c r="M1131" s="75">
        <v>17966</v>
      </c>
      <c r="N1131" s="322">
        <v>0.375</v>
      </c>
    </row>
    <row r="1132" spans="1:14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7"/>
        <v>12,23</v>
      </c>
      <c r="L1132" s="40" t="s">
        <v>28</v>
      </c>
      <c r="M1132" s="40">
        <v>17373</v>
      </c>
      <c r="N1132" s="317">
        <v>0.41666666666666702</v>
      </c>
    </row>
    <row r="1133" spans="1:14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7"/>
        <v>12,23</v>
      </c>
      <c r="L1133" s="75" t="s">
        <v>28</v>
      </c>
      <c r="M1133" s="75">
        <v>17273</v>
      </c>
      <c r="N1133" s="322">
        <v>0.45833333333333298</v>
      </c>
    </row>
    <row r="1134" spans="1:14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7"/>
        <v>12,23</v>
      </c>
      <c r="L1134" s="40" t="s">
        <v>28</v>
      </c>
      <c r="M1134" s="40">
        <v>17280</v>
      </c>
      <c r="N1134" s="317">
        <v>0.5</v>
      </c>
    </row>
    <row r="1135" spans="1:14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7"/>
        <v>12,23</v>
      </c>
      <c r="L1135" s="75" t="s">
        <v>28</v>
      </c>
      <c r="M1135" s="75">
        <v>17294</v>
      </c>
      <c r="N1135" s="322">
        <v>0.54166666666666696</v>
      </c>
    </row>
    <row r="1136" spans="1:14" ht="19.5" hidden="1" thickBot="1" x14ac:dyDescent="0.3">
      <c r="A1136" s="731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7"/>
        <v>12,23</v>
      </c>
      <c r="L1136" s="82" t="s">
        <v>28</v>
      </c>
      <c r="M1136" s="82">
        <v>7221</v>
      </c>
      <c r="N1136" s="319">
        <v>0.58333333333333304</v>
      </c>
    </row>
    <row r="1137" spans="1:14" ht="19.5" hidden="1" thickBot="1" x14ac:dyDescent="0.3">
      <c r="A1137" s="731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7"/>
        <v>12,23</v>
      </c>
      <c r="L1137" s="90" t="s">
        <v>28</v>
      </c>
      <c r="M1137" s="90">
        <v>10129</v>
      </c>
      <c r="N1137" s="325">
        <v>0.58333333333333304</v>
      </c>
    </row>
    <row r="1138" spans="1:14" ht="19.5" hidden="1" thickBot="1" x14ac:dyDescent="0.3">
      <c r="A1138" s="732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7"/>
        <v>12,23</v>
      </c>
      <c r="L1138" s="48" t="s">
        <v>28</v>
      </c>
      <c r="M1138" s="48">
        <v>13747</v>
      </c>
      <c r="N1138" s="315">
        <v>0.625</v>
      </c>
    </row>
    <row r="1139" spans="1:14" ht="19.5" hidden="1" thickBot="1" x14ac:dyDescent="0.3">
      <c r="A1139" s="732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7"/>
        <v>12,23</v>
      </c>
      <c r="L1139" s="71" t="s">
        <v>28</v>
      </c>
      <c r="M1139" s="71">
        <v>3614</v>
      </c>
      <c r="N1139" s="323">
        <v>0.625</v>
      </c>
    </row>
    <row r="1140" spans="1:14" ht="19.5" hidden="1" thickBot="1" x14ac:dyDescent="0.3">
      <c r="A1140" s="731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7"/>
        <v>12,23</v>
      </c>
      <c r="L1140" s="82" t="s">
        <v>28</v>
      </c>
      <c r="M1140" s="82">
        <v>7320</v>
      </c>
      <c r="N1140" s="319">
        <v>0.66666666666666696</v>
      </c>
    </row>
    <row r="1141" spans="1:14" ht="19.5" hidden="1" thickBot="1" x14ac:dyDescent="0.3">
      <c r="A1141" s="731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7"/>
        <v>12,23</v>
      </c>
      <c r="L1141" s="90" t="s">
        <v>28</v>
      </c>
      <c r="M1141" s="90">
        <v>9913</v>
      </c>
      <c r="N1141" s="325">
        <v>0.66666666666666696</v>
      </c>
    </row>
    <row r="1142" spans="1:14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7"/>
        <v>01,24</v>
      </c>
      <c r="L1142" s="75" t="s">
        <v>265</v>
      </c>
      <c r="M1142" s="75">
        <v>17470</v>
      </c>
      <c r="N1142" s="322">
        <v>0.33333333333333298</v>
      </c>
    </row>
    <row r="1143" spans="1:14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7"/>
        <v>01,24</v>
      </c>
      <c r="L1143" s="40" t="s">
        <v>265</v>
      </c>
      <c r="M1143" s="40">
        <v>17892</v>
      </c>
      <c r="N1143" s="317">
        <v>0.375</v>
      </c>
    </row>
    <row r="1144" spans="1:14" ht="38.25" hidden="1" thickBot="1" x14ac:dyDescent="0.3">
      <c r="A1144" s="732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7"/>
        <v>01,24</v>
      </c>
      <c r="L1144" s="48" t="s">
        <v>266</v>
      </c>
      <c r="M1144" s="48">
        <v>8823</v>
      </c>
      <c r="N1144" s="315">
        <v>0.41666666666666702</v>
      </c>
    </row>
    <row r="1145" spans="1:14" ht="38.25" hidden="1" thickBot="1" x14ac:dyDescent="0.3">
      <c r="A1145" s="732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7"/>
        <v>01,24</v>
      </c>
      <c r="L1145" s="71" t="s">
        <v>28</v>
      </c>
      <c r="M1145" s="71">
        <v>8864</v>
      </c>
      <c r="N1145" s="323">
        <v>0.41666666666666702</v>
      </c>
    </row>
    <row r="1146" spans="1:14" ht="38.25" hidden="1" thickBot="1" x14ac:dyDescent="0.3">
      <c r="A1146" s="731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7"/>
        <v>01,24</v>
      </c>
      <c r="L1146" s="82" t="s">
        <v>266</v>
      </c>
      <c r="M1146" s="82">
        <v>16508</v>
      </c>
      <c r="N1146" s="319">
        <v>0.45833333333333298</v>
      </c>
    </row>
    <row r="1147" spans="1:14" ht="38.25" hidden="1" thickBot="1" x14ac:dyDescent="0.3">
      <c r="A1147" s="731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7"/>
        <v>01,24</v>
      </c>
      <c r="L1147" s="90" t="s">
        <v>28</v>
      </c>
      <c r="M1147" s="90">
        <v>1504</v>
      </c>
      <c r="N1147" s="325">
        <v>0.45833333333333298</v>
      </c>
    </row>
    <row r="1148" spans="1:14" ht="19.5" hidden="1" thickBot="1" x14ac:dyDescent="0.3">
      <c r="A1148" s="732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7"/>
        <v>01,24</v>
      </c>
      <c r="L1148" s="48" t="s">
        <v>28</v>
      </c>
      <c r="M1148" s="48">
        <v>5326</v>
      </c>
      <c r="N1148" s="315">
        <v>0.33333333333333298</v>
      </c>
    </row>
    <row r="1149" spans="1:14" ht="19.5" hidden="1" thickBot="1" x14ac:dyDescent="0.3">
      <c r="A1149" s="732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7"/>
        <v>01,24</v>
      </c>
      <c r="L1149" s="23" t="s">
        <v>28</v>
      </c>
      <c r="M1149" s="23">
        <v>1666</v>
      </c>
      <c r="N1149" s="329">
        <v>0.33333333333333298</v>
      </c>
    </row>
    <row r="1150" spans="1:14" ht="19.5" hidden="1" thickBot="1" x14ac:dyDescent="0.3">
      <c r="A1150" s="732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7"/>
        <v>01,24</v>
      </c>
      <c r="L1150" s="23" t="s">
        <v>28</v>
      </c>
      <c r="M1150" s="23">
        <v>1222</v>
      </c>
      <c r="N1150" s="329">
        <v>0.33333333333333298</v>
      </c>
    </row>
    <row r="1151" spans="1:14" ht="19.5" hidden="1" thickBot="1" x14ac:dyDescent="0.3">
      <c r="A1151" s="732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7"/>
        <v>01,24</v>
      </c>
      <c r="L1151" s="71" t="s">
        <v>28</v>
      </c>
      <c r="M1151" s="71">
        <v>5341</v>
      </c>
      <c r="N1151" s="323">
        <v>0.33333333333333298</v>
      </c>
    </row>
    <row r="1152" spans="1:14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7"/>
        <v>01,24</v>
      </c>
      <c r="L1152" s="40" t="s">
        <v>265</v>
      </c>
      <c r="M1152" s="40">
        <v>13040</v>
      </c>
      <c r="N1152" s="317">
        <v>0.33333333333333298</v>
      </c>
    </row>
    <row r="1153" spans="1:14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7"/>
        <v>01,24</v>
      </c>
      <c r="L1153" s="75" t="s">
        <v>265</v>
      </c>
      <c r="M1153" s="75">
        <v>17192</v>
      </c>
      <c r="N1153" s="322">
        <v>0.33333333333333298</v>
      </c>
    </row>
    <row r="1154" spans="1:14" ht="19.5" hidden="1" thickBot="1" x14ac:dyDescent="0.3">
      <c r="A1154" s="731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7"/>
        <v>01,24</v>
      </c>
      <c r="L1154" s="82" t="s">
        <v>28</v>
      </c>
      <c r="M1154" s="82">
        <v>10450</v>
      </c>
      <c r="N1154" s="319">
        <v>0.33333333333333298</v>
      </c>
    </row>
    <row r="1155" spans="1:14" ht="19.5" hidden="1" thickBot="1" x14ac:dyDescent="0.3">
      <c r="A1155" s="731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8">RIGHT(H1155,5)</f>
        <v>01,24</v>
      </c>
      <c r="L1155" s="98" t="s">
        <v>28</v>
      </c>
      <c r="M1155" s="98">
        <v>4751</v>
      </c>
      <c r="N1155" s="364">
        <v>0.33333333333333298</v>
      </c>
    </row>
    <row r="1156" spans="1:14" ht="19.5" hidden="1" thickBot="1" x14ac:dyDescent="0.3">
      <c r="A1156" s="731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8"/>
        <v>01,24</v>
      </c>
      <c r="L1156" s="90" t="s">
        <v>28</v>
      </c>
      <c r="M1156" s="90">
        <v>2010</v>
      </c>
      <c r="N1156" s="325">
        <v>0.33333333333333298</v>
      </c>
    </row>
    <row r="1157" spans="1:14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8"/>
        <v>01,24</v>
      </c>
      <c r="L1157" s="75" t="s">
        <v>28</v>
      </c>
      <c r="M1157" s="75">
        <v>17257</v>
      </c>
      <c r="N1157" s="322">
        <v>0.375</v>
      </c>
    </row>
    <row r="1158" spans="1:14" ht="19.5" hidden="1" thickBot="1" x14ac:dyDescent="0.3">
      <c r="A1158" s="731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8"/>
        <v>01,24</v>
      </c>
      <c r="L1158" s="82" t="s">
        <v>266</v>
      </c>
      <c r="M1158" s="82">
        <v>1680</v>
      </c>
      <c r="N1158" s="319">
        <v>0.41666666666666702</v>
      </c>
    </row>
    <row r="1159" spans="1:14" ht="19.5" hidden="1" thickBot="1" x14ac:dyDescent="0.3">
      <c r="A1159" s="731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8"/>
        <v>01,24</v>
      </c>
      <c r="L1159" s="98" t="s">
        <v>266</v>
      </c>
      <c r="M1159" s="98">
        <v>3745</v>
      </c>
      <c r="N1159" s="364">
        <v>0.41666666666666702</v>
      </c>
    </row>
    <row r="1160" spans="1:14" ht="19.5" hidden="1" thickBot="1" x14ac:dyDescent="0.3">
      <c r="A1160" s="731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8"/>
        <v>01,24</v>
      </c>
      <c r="L1160" s="98" t="s">
        <v>266</v>
      </c>
      <c r="M1160" s="98">
        <v>2405</v>
      </c>
      <c r="N1160" s="364">
        <v>0.41666666666666702</v>
      </c>
    </row>
    <row r="1161" spans="1:14" ht="19.5" hidden="1" thickBot="1" x14ac:dyDescent="0.3">
      <c r="A1161" s="731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8"/>
        <v>01,24</v>
      </c>
      <c r="L1161" s="98" t="s">
        <v>266</v>
      </c>
      <c r="M1161" s="98">
        <v>6625</v>
      </c>
      <c r="N1161" s="364">
        <v>0.41666666666666702</v>
      </c>
    </row>
    <row r="1162" spans="1:14" ht="19.5" hidden="1" thickBot="1" x14ac:dyDescent="0.3">
      <c r="A1162" s="731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8"/>
        <v>01,24</v>
      </c>
      <c r="L1162" s="90" t="s">
        <v>266</v>
      </c>
      <c r="M1162" s="90">
        <v>2663</v>
      </c>
      <c r="N1162" s="325">
        <v>0.41666666666666702</v>
      </c>
    </row>
    <row r="1163" spans="1:14" ht="19.5" hidden="1" thickBot="1" x14ac:dyDescent="0.3">
      <c r="A1163" s="732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8"/>
        <v>01,24</v>
      </c>
      <c r="L1163" s="48" t="s">
        <v>28</v>
      </c>
      <c r="M1163" s="48">
        <v>3975</v>
      </c>
      <c r="N1163" s="315">
        <v>0.45833333333333298</v>
      </c>
    </row>
    <row r="1164" spans="1:14" ht="19.5" hidden="1" thickBot="1" x14ac:dyDescent="0.3">
      <c r="A1164" s="732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8"/>
        <v>01,24</v>
      </c>
      <c r="L1164" s="23" t="s">
        <v>28</v>
      </c>
      <c r="M1164" s="23">
        <v>8993</v>
      </c>
      <c r="N1164" s="329">
        <v>0.45833333333333298</v>
      </c>
    </row>
    <row r="1165" spans="1:14" ht="19.5" hidden="1" thickBot="1" x14ac:dyDescent="0.3">
      <c r="A1165" s="732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8"/>
        <v>01,24</v>
      </c>
      <c r="L1165" s="23" t="s">
        <v>28</v>
      </c>
      <c r="M1165" s="23">
        <v>1140</v>
      </c>
      <c r="N1165" s="329">
        <v>0.45833333333333298</v>
      </c>
    </row>
    <row r="1166" spans="1:14" ht="19.5" hidden="1" thickBot="1" x14ac:dyDescent="0.3">
      <c r="A1166" s="732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8"/>
        <v>01,24</v>
      </c>
      <c r="L1166" s="71" t="s">
        <v>28</v>
      </c>
      <c r="M1166" s="71">
        <v>2824</v>
      </c>
      <c r="N1166" s="323">
        <v>0.45833333333333298</v>
      </c>
    </row>
    <row r="1167" spans="1:14" ht="19.5" hidden="1" customHeight="1" thickBot="1" x14ac:dyDescent="0.3">
      <c r="A1167" s="731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734" t="s">
        <v>72</v>
      </c>
      <c r="H1167" s="82" t="s">
        <v>309</v>
      </c>
      <c r="I1167" s="147" t="s">
        <v>309</v>
      </c>
      <c r="J1167" s="86"/>
      <c r="K1167" s="82" t="str">
        <f t="shared" si="18"/>
        <v>01,24</v>
      </c>
      <c r="L1167" s="82" t="s">
        <v>265</v>
      </c>
      <c r="M1167" s="82">
        <v>5004</v>
      </c>
      <c r="N1167" s="319">
        <v>0.33333333333333298</v>
      </c>
    </row>
    <row r="1168" spans="1:14" ht="19.5" hidden="1" thickBot="1" x14ac:dyDescent="0.3">
      <c r="A1168" s="731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734"/>
      <c r="H1168" s="90" t="s">
        <v>309</v>
      </c>
      <c r="I1168" s="172" t="s">
        <v>309</v>
      </c>
      <c r="J1168" s="173"/>
      <c r="K1168" s="90" t="str">
        <f t="shared" si="18"/>
        <v>01,24</v>
      </c>
      <c r="L1168" s="90" t="s">
        <v>265</v>
      </c>
      <c r="M1168" s="90">
        <v>9132</v>
      </c>
      <c r="N1168" s="325">
        <v>0.41666666666666702</v>
      </c>
    </row>
    <row r="1169" spans="1:14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8"/>
        <v>01,24</v>
      </c>
      <c r="L1169" s="75" t="s">
        <v>266</v>
      </c>
      <c r="M1169" s="75">
        <v>17877</v>
      </c>
      <c r="N1169" s="322">
        <v>0.45833333333333298</v>
      </c>
    </row>
    <row r="1170" spans="1:14" ht="38.25" hidden="1" thickBot="1" x14ac:dyDescent="0.3">
      <c r="A1170" s="731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8"/>
        <v>01,24</v>
      </c>
      <c r="L1170" s="82" t="s">
        <v>266</v>
      </c>
      <c r="M1170" s="82">
        <v>11041</v>
      </c>
      <c r="N1170" s="319">
        <v>0.5</v>
      </c>
    </row>
    <row r="1171" spans="1:14" ht="38.25" hidden="1" thickBot="1" x14ac:dyDescent="0.3">
      <c r="A1171" s="731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8"/>
        <v>01,24</v>
      </c>
      <c r="L1171" s="90" t="s">
        <v>28</v>
      </c>
      <c r="M1171" s="90">
        <v>6913</v>
      </c>
      <c r="N1171" s="325">
        <v>0.5</v>
      </c>
    </row>
    <row r="1172" spans="1:14" ht="19.5" hidden="1" thickBot="1" x14ac:dyDescent="0.3">
      <c r="A1172" s="732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8"/>
        <v>01,24</v>
      </c>
      <c r="L1172" s="48" t="s">
        <v>265</v>
      </c>
      <c r="M1172" s="48">
        <v>2707</v>
      </c>
      <c r="N1172" s="315">
        <v>0.33333333333333298</v>
      </c>
    </row>
    <row r="1173" spans="1:14" ht="19.5" hidden="1" thickBot="1" x14ac:dyDescent="0.3">
      <c r="A1173" s="732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8"/>
        <v>01,24</v>
      </c>
      <c r="L1173" s="71" t="s">
        <v>265</v>
      </c>
      <c r="M1173" s="71">
        <v>14307</v>
      </c>
      <c r="N1173" s="323">
        <v>0.33333333333333298</v>
      </c>
    </row>
    <row r="1174" spans="1:14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8"/>
        <v>01,24</v>
      </c>
      <c r="L1174" s="40" t="s">
        <v>265</v>
      </c>
      <c r="M1174" s="40">
        <v>17150</v>
      </c>
      <c r="N1174" s="317">
        <v>0.33333333333333298</v>
      </c>
    </row>
    <row r="1175" spans="1:14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8"/>
        <v>01,24</v>
      </c>
      <c r="L1175" s="75" t="s">
        <v>28</v>
      </c>
      <c r="M1175" s="75">
        <v>13196</v>
      </c>
      <c r="N1175" s="322">
        <v>0.33333333333333298</v>
      </c>
    </row>
    <row r="1176" spans="1:14" ht="19.5" hidden="1" thickBot="1" x14ac:dyDescent="0.3">
      <c r="A1176" s="731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8"/>
        <v>01,24</v>
      </c>
      <c r="L1176" s="82" t="s">
        <v>28</v>
      </c>
      <c r="M1176" s="82">
        <v>6977</v>
      </c>
      <c r="N1176" s="319">
        <v>0.375</v>
      </c>
    </row>
    <row r="1177" spans="1:14" ht="19.5" hidden="1" thickBot="1" x14ac:dyDescent="0.3">
      <c r="A1177" s="731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8"/>
        <v>01,24</v>
      </c>
      <c r="L1177" s="98" t="s">
        <v>28</v>
      </c>
      <c r="M1177" s="98">
        <v>861</v>
      </c>
      <c r="N1177" s="364">
        <v>0.375</v>
      </c>
    </row>
    <row r="1178" spans="1:14" ht="19.5" hidden="1" thickBot="1" x14ac:dyDescent="0.3">
      <c r="A1178" s="731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8"/>
        <v>01,24</v>
      </c>
      <c r="L1178" s="98" t="s">
        <v>28</v>
      </c>
      <c r="M1178" s="98">
        <v>1559</v>
      </c>
      <c r="N1178" s="364">
        <v>0.375</v>
      </c>
    </row>
    <row r="1179" spans="1:14" ht="19.5" hidden="1" thickBot="1" x14ac:dyDescent="0.3">
      <c r="A1179" s="731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8"/>
        <v>01,24</v>
      </c>
      <c r="L1179" s="90" t="s">
        <v>28</v>
      </c>
      <c r="M1179" s="90">
        <v>3078</v>
      </c>
      <c r="N1179" s="325">
        <v>0.375</v>
      </c>
    </row>
    <row r="1180" spans="1:14" ht="19.5" hidden="1" thickBot="1" x14ac:dyDescent="0.3">
      <c r="A1180" s="732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8"/>
        <v>01,24</v>
      </c>
      <c r="L1180" s="48" t="s">
        <v>266</v>
      </c>
      <c r="M1180" s="48">
        <v>15326</v>
      </c>
      <c r="N1180" s="315">
        <v>0.5</v>
      </c>
    </row>
    <row r="1181" spans="1:14" ht="19.5" hidden="1" thickBot="1" x14ac:dyDescent="0.3">
      <c r="A1181" s="732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8"/>
        <v>01,24</v>
      </c>
      <c r="L1181" s="71" t="s">
        <v>28</v>
      </c>
      <c r="M1181" s="71">
        <v>105</v>
      </c>
      <c r="N1181" s="323">
        <v>0.5</v>
      </c>
    </row>
    <row r="1182" spans="1:14" ht="19.5" hidden="1" thickBot="1" x14ac:dyDescent="0.3">
      <c r="A1182" s="731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8"/>
        <v>01,24</v>
      </c>
      <c r="L1182" s="82" t="s">
        <v>266</v>
      </c>
      <c r="M1182" s="82">
        <v>16665</v>
      </c>
      <c r="N1182" s="319">
        <v>0.375</v>
      </c>
    </row>
    <row r="1183" spans="1:14" ht="19.5" hidden="1" thickBot="1" x14ac:dyDescent="0.3">
      <c r="A1183" s="731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8"/>
        <v>01,24</v>
      </c>
      <c r="L1183" s="90" t="s">
        <v>28</v>
      </c>
      <c r="M1183" s="90">
        <v>1381</v>
      </c>
      <c r="N1183" s="325">
        <v>0.375</v>
      </c>
    </row>
    <row r="1184" spans="1:14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8"/>
        <v>01,24</v>
      </c>
      <c r="L1184" s="75" t="s">
        <v>266</v>
      </c>
      <c r="M1184" s="75">
        <v>18024</v>
      </c>
      <c r="N1184" s="322">
        <v>0.41666666666666702</v>
      </c>
    </row>
    <row r="1185" spans="1:14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8"/>
        <v>01,24</v>
      </c>
      <c r="L1185" s="40" t="s">
        <v>266</v>
      </c>
      <c r="M1185" s="40">
        <v>18015</v>
      </c>
      <c r="N1185" s="317">
        <v>0.45833333333333298</v>
      </c>
    </row>
    <row r="1186" spans="1:14" ht="19.5" hidden="1" thickBot="1" x14ac:dyDescent="0.3">
      <c r="A1186" s="732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8"/>
        <v>01,24</v>
      </c>
      <c r="L1186" s="48" t="s">
        <v>266</v>
      </c>
      <c r="M1186" s="48">
        <v>1422</v>
      </c>
      <c r="N1186" s="315">
        <v>0.5</v>
      </c>
    </row>
    <row r="1187" spans="1:14" ht="19.5" hidden="1" thickBot="1" x14ac:dyDescent="0.3">
      <c r="A1187" s="732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8"/>
        <v>01,24</v>
      </c>
      <c r="L1187" s="23" t="s">
        <v>266</v>
      </c>
      <c r="M1187" s="23">
        <v>734</v>
      </c>
      <c r="N1187" s="329">
        <v>0.5</v>
      </c>
    </row>
    <row r="1188" spans="1:14" ht="19.5" hidden="1" thickBot="1" x14ac:dyDescent="0.3">
      <c r="A1188" s="732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8"/>
        <v>01,24</v>
      </c>
      <c r="L1188" s="23" t="s">
        <v>266</v>
      </c>
      <c r="M1188" s="23">
        <v>5602</v>
      </c>
      <c r="N1188" s="329">
        <v>0.5</v>
      </c>
    </row>
    <row r="1189" spans="1:14" ht="19.5" hidden="1" thickBot="1" x14ac:dyDescent="0.3">
      <c r="A1189" s="732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8"/>
        <v>01,24</v>
      </c>
      <c r="L1189" s="23" t="s">
        <v>266</v>
      </c>
      <c r="M1189" s="23">
        <v>2476</v>
      </c>
      <c r="N1189" s="329">
        <v>0.5</v>
      </c>
    </row>
    <row r="1190" spans="1:14" ht="19.5" hidden="1" thickBot="1" x14ac:dyDescent="0.3">
      <c r="A1190" s="732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8"/>
        <v>01,24</v>
      </c>
      <c r="L1190" s="71" t="s">
        <v>266</v>
      </c>
      <c r="M1190" s="71">
        <v>6617</v>
      </c>
      <c r="N1190" s="323">
        <v>0.5</v>
      </c>
    </row>
    <row r="1191" spans="1:14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8"/>
        <v>01,24</v>
      </c>
      <c r="L1191" s="40" t="s">
        <v>265</v>
      </c>
      <c r="M1191" s="40">
        <v>13006</v>
      </c>
      <c r="N1191" s="317">
        <v>0.33333333333333298</v>
      </c>
    </row>
    <row r="1192" spans="1:14" ht="19.5" hidden="1" thickBot="1" x14ac:dyDescent="0.3">
      <c r="A1192" s="732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8"/>
        <v>01,24</v>
      </c>
      <c r="L1192" s="48" t="s">
        <v>265</v>
      </c>
      <c r="M1192" s="48">
        <v>13900</v>
      </c>
      <c r="N1192" s="315">
        <v>0.33333333333333298</v>
      </c>
    </row>
    <row r="1193" spans="1:14" ht="19.5" hidden="1" thickBot="1" x14ac:dyDescent="0.3">
      <c r="A1193" s="732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8"/>
        <v>01,24</v>
      </c>
      <c r="L1193" s="71" t="s">
        <v>265</v>
      </c>
      <c r="M1193" s="71">
        <v>3247</v>
      </c>
      <c r="N1193" s="323">
        <v>0.33333333333333298</v>
      </c>
    </row>
    <row r="1194" spans="1:14" ht="19.5" hidden="1" thickBot="1" x14ac:dyDescent="0.3">
      <c r="A1194" s="731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8"/>
        <v>01,24</v>
      </c>
      <c r="L1194" s="82" t="s">
        <v>28</v>
      </c>
      <c r="M1194" s="82">
        <v>9286</v>
      </c>
      <c r="N1194" s="319">
        <v>0.375</v>
      </c>
    </row>
    <row r="1195" spans="1:14" ht="19.5" hidden="1" thickBot="1" x14ac:dyDescent="0.3">
      <c r="A1195" s="731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8"/>
        <v>01,24</v>
      </c>
      <c r="L1195" s="98" t="s">
        <v>28</v>
      </c>
      <c r="M1195" s="98">
        <v>1305</v>
      </c>
      <c r="N1195" s="364">
        <v>0.375</v>
      </c>
    </row>
    <row r="1196" spans="1:14" ht="19.5" hidden="1" thickBot="1" x14ac:dyDescent="0.3">
      <c r="A1196" s="731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8"/>
        <v>01,24</v>
      </c>
      <c r="L1196" s="98" t="s">
        <v>28</v>
      </c>
      <c r="M1196" s="98">
        <v>93</v>
      </c>
      <c r="N1196" s="364">
        <v>0.375</v>
      </c>
    </row>
    <row r="1197" spans="1:14" ht="19.5" hidden="1" thickBot="1" x14ac:dyDescent="0.3">
      <c r="A1197" s="731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8"/>
        <v>01,24</v>
      </c>
      <c r="L1197" s="90" t="s">
        <v>28</v>
      </c>
      <c r="M1197" s="90">
        <v>6851</v>
      </c>
      <c r="N1197" s="325">
        <v>0.375</v>
      </c>
    </row>
    <row r="1198" spans="1:14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8"/>
        <v>01,24</v>
      </c>
      <c r="L1198" s="75" t="s">
        <v>28</v>
      </c>
      <c r="M1198" s="75">
        <v>17294</v>
      </c>
      <c r="N1198" s="322">
        <v>0.41666666666666702</v>
      </c>
    </row>
    <row r="1199" spans="1:14" ht="19.5" hidden="1" thickBot="1" x14ac:dyDescent="0.3">
      <c r="A1199" s="731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8"/>
        <v>01,24</v>
      </c>
      <c r="L1199" s="82" t="s">
        <v>28</v>
      </c>
      <c r="M1199" s="82">
        <v>12504</v>
      </c>
      <c r="N1199" s="319">
        <v>0.45833333333333298</v>
      </c>
    </row>
    <row r="1200" spans="1:14" ht="19.5" hidden="1" thickBot="1" x14ac:dyDescent="0.3">
      <c r="A1200" s="731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8"/>
        <v>01,24</v>
      </c>
      <c r="L1200" s="90" t="s">
        <v>28</v>
      </c>
      <c r="M1200" s="90">
        <v>5078</v>
      </c>
      <c r="N1200" s="325">
        <v>0.45833333333333298</v>
      </c>
    </row>
    <row r="1201" spans="1:14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8"/>
        <v>01,24</v>
      </c>
      <c r="L1201" s="75" t="s">
        <v>28</v>
      </c>
      <c r="M1201" s="75">
        <v>17810</v>
      </c>
      <c r="N1201" s="322">
        <v>0.5</v>
      </c>
    </row>
    <row r="1202" spans="1:14" ht="19.5" hidden="1" customHeight="1" thickBot="1" x14ac:dyDescent="0.3">
      <c r="A1202" s="731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734" t="s">
        <v>72</v>
      </c>
      <c r="H1202" s="82" t="s">
        <v>317</v>
      </c>
      <c r="I1202" s="147" t="s">
        <v>317</v>
      </c>
      <c r="J1202" s="86"/>
      <c r="K1202" s="82" t="str">
        <f t="shared" si="18"/>
        <v>01,24</v>
      </c>
      <c r="L1202" s="82" t="s">
        <v>265</v>
      </c>
      <c r="M1202" s="82">
        <v>6082</v>
      </c>
      <c r="N1202" s="319">
        <v>0.33333333333333298</v>
      </c>
    </row>
    <row r="1203" spans="1:14" ht="19.5" hidden="1" thickBot="1" x14ac:dyDescent="0.3">
      <c r="A1203" s="731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734"/>
      <c r="H1203" s="90" t="s">
        <v>317</v>
      </c>
      <c r="I1203" s="172" t="s">
        <v>317</v>
      </c>
      <c r="J1203" s="173"/>
      <c r="K1203" s="90" t="str">
        <f t="shared" si="18"/>
        <v>01,24</v>
      </c>
      <c r="L1203" s="90" t="s">
        <v>265</v>
      </c>
      <c r="M1203" s="90">
        <v>7315</v>
      </c>
      <c r="N1203" s="325">
        <v>0.41666666666666702</v>
      </c>
    </row>
    <row r="1204" spans="1:14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8"/>
        <v>01,24</v>
      </c>
      <c r="L1204" s="75" t="s">
        <v>265</v>
      </c>
      <c r="M1204" s="75">
        <v>17128</v>
      </c>
      <c r="N1204" s="322">
        <v>0.33333333333333298</v>
      </c>
    </row>
    <row r="1205" spans="1:14" ht="38.25" hidden="1" thickBot="1" x14ac:dyDescent="0.3">
      <c r="A1205" s="731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8"/>
        <v>01,24</v>
      </c>
      <c r="L1205" s="82" t="s">
        <v>266</v>
      </c>
      <c r="M1205" s="82">
        <v>11718</v>
      </c>
      <c r="N1205" s="319">
        <v>0.375</v>
      </c>
    </row>
    <row r="1206" spans="1:14" ht="38.25" hidden="1" thickBot="1" x14ac:dyDescent="0.3">
      <c r="A1206" s="731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8"/>
        <v>01,24</v>
      </c>
      <c r="L1206" s="90" t="s">
        <v>28</v>
      </c>
      <c r="M1206" s="90">
        <v>4002</v>
      </c>
      <c r="N1206" s="325">
        <v>0.375</v>
      </c>
    </row>
    <row r="1207" spans="1:14" ht="19.5" hidden="1" thickBot="1" x14ac:dyDescent="0.3">
      <c r="A1207" s="732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8"/>
        <v>01,24</v>
      </c>
      <c r="L1207" s="48" t="s">
        <v>28</v>
      </c>
      <c r="M1207" s="48">
        <v>3968</v>
      </c>
      <c r="N1207" s="315">
        <v>0.41666666666666702</v>
      </c>
    </row>
    <row r="1208" spans="1:14" ht="19.5" hidden="1" thickBot="1" x14ac:dyDescent="0.3">
      <c r="A1208" s="732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8"/>
        <v>01,24</v>
      </c>
      <c r="L1208" s="71" t="s">
        <v>28</v>
      </c>
      <c r="M1208" s="71">
        <v>13431</v>
      </c>
      <c r="N1208" s="323">
        <v>0.41666666666666702</v>
      </c>
    </row>
    <row r="1209" spans="1:14" ht="19.5" hidden="1" thickBot="1" x14ac:dyDescent="0.3">
      <c r="A1209" s="731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8"/>
        <v>01,24</v>
      </c>
      <c r="L1209" s="82" t="s">
        <v>28</v>
      </c>
      <c r="M1209" s="82">
        <v>16636</v>
      </c>
      <c r="N1209" s="319">
        <v>0.45833333333333298</v>
      </c>
    </row>
    <row r="1210" spans="1:14" ht="19.5" hidden="1" thickBot="1" x14ac:dyDescent="0.3">
      <c r="A1210" s="731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8"/>
        <v>01,24</v>
      </c>
      <c r="L1210" s="90" t="s">
        <v>28</v>
      </c>
      <c r="M1210" s="90">
        <v>1242</v>
      </c>
      <c r="N1210" s="325">
        <v>0.45833333333333298</v>
      </c>
    </row>
    <row r="1211" spans="1:14" ht="38.25" hidden="1" thickBot="1" x14ac:dyDescent="0.3">
      <c r="A1211" s="732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8"/>
        <v>01,24</v>
      </c>
      <c r="L1211" s="48" t="s">
        <v>266</v>
      </c>
      <c r="M1211" s="48">
        <v>9773</v>
      </c>
      <c r="N1211" s="315">
        <v>0.58333333333333304</v>
      </c>
    </row>
    <row r="1212" spans="1:14" ht="38.25" hidden="1" thickBot="1" x14ac:dyDescent="0.3">
      <c r="A1212" s="732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8"/>
        <v>01,24</v>
      </c>
      <c r="L1212" s="71" t="s">
        <v>28</v>
      </c>
      <c r="M1212" s="71">
        <v>8007</v>
      </c>
      <c r="N1212" s="323">
        <v>0.58333333333333304</v>
      </c>
    </row>
    <row r="1213" spans="1:14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8"/>
        <v>01,24</v>
      </c>
      <c r="L1213" s="40" t="s">
        <v>265</v>
      </c>
      <c r="M1213" s="40">
        <v>17530</v>
      </c>
      <c r="N1213" s="317">
        <v>0.70833333333333304</v>
      </c>
    </row>
    <row r="1214" spans="1:14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8"/>
        <v>01,24</v>
      </c>
      <c r="L1214" s="75" t="s">
        <v>265</v>
      </c>
      <c r="M1214" s="75">
        <v>11629</v>
      </c>
      <c r="N1214" s="322">
        <v>0.375</v>
      </c>
    </row>
    <row r="1215" spans="1:14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8"/>
        <v>01,24</v>
      </c>
      <c r="L1215" s="40" t="s">
        <v>28</v>
      </c>
      <c r="M1215" s="40">
        <v>13112</v>
      </c>
      <c r="N1215" s="317">
        <v>0.33333333333333298</v>
      </c>
    </row>
    <row r="1216" spans="1:14" ht="19.5" hidden="1" thickBot="1" x14ac:dyDescent="0.3">
      <c r="A1216" s="732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8"/>
        <v>01,24</v>
      </c>
      <c r="L1216" s="48" t="s">
        <v>28</v>
      </c>
      <c r="M1216" s="48">
        <v>10323</v>
      </c>
      <c r="N1216" s="315">
        <v>0.375</v>
      </c>
    </row>
    <row r="1217" spans="1:14" ht="19.5" hidden="1" thickBot="1" x14ac:dyDescent="0.3">
      <c r="A1217" s="732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8"/>
        <v>01,24</v>
      </c>
      <c r="L1217" s="71" t="s">
        <v>28</v>
      </c>
      <c r="M1217" s="71">
        <v>2800</v>
      </c>
      <c r="N1217" s="323">
        <v>0.375</v>
      </c>
    </row>
    <row r="1218" spans="1:14" ht="19.5" hidden="1" thickBot="1" x14ac:dyDescent="0.3">
      <c r="A1218" s="731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8"/>
        <v>01,24</v>
      </c>
      <c r="L1218" s="82" t="s">
        <v>28</v>
      </c>
      <c r="M1218" s="82">
        <v>4018</v>
      </c>
      <c r="N1218" s="319">
        <v>0.41666666666666702</v>
      </c>
    </row>
    <row r="1219" spans="1:14" ht="19.5" hidden="1" thickBot="1" x14ac:dyDescent="0.3">
      <c r="A1219" s="731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19">RIGHT(H1219,5)</f>
        <v>01,24</v>
      </c>
      <c r="L1219" s="90" t="s">
        <v>28</v>
      </c>
      <c r="M1219" s="90">
        <v>9563</v>
      </c>
      <c r="N1219" s="325">
        <v>0.41666666666666702</v>
      </c>
    </row>
    <row r="1220" spans="1:14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19"/>
        <v>01,24</v>
      </c>
      <c r="L1220" s="75" t="s">
        <v>266</v>
      </c>
      <c r="M1220" s="75">
        <v>2357</v>
      </c>
      <c r="N1220" s="322">
        <v>0.41666666666666702</v>
      </c>
    </row>
    <row r="1221" spans="1:14" ht="19.5" hidden="1" thickBot="1" x14ac:dyDescent="0.3">
      <c r="A1221" s="731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19"/>
        <v>01,24</v>
      </c>
      <c r="L1221" s="82" t="s">
        <v>266</v>
      </c>
      <c r="M1221" s="82">
        <v>16386</v>
      </c>
      <c r="N1221" s="319">
        <v>0.375</v>
      </c>
    </row>
    <row r="1222" spans="1:14" ht="19.5" hidden="1" thickBot="1" x14ac:dyDescent="0.3">
      <c r="A1222" s="731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19"/>
        <v>01,24</v>
      </c>
      <c r="L1222" s="90" t="s">
        <v>28</v>
      </c>
      <c r="M1222" s="90">
        <v>1639</v>
      </c>
      <c r="N1222" s="325">
        <v>0.375</v>
      </c>
    </row>
    <row r="1223" spans="1:14" ht="19.5" hidden="1" thickBot="1" x14ac:dyDescent="0.3">
      <c r="A1223" s="732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19"/>
        <v>01,24</v>
      </c>
      <c r="L1223" s="48" t="s">
        <v>266</v>
      </c>
      <c r="M1223" s="48">
        <v>17712</v>
      </c>
      <c r="N1223" s="315">
        <v>0.41666666666666702</v>
      </c>
    </row>
    <row r="1224" spans="1:14" ht="19.5" hidden="1" thickBot="1" x14ac:dyDescent="0.3">
      <c r="A1224" s="732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19"/>
        <v>01,24</v>
      </c>
      <c r="L1224" s="71" t="s">
        <v>28</v>
      </c>
      <c r="M1224" s="71">
        <v>300</v>
      </c>
      <c r="N1224" s="323">
        <v>0.41666666666666702</v>
      </c>
    </row>
    <row r="1225" spans="1:14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19"/>
        <v>01,24</v>
      </c>
      <c r="L1225" s="40" t="s">
        <v>266</v>
      </c>
      <c r="M1225" s="40">
        <v>18010</v>
      </c>
      <c r="N1225" s="317">
        <v>0.45833333333333298</v>
      </c>
    </row>
    <row r="1226" spans="1:14" ht="19.5" hidden="1" thickBot="1" x14ac:dyDescent="0.3">
      <c r="A1226" s="732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19"/>
        <v>01,24</v>
      </c>
      <c r="L1226" s="48" t="s">
        <v>266</v>
      </c>
      <c r="M1226" s="48">
        <v>9287</v>
      </c>
      <c r="N1226" s="315">
        <v>0.5</v>
      </c>
    </row>
    <row r="1227" spans="1:14" ht="19.5" hidden="1" thickBot="1" x14ac:dyDescent="0.3">
      <c r="A1227" s="732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19"/>
        <v>01,24</v>
      </c>
      <c r="L1227" s="23" t="s">
        <v>28</v>
      </c>
      <c r="M1227" s="23">
        <v>838</v>
      </c>
      <c r="N1227" s="329">
        <v>0.5</v>
      </c>
    </row>
    <row r="1228" spans="1:14" ht="19.5" hidden="1" thickBot="1" x14ac:dyDescent="0.3">
      <c r="A1228" s="732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19"/>
        <v>01,24</v>
      </c>
      <c r="L1228" s="23" t="s">
        <v>266</v>
      </c>
      <c r="M1228" s="23">
        <v>579</v>
      </c>
      <c r="N1228" s="329">
        <v>0.5</v>
      </c>
    </row>
    <row r="1229" spans="1:14" ht="19.5" hidden="1" thickBot="1" x14ac:dyDescent="0.3">
      <c r="A1229" s="732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19"/>
        <v>01,24</v>
      </c>
      <c r="L1229" s="23" t="s">
        <v>266</v>
      </c>
      <c r="M1229" s="23">
        <v>4398</v>
      </c>
      <c r="N1229" s="329">
        <v>0.5</v>
      </c>
    </row>
    <row r="1230" spans="1:14" ht="19.5" hidden="1" thickBot="1" x14ac:dyDescent="0.3">
      <c r="A1230" s="732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19"/>
        <v>01,24</v>
      </c>
      <c r="L1230" s="71" t="s">
        <v>266</v>
      </c>
      <c r="M1230" s="71">
        <v>2827</v>
      </c>
      <c r="N1230" s="323">
        <v>0.5</v>
      </c>
    </row>
    <row r="1231" spans="1:14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19"/>
        <v>01,24</v>
      </c>
      <c r="L1231" s="40" t="s">
        <v>265</v>
      </c>
      <c r="M1231" s="40">
        <v>13239</v>
      </c>
      <c r="N1231" s="317">
        <v>0.33333333333333298</v>
      </c>
    </row>
    <row r="1232" spans="1:14" ht="19.5" hidden="1" thickBot="1" x14ac:dyDescent="0.3">
      <c r="A1232" s="732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19"/>
        <v>01,24</v>
      </c>
      <c r="L1232" s="48" t="s">
        <v>28</v>
      </c>
      <c r="M1232" s="48">
        <v>5006</v>
      </c>
      <c r="N1232" s="315">
        <v>0.375</v>
      </c>
    </row>
    <row r="1233" spans="1:14" ht="19.5" hidden="1" thickBot="1" x14ac:dyDescent="0.3">
      <c r="A1233" s="732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19"/>
        <v>01,24</v>
      </c>
      <c r="L1233" s="71" t="s">
        <v>28</v>
      </c>
      <c r="M1233" s="71">
        <v>12761</v>
      </c>
      <c r="N1233" s="323">
        <v>0.375</v>
      </c>
    </row>
    <row r="1234" spans="1:14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19"/>
        <v>01,24</v>
      </c>
      <c r="L1234" s="40" t="s">
        <v>265</v>
      </c>
      <c r="M1234" s="40">
        <v>17669</v>
      </c>
      <c r="N1234" s="317">
        <v>0.33333333333333298</v>
      </c>
    </row>
    <row r="1235" spans="1:14" ht="19.5" hidden="1" thickBot="1" x14ac:dyDescent="0.3">
      <c r="A1235" s="732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19"/>
        <v>01,24</v>
      </c>
      <c r="L1235" s="48" t="s">
        <v>28</v>
      </c>
      <c r="M1235" s="48">
        <v>6313</v>
      </c>
      <c r="N1235" s="315">
        <v>0.41666666666666702</v>
      </c>
    </row>
    <row r="1236" spans="1:14" ht="19.5" hidden="1" thickBot="1" x14ac:dyDescent="0.3">
      <c r="A1236" s="732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19"/>
        <v>01,24</v>
      </c>
      <c r="L1236" s="71" t="s">
        <v>28</v>
      </c>
      <c r="M1236" s="71">
        <v>11098</v>
      </c>
      <c r="N1236" s="323">
        <v>0.41666666666666702</v>
      </c>
    </row>
    <row r="1237" spans="1:14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19"/>
        <v>01,24</v>
      </c>
      <c r="L1237" s="40" t="s">
        <v>266</v>
      </c>
      <c r="M1237" s="40">
        <v>14400</v>
      </c>
      <c r="N1237" s="317">
        <v>0.5</v>
      </c>
    </row>
    <row r="1238" spans="1:14" ht="19.5" hidden="1" thickBot="1" x14ac:dyDescent="0.3">
      <c r="A1238" s="732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19"/>
        <v>01,24</v>
      </c>
      <c r="L1238" s="48" t="s">
        <v>266</v>
      </c>
      <c r="M1238" s="48">
        <v>15445</v>
      </c>
      <c r="N1238" s="315">
        <v>0.375</v>
      </c>
    </row>
    <row r="1239" spans="1:14" ht="19.5" hidden="1" thickBot="1" x14ac:dyDescent="0.3">
      <c r="A1239" s="732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19"/>
        <v>01,24</v>
      </c>
      <c r="L1239" s="71" t="s">
        <v>28</v>
      </c>
      <c r="M1239" s="71">
        <v>2614</v>
      </c>
      <c r="N1239" s="323">
        <v>0.375</v>
      </c>
    </row>
    <row r="1240" spans="1:14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19"/>
        <v>01,24</v>
      </c>
      <c r="L1240" s="40" t="s">
        <v>28</v>
      </c>
      <c r="M1240" s="40">
        <v>18223</v>
      </c>
      <c r="N1240" s="317">
        <v>0.41666666666666702</v>
      </c>
    </row>
    <row r="1241" spans="1:14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19"/>
        <v>01,24</v>
      </c>
      <c r="L1241" s="75" t="s">
        <v>265</v>
      </c>
      <c r="M1241" s="75">
        <v>17319</v>
      </c>
      <c r="N1241" s="322">
        <v>0.33333333333333298</v>
      </c>
    </row>
    <row r="1242" spans="1:14" ht="19.5" hidden="1" thickBot="1" x14ac:dyDescent="0.3">
      <c r="A1242" s="731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19"/>
        <v>01,24</v>
      </c>
      <c r="L1242" s="82" t="s">
        <v>28</v>
      </c>
      <c r="M1242" s="82">
        <v>1967</v>
      </c>
      <c r="N1242" s="319">
        <v>0.45833333333333298</v>
      </c>
    </row>
    <row r="1243" spans="1:14" ht="19.5" hidden="1" thickBot="1" x14ac:dyDescent="0.3">
      <c r="A1243" s="731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19"/>
        <v>01,24</v>
      </c>
      <c r="L1243" s="90" t="s">
        <v>28</v>
      </c>
      <c r="M1243" s="90">
        <v>15099</v>
      </c>
      <c r="N1243" s="325">
        <v>0.45833333333333298</v>
      </c>
    </row>
    <row r="1244" spans="1:14" ht="19.5" hidden="1" thickBot="1" x14ac:dyDescent="0.3">
      <c r="A1244" s="732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19"/>
        <v>01,24</v>
      </c>
      <c r="L1244" s="48" t="s">
        <v>28</v>
      </c>
      <c r="M1244" s="48">
        <v>7029</v>
      </c>
      <c r="N1244" s="315">
        <v>0.5</v>
      </c>
    </row>
    <row r="1245" spans="1:14" ht="19.5" hidden="1" thickBot="1" x14ac:dyDescent="0.3">
      <c r="A1245" s="732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19"/>
        <v>01,24</v>
      </c>
      <c r="L1245" s="71" t="s">
        <v>28</v>
      </c>
      <c r="M1245" s="71">
        <v>9152</v>
      </c>
      <c r="N1245" s="323">
        <v>0.5</v>
      </c>
    </row>
    <row r="1246" spans="1:14" ht="19.5" hidden="1" thickBot="1" x14ac:dyDescent="0.3">
      <c r="A1246" s="731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19"/>
        <v>01,24</v>
      </c>
      <c r="L1246" s="82" t="s">
        <v>28</v>
      </c>
      <c r="M1246" s="82">
        <v>2715</v>
      </c>
      <c r="N1246" s="319">
        <v>0.54166666666666696</v>
      </c>
    </row>
    <row r="1247" spans="1:14" ht="19.5" hidden="1" thickBot="1" x14ac:dyDescent="0.3">
      <c r="A1247" s="731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19"/>
        <v>01,24</v>
      </c>
      <c r="L1247" s="90" t="s">
        <v>28</v>
      </c>
      <c r="M1247" s="90">
        <v>14420</v>
      </c>
      <c r="N1247" s="325">
        <v>0.54166666666666696</v>
      </c>
    </row>
    <row r="1248" spans="1:14" ht="19.5" hidden="1" thickBot="1" x14ac:dyDescent="0.3">
      <c r="A1248" s="732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19"/>
        <v>01,24</v>
      </c>
      <c r="L1248" s="48" t="s">
        <v>28</v>
      </c>
      <c r="M1248" s="48">
        <v>10366</v>
      </c>
      <c r="N1248" s="315">
        <v>0.58333333333333304</v>
      </c>
    </row>
    <row r="1249" spans="1:14" ht="19.5" hidden="1" thickBot="1" x14ac:dyDescent="0.3">
      <c r="A1249" s="732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19"/>
        <v>01,24</v>
      </c>
      <c r="L1249" s="71" t="s">
        <v>28</v>
      </c>
      <c r="M1249" s="71">
        <v>6761</v>
      </c>
      <c r="N1249" s="323">
        <v>0.58333333333333304</v>
      </c>
    </row>
    <row r="1250" spans="1:14" ht="19.5" hidden="1" customHeight="1" thickBot="1" x14ac:dyDescent="0.3">
      <c r="A1250" s="731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734" t="s">
        <v>72</v>
      </c>
      <c r="H1250" s="82" t="s">
        <v>328</v>
      </c>
      <c r="I1250" s="147" t="s">
        <v>328</v>
      </c>
      <c r="J1250" s="86"/>
      <c r="K1250" s="82" t="str">
        <f t="shared" si="19"/>
        <v>01,24</v>
      </c>
      <c r="L1250" s="82" t="s">
        <v>266</v>
      </c>
      <c r="M1250" s="82">
        <v>8263</v>
      </c>
      <c r="N1250" s="319">
        <v>0.33333333333333298</v>
      </c>
    </row>
    <row r="1251" spans="1:14" ht="19.5" hidden="1" thickBot="1" x14ac:dyDescent="0.3">
      <c r="A1251" s="731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734"/>
      <c r="H1251" s="90" t="s">
        <v>328</v>
      </c>
      <c r="I1251" s="172" t="s">
        <v>329</v>
      </c>
      <c r="J1251" s="173"/>
      <c r="K1251" s="90" t="str">
        <f t="shared" si="19"/>
        <v>01,24</v>
      </c>
      <c r="L1251" s="90" t="s">
        <v>266</v>
      </c>
      <c r="M1251" s="90">
        <v>5926</v>
      </c>
      <c r="N1251" s="325">
        <v>0.41666666666666702</v>
      </c>
    </row>
    <row r="1252" spans="1:14" ht="19.5" hidden="1" thickBot="1" x14ac:dyDescent="0.3">
      <c r="A1252" s="732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19"/>
        <v>01,24</v>
      </c>
      <c r="L1252" s="48" t="s">
        <v>28</v>
      </c>
      <c r="M1252" s="48">
        <v>12443</v>
      </c>
      <c r="N1252" s="315">
        <v>0.45833333333333298</v>
      </c>
    </row>
    <row r="1253" spans="1:14" ht="19.5" hidden="1" thickBot="1" x14ac:dyDescent="0.3">
      <c r="A1253" s="732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19"/>
        <v>01,24</v>
      </c>
      <c r="L1253" s="71" t="s">
        <v>28</v>
      </c>
      <c r="M1253" s="71">
        <v>4641</v>
      </c>
      <c r="N1253" s="323">
        <v>0.45833333333333298</v>
      </c>
    </row>
    <row r="1254" spans="1:14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19"/>
        <v>01,24</v>
      </c>
      <c r="L1254" s="40" t="s">
        <v>266</v>
      </c>
      <c r="M1254" s="40">
        <v>18218</v>
      </c>
      <c r="N1254" s="317">
        <v>0.5</v>
      </c>
    </row>
    <row r="1255" spans="1:14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19"/>
        <v>01,24</v>
      </c>
      <c r="L1255" s="75" t="s">
        <v>266</v>
      </c>
      <c r="M1255" s="75">
        <v>17816</v>
      </c>
      <c r="N1255" s="322">
        <v>0.33333333333333298</v>
      </c>
    </row>
    <row r="1256" spans="1:14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19"/>
        <v>01,24</v>
      </c>
      <c r="L1256" s="40" t="s">
        <v>266</v>
      </c>
      <c r="M1256" s="40">
        <v>17664</v>
      </c>
      <c r="N1256" s="317">
        <v>0.375</v>
      </c>
    </row>
    <row r="1257" spans="1:14" ht="38.25" hidden="1" thickBot="1" x14ac:dyDescent="0.3">
      <c r="A1257" s="732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19"/>
        <v>01,24</v>
      </c>
      <c r="L1257" s="48" t="s">
        <v>266</v>
      </c>
      <c r="M1257" s="48">
        <v>12830</v>
      </c>
      <c r="N1257" s="315">
        <v>0.41666666666666702</v>
      </c>
    </row>
    <row r="1258" spans="1:14" ht="38.25" hidden="1" thickBot="1" x14ac:dyDescent="0.3">
      <c r="A1258" s="732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19"/>
        <v>01,24</v>
      </c>
      <c r="L1258" s="71" t="s">
        <v>28</v>
      </c>
      <c r="M1258" s="71">
        <v>4905</v>
      </c>
      <c r="N1258" s="323">
        <v>0.41666666666666702</v>
      </c>
    </row>
    <row r="1259" spans="1:14" ht="19.5" hidden="1" thickBot="1" x14ac:dyDescent="0.3">
      <c r="A1259" s="731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19"/>
        <v>01,24</v>
      </c>
      <c r="L1259" s="82" t="s">
        <v>28</v>
      </c>
      <c r="M1259" s="82">
        <v>1870</v>
      </c>
      <c r="N1259" s="319">
        <v>0.33333333333333298</v>
      </c>
    </row>
    <row r="1260" spans="1:14" ht="19.5" hidden="1" thickBot="1" x14ac:dyDescent="0.3">
      <c r="A1260" s="731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19"/>
        <v>01,24</v>
      </c>
      <c r="L1260" s="90" t="s">
        <v>28</v>
      </c>
      <c r="M1260" s="90">
        <v>11644</v>
      </c>
      <c r="N1260" s="325">
        <v>0.33333333333333298</v>
      </c>
    </row>
    <row r="1261" spans="1:14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19"/>
        <v>01,24</v>
      </c>
      <c r="L1261" s="75" t="s">
        <v>266</v>
      </c>
      <c r="M1261" s="75">
        <v>4885</v>
      </c>
      <c r="N1261" s="322">
        <v>0.33333333333333298</v>
      </c>
    </row>
    <row r="1262" spans="1:14" ht="19.5" hidden="1" thickBot="1" x14ac:dyDescent="0.3">
      <c r="A1262" s="731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19"/>
        <v>01,24</v>
      </c>
      <c r="L1262" s="82" t="s">
        <v>28</v>
      </c>
      <c r="M1262" s="82">
        <v>4817</v>
      </c>
      <c r="N1262" s="319">
        <v>0.41666666666666702</v>
      </c>
    </row>
    <row r="1263" spans="1:14" ht="19.5" hidden="1" thickBot="1" x14ac:dyDescent="0.3">
      <c r="A1263" s="731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19"/>
        <v>01,24</v>
      </c>
      <c r="L1263" s="90" t="s">
        <v>28</v>
      </c>
      <c r="M1263" s="90">
        <v>8721</v>
      </c>
      <c r="N1263" s="325">
        <v>0.41666666666666702</v>
      </c>
    </row>
    <row r="1264" spans="1:14" ht="19.5" hidden="1" thickBot="1" x14ac:dyDescent="0.3">
      <c r="A1264" s="732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19"/>
        <v>01,24</v>
      </c>
      <c r="L1264" s="48" t="s">
        <v>28</v>
      </c>
      <c r="M1264" s="48">
        <v>6999</v>
      </c>
      <c r="N1264" s="315">
        <v>0.375</v>
      </c>
    </row>
    <row r="1265" spans="1:14" ht="19.5" hidden="1" thickBot="1" x14ac:dyDescent="0.3">
      <c r="A1265" s="732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19"/>
        <v>01,24</v>
      </c>
      <c r="L1265" s="71" t="s">
        <v>28</v>
      </c>
      <c r="M1265" s="71">
        <v>6466</v>
      </c>
      <c r="N1265" s="323">
        <v>0.375</v>
      </c>
    </row>
    <row r="1266" spans="1:14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19"/>
        <v>01,24</v>
      </c>
      <c r="L1266" s="122" t="s">
        <v>266</v>
      </c>
      <c r="M1266" s="122">
        <v>9719</v>
      </c>
      <c r="N1266" s="365">
        <v>0.41666666666666702</v>
      </c>
    </row>
    <row r="1267" spans="1:14" ht="57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19"/>
        <v>01,24</v>
      </c>
      <c r="L1267" s="371" t="s">
        <v>266</v>
      </c>
      <c r="M1267" s="371">
        <v>5880</v>
      </c>
      <c r="N1267" s="375">
        <v>0.41666666666666702</v>
      </c>
    </row>
    <row r="1268" spans="1:14" ht="19.5" hidden="1" thickBot="1" x14ac:dyDescent="0.3">
      <c r="A1268" s="732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19"/>
        <v>01,24</v>
      </c>
      <c r="L1268" s="48" t="s">
        <v>266</v>
      </c>
      <c r="M1268" s="48">
        <v>17580</v>
      </c>
      <c r="N1268" s="315">
        <v>0.5</v>
      </c>
    </row>
    <row r="1269" spans="1:14" ht="19.5" hidden="1" thickBot="1" x14ac:dyDescent="0.3">
      <c r="A1269" s="732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19"/>
        <v>01,24</v>
      </c>
      <c r="L1269" s="71" t="s">
        <v>28</v>
      </c>
      <c r="M1269" s="71">
        <v>334</v>
      </c>
      <c r="N1269" s="323">
        <v>0.5</v>
      </c>
    </row>
    <row r="1270" spans="1:14" ht="19.5" hidden="1" thickBot="1" x14ac:dyDescent="0.3">
      <c r="A1270" s="731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19"/>
        <v>01,24</v>
      </c>
      <c r="L1270" s="82" t="s">
        <v>266</v>
      </c>
      <c r="M1270" s="82">
        <v>17546</v>
      </c>
      <c r="N1270" s="319">
        <v>0.375</v>
      </c>
    </row>
    <row r="1271" spans="1:14" ht="19.5" hidden="1" thickBot="1" x14ac:dyDescent="0.3">
      <c r="A1271" s="731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19"/>
        <v>01,24</v>
      </c>
      <c r="L1271" s="90" t="s">
        <v>28</v>
      </c>
      <c r="M1271" s="90">
        <v>473</v>
      </c>
      <c r="N1271" s="325">
        <v>0.375</v>
      </c>
    </row>
    <row r="1272" spans="1:14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19"/>
        <v>01,24</v>
      </c>
      <c r="L1272" s="75" t="s">
        <v>266</v>
      </c>
      <c r="M1272" s="75">
        <v>18034</v>
      </c>
      <c r="N1272" s="322">
        <v>0.41666666666666702</v>
      </c>
    </row>
    <row r="1273" spans="1:14" ht="19.5" hidden="1" thickBot="1" x14ac:dyDescent="0.3">
      <c r="A1273" s="731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19"/>
        <v>01,24</v>
      </c>
      <c r="L1273" s="82" t="s">
        <v>266</v>
      </c>
      <c r="M1273" s="82">
        <v>3806</v>
      </c>
      <c r="N1273" s="319">
        <v>0.45833333333333298</v>
      </c>
    </row>
    <row r="1274" spans="1:14" ht="19.5" hidden="1" thickBot="1" x14ac:dyDescent="0.3">
      <c r="A1274" s="731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19"/>
        <v>01,24</v>
      </c>
      <c r="L1274" s="98" t="s">
        <v>266</v>
      </c>
      <c r="M1274" s="98">
        <v>5152</v>
      </c>
      <c r="N1274" s="364">
        <v>0.45833333333333298</v>
      </c>
    </row>
    <row r="1275" spans="1:14" ht="19.5" hidden="1" thickBot="1" x14ac:dyDescent="0.3">
      <c r="A1275" s="731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19"/>
        <v>01,24</v>
      </c>
      <c r="L1275" s="98" t="s">
        <v>266</v>
      </c>
      <c r="M1275" s="98">
        <v>527</v>
      </c>
      <c r="N1275" s="364">
        <v>0.45833333333333298</v>
      </c>
    </row>
    <row r="1276" spans="1:14" ht="19.5" hidden="1" thickBot="1" x14ac:dyDescent="0.3">
      <c r="A1276" s="731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19"/>
        <v>01,24</v>
      </c>
      <c r="L1276" s="98" t="s">
        <v>266</v>
      </c>
      <c r="M1276" s="98">
        <v>3713</v>
      </c>
      <c r="N1276" s="364">
        <v>0.45833333333333298</v>
      </c>
    </row>
    <row r="1277" spans="1:14" ht="19.5" hidden="1" thickBot="1" x14ac:dyDescent="0.3">
      <c r="A1277" s="731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19"/>
        <v>01,24</v>
      </c>
      <c r="L1277" s="98" t="s">
        <v>266</v>
      </c>
      <c r="M1277" s="98">
        <v>2423</v>
      </c>
      <c r="N1277" s="364">
        <v>0.45833333333333298</v>
      </c>
    </row>
    <row r="1278" spans="1:14" ht="19.5" hidden="1" thickBot="1" x14ac:dyDescent="0.3">
      <c r="A1278" s="731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19"/>
        <v>01,24</v>
      </c>
      <c r="L1278" s="90" t="s">
        <v>266</v>
      </c>
      <c r="M1278" s="90">
        <v>2036</v>
      </c>
      <c r="N1278" s="325">
        <v>0.45833333333333298</v>
      </c>
    </row>
    <row r="1279" spans="1:14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19"/>
        <v>01,24</v>
      </c>
      <c r="L1279" s="75" t="s">
        <v>266</v>
      </c>
      <c r="M1279" s="75">
        <v>13877</v>
      </c>
      <c r="N1279" s="322">
        <v>0.33333333333333298</v>
      </c>
    </row>
    <row r="1280" spans="1:14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19"/>
        <v>01,24</v>
      </c>
      <c r="L1280" s="40" t="s">
        <v>266</v>
      </c>
      <c r="M1280" s="40">
        <v>17630</v>
      </c>
      <c r="N1280" s="317">
        <v>0.33333333333333298</v>
      </c>
    </row>
    <row r="1281" spans="1:14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19"/>
        <v>01,24</v>
      </c>
      <c r="L1281" s="75" t="s">
        <v>28</v>
      </c>
      <c r="M1281" s="75">
        <v>17158</v>
      </c>
      <c r="N1281" s="322">
        <v>0.375</v>
      </c>
    </row>
    <row r="1282" spans="1:14" ht="19.5" hidden="1" thickBot="1" x14ac:dyDescent="0.3">
      <c r="A1282" s="731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19"/>
        <v>01,24</v>
      </c>
      <c r="L1282" s="82" t="s">
        <v>28</v>
      </c>
      <c r="M1282" s="82">
        <v>9308</v>
      </c>
      <c r="N1282" s="319">
        <v>0.41666666666666702</v>
      </c>
    </row>
    <row r="1283" spans="1:14" ht="19.5" hidden="1" thickBot="1" x14ac:dyDescent="0.3">
      <c r="A1283" s="731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0">RIGHT(H1283,5)</f>
        <v>01,24</v>
      </c>
      <c r="L1283" s="90" t="s">
        <v>28</v>
      </c>
      <c r="M1283" s="90">
        <v>8141</v>
      </c>
      <c r="N1283" s="325">
        <v>0.41666666666666702</v>
      </c>
    </row>
    <row r="1284" spans="1:14" ht="19.5" hidden="1" thickBot="1" x14ac:dyDescent="0.3">
      <c r="A1284" s="732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0"/>
        <v>01,24</v>
      </c>
      <c r="L1284" s="48" t="s">
        <v>28</v>
      </c>
      <c r="M1284" s="48">
        <v>11402</v>
      </c>
      <c r="N1284" s="315">
        <v>0.45833333333333298</v>
      </c>
    </row>
    <row r="1285" spans="1:14" ht="19.5" hidden="1" thickBot="1" x14ac:dyDescent="0.3">
      <c r="A1285" s="732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0"/>
        <v>01,24</v>
      </c>
      <c r="L1285" s="71" t="s">
        <v>28</v>
      </c>
      <c r="M1285" s="71">
        <v>5877</v>
      </c>
      <c r="N1285" s="323">
        <v>0.45833333333333298</v>
      </c>
    </row>
    <row r="1286" spans="1:14" ht="19.5" hidden="1" thickBot="1" x14ac:dyDescent="0.3">
      <c r="A1286" s="731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0"/>
        <v>01,24</v>
      </c>
      <c r="L1286" s="82" t="s">
        <v>266</v>
      </c>
      <c r="M1286" s="82">
        <v>14940</v>
      </c>
      <c r="N1286" s="319">
        <v>0.33333333333333298</v>
      </c>
    </row>
    <row r="1287" spans="1:14" ht="19.5" hidden="1" thickBot="1" x14ac:dyDescent="0.3">
      <c r="A1287" s="731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0"/>
        <v>01,24</v>
      </c>
      <c r="L1287" s="90" t="s">
        <v>266</v>
      </c>
      <c r="M1287" s="90">
        <v>2830</v>
      </c>
      <c r="N1287" s="325">
        <v>0.33333333333333298</v>
      </c>
    </row>
    <row r="1288" spans="1:14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0"/>
        <v>01,24</v>
      </c>
      <c r="L1288" s="75" t="s">
        <v>28</v>
      </c>
      <c r="M1288" s="75">
        <v>18258</v>
      </c>
      <c r="N1288" s="322">
        <v>0.375</v>
      </c>
    </row>
    <row r="1289" spans="1:14" ht="19.5" hidden="1" thickBot="1" x14ac:dyDescent="0.3">
      <c r="A1289" s="731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0"/>
        <v>01,24</v>
      </c>
      <c r="L1289" s="82" t="s">
        <v>28</v>
      </c>
      <c r="M1289" s="82">
        <v>1006</v>
      </c>
      <c r="N1289" s="319">
        <v>0.41666666666666702</v>
      </c>
    </row>
    <row r="1290" spans="1:14" ht="19.5" hidden="1" thickBot="1" x14ac:dyDescent="0.3">
      <c r="A1290" s="731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0"/>
        <v>01,24</v>
      </c>
      <c r="L1290" s="90" t="s">
        <v>28</v>
      </c>
      <c r="M1290" s="90">
        <v>16470</v>
      </c>
      <c r="N1290" s="325">
        <v>0.41666666666666702</v>
      </c>
    </row>
    <row r="1291" spans="1:14" ht="18.75" hidden="1" customHeight="1" thickBot="1" x14ac:dyDescent="0.3">
      <c r="A1291" s="732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737" t="s">
        <v>72</v>
      </c>
      <c r="H1291" s="48" t="s">
        <v>336</v>
      </c>
      <c r="I1291" s="163" t="s">
        <v>336</v>
      </c>
      <c r="J1291" s="52"/>
      <c r="K1291" s="48" t="str">
        <f t="shared" si="20"/>
        <v>01,24</v>
      </c>
      <c r="L1291" s="48" t="s">
        <v>266</v>
      </c>
      <c r="M1291" s="48">
        <v>4016</v>
      </c>
      <c r="N1291" s="315">
        <v>0.33333333333333298</v>
      </c>
    </row>
    <row r="1292" spans="1:14" ht="19.5" hidden="1" thickBot="1" x14ac:dyDescent="0.3">
      <c r="A1292" s="732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737"/>
      <c r="H1292" s="71" t="s">
        <v>336</v>
      </c>
      <c r="I1292" s="167" t="s">
        <v>337</v>
      </c>
      <c r="J1292" s="168"/>
      <c r="K1292" s="71" t="str">
        <f t="shared" si="20"/>
        <v>01,24</v>
      </c>
      <c r="L1292" s="71" t="s">
        <v>266</v>
      </c>
      <c r="M1292" s="71">
        <v>11653</v>
      </c>
      <c r="N1292" s="323">
        <v>0.41666666666666702</v>
      </c>
    </row>
    <row r="1293" spans="1:14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0"/>
        <v>01,24</v>
      </c>
      <c r="L1293" s="40" t="s">
        <v>266</v>
      </c>
      <c r="M1293" s="40">
        <v>13951</v>
      </c>
      <c r="N1293" s="317">
        <v>0.33333333333333298</v>
      </c>
    </row>
    <row r="1294" spans="1:14" ht="19.5" hidden="1" thickBot="1" x14ac:dyDescent="0.3">
      <c r="A1294" s="732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0"/>
        <v>01,24</v>
      </c>
      <c r="L1294" s="48" t="s">
        <v>28</v>
      </c>
      <c r="M1294" s="48">
        <v>5977</v>
      </c>
      <c r="N1294" s="315">
        <v>0.45833333333333298</v>
      </c>
    </row>
    <row r="1295" spans="1:14" ht="19.5" hidden="1" thickBot="1" x14ac:dyDescent="0.3">
      <c r="A1295" s="732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0"/>
        <v>01,24</v>
      </c>
      <c r="L1295" s="71" t="s">
        <v>28</v>
      </c>
      <c r="M1295" s="71">
        <v>11157</v>
      </c>
      <c r="N1295" s="323">
        <v>0.45833333333333298</v>
      </c>
    </row>
    <row r="1296" spans="1:14" ht="19.5" hidden="1" thickBot="1" x14ac:dyDescent="0.3">
      <c r="A1296" s="731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0"/>
        <v>01,24</v>
      </c>
      <c r="L1296" s="82" t="s">
        <v>28</v>
      </c>
      <c r="M1296" s="82">
        <v>1500</v>
      </c>
      <c r="N1296" s="319">
        <v>0.5</v>
      </c>
    </row>
    <row r="1297" spans="1:14" ht="19.5" hidden="1" thickBot="1" x14ac:dyDescent="0.3">
      <c r="A1297" s="731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0"/>
        <v>01,24</v>
      </c>
      <c r="L1297" s="98" t="s">
        <v>28</v>
      </c>
      <c r="M1297" s="98">
        <v>9530</v>
      </c>
      <c r="N1297" s="364">
        <v>0.5</v>
      </c>
    </row>
    <row r="1298" spans="1:14" ht="19.5" hidden="1" thickBot="1" x14ac:dyDescent="0.3">
      <c r="A1298" s="731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0"/>
        <v>01,24</v>
      </c>
      <c r="L1298" s="90" t="s">
        <v>28</v>
      </c>
      <c r="M1298" s="90">
        <v>6361</v>
      </c>
      <c r="N1298" s="325">
        <v>0.5</v>
      </c>
    </row>
    <row r="1299" spans="1:14" ht="19.5" hidden="1" thickBot="1" x14ac:dyDescent="0.3">
      <c r="A1299" s="732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0"/>
        <v>01,24</v>
      </c>
      <c r="L1299" s="48" t="s">
        <v>28</v>
      </c>
      <c r="M1299" s="48">
        <v>9.6999999999999993</v>
      </c>
      <c r="N1299" s="315">
        <v>0.54166666666666696</v>
      </c>
    </row>
    <row r="1300" spans="1:14" ht="19.5" hidden="1" thickBot="1" x14ac:dyDescent="0.3">
      <c r="A1300" s="732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0"/>
        <v>01,24</v>
      </c>
      <c r="L1300" s="71" t="s">
        <v>28</v>
      </c>
      <c r="M1300" s="71">
        <v>8006</v>
      </c>
      <c r="N1300" s="323">
        <v>0.54166666666666696</v>
      </c>
    </row>
    <row r="1301" spans="1:14" ht="38.25" hidden="1" thickBot="1" x14ac:dyDescent="0.3">
      <c r="A1301" s="731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0"/>
        <v>01,24</v>
      </c>
      <c r="L1301" s="82" t="s">
        <v>266</v>
      </c>
      <c r="M1301" s="82">
        <v>12262</v>
      </c>
      <c r="N1301" s="319">
        <v>0.58333333333333304</v>
      </c>
    </row>
    <row r="1302" spans="1:14" ht="38.25" hidden="1" thickBot="1" x14ac:dyDescent="0.3">
      <c r="A1302" s="731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0"/>
        <v>01,24</v>
      </c>
      <c r="L1302" s="90" t="s">
        <v>28</v>
      </c>
      <c r="M1302" s="90">
        <v>5406</v>
      </c>
      <c r="N1302" s="325">
        <v>0.58333333333333304</v>
      </c>
    </row>
    <row r="1303" spans="1:14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0"/>
        <v>01,24</v>
      </c>
      <c r="L1303" s="75" t="s">
        <v>266</v>
      </c>
      <c r="M1303" s="75">
        <v>17631</v>
      </c>
      <c r="N1303" s="322">
        <v>0.33333333333333298</v>
      </c>
    </row>
    <row r="1304" spans="1:14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0"/>
        <v>01,24</v>
      </c>
      <c r="L1304" s="40" t="s">
        <v>266</v>
      </c>
      <c r="M1304" s="40">
        <v>17851</v>
      </c>
      <c r="N1304" s="317">
        <v>0.375</v>
      </c>
    </row>
    <row r="1305" spans="1:14" ht="38.25" hidden="1" thickBot="1" x14ac:dyDescent="0.3">
      <c r="A1305" s="732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0"/>
        <v>01,24</v>
      </c>
      <c r="L1305" s="48" t="s">
        <v>266</v>
      </c>
      <c r="M1305" s="48">
        <v>14487</v>
      </c>
      <c r="N1305" s="315">
        <v>0.41666666666666702</v>
      </c>
    </row>
    <row r="1306" spans="1:14" ht="38.25" hidden="1" thickBot="1" x14ac:dyDescent="0.3">
      <c r="A1306" s="732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0"/>
        <v>01,24</v>
      </c>
      <c r="L1306" s="71" t="s">
        <v>28</v>
      </c>
      <c r="M1306" s="71">
        <v>3455</v>
      </c>
      <c r="N1306" s="323">
        <v>0.41666666666666702</v>
      </c>
    </row>
    <row r="1307" spans="1:14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0"/>
        <v>01,24</v>
      </c>
      <c r="L1307" s="40" t="s">
        <v>266</v>
      </c>
      <c r="M1307" s="40">
        <v>17782</v>
      </c>
      <c r="N1307" s="317">
        <v>0.33333333333333298</v>
      </c>
    </row>
    <row r="1308" spans="1:14" ht="19.5" hidden="1" thickBot="1" x14ac:dyDescent="0.3">
      <c r="A1308" s="732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0"/>
        <v>01,24</v>
      </c>
      <c r="L1308" s="48" t="s">
        <v>28</v>
      </c>
      <c r="M1308" s="48">
        <v>7324</v>
      </c>
      <c r="N1308" s="315">
        <v>0.375</v>
      </c>
    </row>
    <row r="1309" spans="1:14" ht="19.5" hidden="1" thickBot="1" x14ac:dyDescent="0.3">
      <c r="A1309" s="732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0"/>
        <v>01,24</v>
      </c>
      <c r="L1309" s="71" t="s">
        <v>28</v>
      </c>
      <c r="M1309" s="71">
        <v>4783</v>
      </c>
      <c r="N1309" s="323">
        <v>0.375</v>
      </c>
    </row>
    <row r="1310" spans="1:14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0"/>
        <v>01,24</v>
      </c>
      <c r="L1310" s="40" t="s">
        <v>28</v>
      </c>
      <c r="M1310" s="40">
        <v>12967</v>
      </c>
      <c r="N1310" s="317">
        <v>0.41666666666666702</v>
      </c>
    </row>
    <row r="1311" spans="1:14" ht="19.5" hidden="1" thickBot="1" x14ac:dyDescent="0.3">
      <c r="A1311" s="732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0"/>
        <v>01,24</v>
      </c>
      <c r="L1311" s="48" t="s">
        <v>28</v>
      </c>
      <c r="M1311" s="48">
        <v>5784</v>
      </c>
      <c r="N1311" s="315">
        <v>0.45833333333333298</v>
      </c>
    </row>
    <row r="1312" spans="1:14" ht="19.5" hidden="1" thickBot="1" x14ac:dyDescent="0.3">
      <c r="A1312" s="732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0"/>
        <v>01,24</v>
      </c>
      <c r="L1312" s="71" t="s">
        <v>28</v>
      </c>
      <c r="M1312" s="71">
        <v>7204</v>
      </c>
      <c r="N1312" s="323">
        <v>0.45833333333333298</v>
      </c>
    </row>
    <row r="1313" spans="1:14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0"/>
        <v>01,24</v>
      </c>
      <c r="L1313" s="40" t="s">
        <v>266</v>
      </c>
      <c r="M1313" s="40">
        <v>1541</v>
      </c>
      <c r="N1313" s="317">
        <v>0.91666666666666696</v>
      </c>
    </row>
    <row r="1314" spans="1:14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0"/>
        <v>02,24</v>
      </c>
      <c r="L1314" s="75" t="s">
        <v>266</v>
      </c>
      <c r="M1314" s="75">
        <v>17957</v>
      </c>
      <c r="N1314" s="322">
        <v>0.375</v>
      </c>
    </row>
    <row r="1315" spans="1:14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0"/>
        <v>02,24</v>
      </c>
      <c r="L1315" s="40" t="s">
        <v>266</v>
      </c>
      <c r="M1315" s="40">
        <v>17893</v>
      </c>
      <c r="N1315" s="317">
        <v>0.41666666666666702</v>
      </c>
    </row>
    <row r="1316" spans="1:14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0"/>
        <v>02,24</v>
      </c>
      <c r="L1316" s="75" t="s">
        <v>266</v>
      </c>
      <c r="M1316" s="75">
        <v>18129</v>
      </c>
      <c r="N1316" s="322">
        <v>0.45833333333333298</v>
      </c>
    </row>
    <row r="1317" spans="1:14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0"/>
        <v>02,24</v>
      </c>
      <c r="L1317" s="40" t="s">
        <v>266</v>
      </c>
      <c r="M1317" s="40">
        <v>17708</v>
      </c>
      <c r="N1317" s="317">
        <v>0.5</v>
      </c>
    </row>
    <row r="1318" spans="1:14" ht="19.5" hidden="1" thickBot="1" x14ac:dyDescent="0.3">
      <c r="A1318" s="732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0"/>
        <v>02,24</v>
      </c>
      <c r="L1318" s="48" t="s">
        <v>266</v>
      </c>
      <c r="M1318" s="48">
        <v>503</v>
      </c>
      <c r="N1318" s="315">
        <v>0.54166666666666696</v>
      </c>
    </row>
    <row r="1319" spans="1:14" ht="19.5" hidden="1" thickBot="1" x14ac:dyDescent="0.3">
      <c r="A1319" s="732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0"/>
        <v>02,24</v>
      </c>
      <c r="L1319" s="23" t="s">
        <v>266</v>
      </c>
      <c r="M1319" s="23">
        <v>2536</v>
      </c>
      <c r="N1319" s="329">
        <v>0.54166666666666696</v>
      </c>
    </row>
    <row r="1320" spans="1:14" ht="19.5" hidden="1" thickBot="1" x14ac:dyDescent="0.3">
      <c r="A1320" s="732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0"/>
        <v>02,24</v>
      </c>
      <c r="L1320" s="23" t="s">
        <v>266</v>
      </c>
      <c r="M1320" s="23">
        <v>3411</v>
      </c>
      <c r="N1320" s="329">
        <v>0.54166666666666696</v>
      </c>
    </row>
    <row r="1321" spans="1:14" ht="19.5" hidden="1" thickBot="1" x14ac:dyDescent="0.3">
      <c r="A1321" s="732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0"/>
        <v>02,24</v>
      </c>
      <c r="L1321" s="23" t="s">
        <v>266</v>
      </c>
      <c r="M1321" s="23">
        <v>6005</v>
      </c>
      <c r="N1321" s="329">
        <v>0.54166666666666696</v>
      </c>
    </row>
    <row r="1322" spans="1:14" ht="19.5" hidden="1" thickBot="1" x14ac:dyDescent="0.3">
      <c r="A1322" s="732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0"/>
        <v>02,24</v>
      </c>
      <c r="L1322" s="71" t="s">
        <v>266</v>
      </c>
      <c r="M1322" s="71">
        <v>3560</v>
      </c>
      <c r="N1322" s="323">
        <v>0.54166666666666696</v>
      </c>
    </row>
    <row r="1323" spans="1:14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0"/>
        <v>02,24</v>
      </c>
      <c r="L1323" s="40" t="s">
        <v>265</v>
      </c>
      <c r="M1323" s="40">
        <v>13155</v>
      </c>
      <c r="N1323" s="317">
        <v>0.33333333333333298</v>
      </c>
    </row>
    <row r="1324" spans="1:14" ht="19.5" hidden="1" thickBot="1" x14ac:dyDescent="0.3">
      <c r="A1324" s="732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0"/>
        <v>02,24</v>
      </c>
      <c r="L1324" s="48" t="s">
        <v>266</v>
      </c>
      <c r="M1324" s="48">
        <v>5213</v>
      </c>
      <c r="N1324" s="315">
        <v>0.375</v>
      </c>
    </row>
    <row r="1325" spans="1:14" ht="19.5" hidden="1" thickBot="1" x14ac:dyDescent="0.3">
      <c r="A1325" s="732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0"/>
        <v>02,24</v>
      </c>
      <c r="L1325" s="71" t="s">
        <v>266</v>
      </c>
      <c r="M1325" s="71">
        <v>2605</v>
      </c>
      <c r="N1325" s="323">
        <v>0.375</v>
      </c>
    </row>
    <row r="1326" spans="1:14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0"/>
        <v>02,24</v>
      </c>
      <c r="L1326" s="40" t="s">
        <v>265</v>
      </c>
      <c r="M1326" s="40">
        <v>17507</v>
      </c>
      <c r="N1326" s="317">
        <v>0.33333333333333298</v>
      </c>
    </row>
    <row r="1327" spans="1:14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0"/>
        <v>02,24</v>
      </c>
      <c r="L1327" s="75" t="s">
        <v>28</v>
      </c>
      <c r="M1327" s="75">
        <v>17091</v>
      </c>
      <c r="N1327" s="322">
        <v>0.41666666666666702</v>
      </c>
    </row>
    <row r="1328" spans="1:14" ht="19.5" hidden="1" thickBot="1" x14ac:dyDescent="0.3">
      <c r="A1328" s="731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0"/>
        <v>02,24</v>
      </c>
      <c r="L1328" s="82" t="s">
        <v>28</v>
      </c>
      <c r="M1328" s="82">
        <v>4920</v>
      </c>
      <c r="N1328" s="319">
        <v>0.45833333333333298</v>
      </c>
    </row>
    <row r="1329" spans="1:14" ht="19.5" hidden="1" thickBot="1" x14ac:dyDescent="0.3">
      <c r="A1329" s="731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0"/>
        <v>02,24</v>
      </c>
      <c r="L1329" s="90" t="s">
        <v>28</v>
      </c>
      <c r="M1329" s="90">
        <v>12464</v>
      </c>
      <c r="N1329" s="325">
        <v>0.45833333333333298</v>
      </c>
    </row>
    <row r="1330" spans="1:14" ht="19.5" hidden="1" thickBot="1" x14ac:dyDescent="0.3">
      <c r="A1330" s="732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0"/>
        <v>02,24</v>
      </c>
      <c r="L1330" s="48" t="s">
        <v>28</v>
      </c>
      <c r="M1330" s="48">
        <v>9410</v>
      </c>
      <c r="N1330" s="315">
        <v>0.5</v>
      </c>
    </row>
    <row r="1331" spans="1:14" ht="19.5" hidden="1" thickBot="1" x14ac:dyDescent="0.3">
      <c r="A1331" s="732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0"/>
        <v>02,24</v>
      </c>
      <c r="L1331" s="71" t="s">
        <v>28</v>
      </c>
      <c r="M1331" s="71">
        <v>7944</v>
      </c>
      <c r="N1331" s="323">
        <v>0.5</v>
      </c>
    </row>
    <row r="1332" spans="1:14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0"/>
        <v>02,24</v>
      </c>
      <c r="L1332" s="40" t="s">
        <v>28</v>
      </c>
      <c r="M1332" s="40">
        <v>17217</v>
      </c>
      <c r="N1332" s="317">
        <v>0.54166666666666696</v>
      </c>
    </row>
    <row r="1333" spans="1:14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0"/>
        <v>02,24</v>
      </c>
      <c r="L1333" s="75" t="s">
        <v>28</v>
      </c>
      <c r="M1333" s="75">
        <v>17404</v>
      </c>
      <c r="N1333" s="322">
        <v>0.58333333333333304</v>
      </c>
    </row>
    <row r="1334" spans="1:14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0"/>
        <v>02,24</v>
      </c>
      <c r="L1334" s="376" t="s">
        <v>265</v>
      </c>
      <c r="M1334" s="40">
        <v>17559</v>
      </c>
      <c r="N1334" s="317">
        <v>0.33333333333333298</v>
      </c>
    </row>
    <row r="1335" spans="1:14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0"/>
        <v>02,24</v>
      </c>
      <c r="L1335" s="75" t="s">
        <v>266</v>
      </c>
      <c r="M1335" s="75">
        <v>17875</v>
      </c>
      <c r="N1335" s="322">
        <v>0.375</v>
      </c>
    </row>
    <row r="1336" spans="1:14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0"/>
        <v>02,24</v>
      </c>
      <c r="L1336" s="40" t="s">
        <v>266</v>
      </c>
      <c r="M1336" s="40">
        <v>17813</v>
      </c>
      <c r="N1336" s="317">
        <v>0.41666666666666702</v>
      </c>
    </row>
    <row r="1337" spans="1:14" ht="18.75" hidden="1" customHeight="1" thickBot="1" x14ac:dyDescent="0.3">
      <c r="A1337" s="732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747" t="s">
        <v>72</v>
      </c>
      <c r="H1337" s="48" t="s">
        <v>343</v>
      </c>
      <c r="I1337" s="163" t="s">
        <v>343</v>
      </c>
      <c r="J1337" s="52"/>
      <c r="K1337" s="48" t="str">
        <f t="shared" si="20"/>
        <v>02,24</v>
      </c>
      <c r="L1337" s="48" t="s">
        <v>265</v>
      </c>
      <c r="M1337" s="48">
        <v>5442</v>
      </c>
      <c r="N1337" s="315">
        <v>0.33333333333333298</v>
      </c>
    </row>
    <row r="1338" spans="1:14" ht="19.5" hidden="1" thickBot="1" x14ac:dyDescent="0.3">
      <c r="A1338" s="732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747"/>
      <c r="H1338" s="71" t="s">
        <v>343</v>
      </c>
      <c r="I1338" s="167" t="s">
        <v>343</v>
      </c>
      <c r="J1338" s="168"/>
      <c r="K1338" s="71" t="str">
        <f t="shared" si="20"/>
        <v>02,24</v>
      </c>
      <c r="L1338" s="71" t="s">
        <v>265</v>
      </c>
      <c r="M1338" s="71">
        <v>8897</v>
      </c>
      <c r="N1338" s="323">
        <v>0.41666666666666702</v>
      </c>
    </row>
    <row r="1339" spans="1:14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0"/>
        <v>02,24</v>
      </c>
      <c r="L1339" s="40" t="s">
        <v>266</v>
      </c>
      <c r="M1339" s="40">
        <v>17772</v>
      </c>
      <c r="N1339" s="317">
        <v>0.45833333333333298</v>
      </c>
    </row>
    <row r="1340" spans="1:14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0"/>
        <v>02,24</v>
      </c>
      <c r="L1340" s="75" t="s">
        <v>28</v>
      </c>
      <c r="M1340" s="75">
        <v>13238</v>
      </c>
      <c r="N1340" s="322">
        <v>0.375</v>
      </c>
    </row>
    <row r="1341" spans="1:14" ht="19.5" hidden="1" thickBot="1" x14ac:dyDescent="0.3">
      <c r="A1341" s="731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0"/>
        <v>02,24</v>
      </c>
      <c r="L1341" s="82" t="s">
        <v>28</v>
      </c>
      <c r="M1341" s="82">
        <v>3208</v>
      </c>
      <c r="N1341" s="319">
        <v>0.5</v>
      </c>
    </row>
    <row r="1342" spans="1:14" ht="19.5" hidden="1" thickBot="1" x14ac:dyDescent="0.3">
      <c r="A1342" s="731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0"/>
        <v>02,24</v>
      </c>
      <c r="L1342" s="98" t="s">
        <v>28</v>
      </c>
      <c r="M1342" s="98">
        <v>7987</v>
      </c>
      <c r="N1342" s="364">
        <v>0.5</v>
      </c>
    </row>
    <row r="1343" spans="1:14" ht="19.5" hidden="1" thickBot="1" x14ac:dyDescent="0.3">
      <c r="A1343" s="731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0"/>
        <v>02,24</v>
      </c>
      <c r="L1343" s="90" t="s">
        <v>28</v>
      </c>
      <c r="M1343" s="90">
        <v>6289</v>
      </c>
      <c r="N1343" s="325">
        <v>0.5</v>
      </c>
    </row>
    <row r="1344" spans="1:14" ht="19.5" hidden="1" thickBot="1" x14ac:dyDescent="0.3">
      <c r="A1344" s="732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0"/>
        <v>02,24</v>
      </c>
      <c r="L1344" s="48" t="s">
        <v>28</v>
      </c>
      <c r="M1344" s="48">
        <v>3222</v>
      </c>
      <c r="N1344" s="315">
        <v>0.54166666666666696</v>
      </c>
    </row>
    <row r="1345" spans="1:14" ht="19.5" hidden="1" thickBot="1" x14ac:dyDescent="0.3">
      <c r="A1345" s="732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0"/>
        <v>02,24</v>
      </c>
      <c r="L1345" s="23" t="s">
        <v>28</v>
      </c>
      <c r="M1345" s="23">
        <v>8364</v>
      </c>
      <c r="N1345" s="329">
        <v>0.54166666666666696</v>
      </c>
    </row>
    <row r="1346" spans="1:14" ht="19.5" hidden="1" thickBot="1" x14ac:dyDescent="0.3">
      <c r="A1346" s="732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0"/>
        <v>02,24</v>
      </c>
      <c r="L1346" s="71" t="s">
        <v>28</v>
      </c>
      <c r="M1346" s="71">
        <v>6059</v>
      </c>
      <c r="N1346" s="323">
        <v>0.54166666666666696</v>
      </c>
    </row>
    <row r="1347" spans="1:14" ht="19.5" hidden="1" thickBot="1" x14ac:dyDescent="0.3">
      <c r="A1347" s="731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1">RIGHT(H1347,5)</f>
        <v>02,24</v>
      </c>
      <c r="L1347" s="82" t="s">
        <v>265</v>
      </c>
      <c r="M1347" s="82">
        <v>12877</v>
      </c>
      <c r="N1347" s="319">
        <v>0.33333333333333298</v>
      </c>
    </row>
    <row r="1348" spans="1:14" ht="19.5" hidden="1" thickBot="1" x14ac:dyDescent="0.3">
      <c r="A1348" s="731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1"/>
        <v>02,24</v>
      </c>
      <c r="L1348" s="90" t="s">
        <v>265</v>
      </c>
      <c r="M1348" s="90">
        <v>3500</v>
      </c>
      <c r="N1348" s="325">
        <v>0.33333333333333298</v>
      </c>
    </row>
    <row r="1349" spans="1:14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1"/>
        <v>02,24</v>
      </c>
      <c r="L1349" s="75" t="s">
        <v>265</v>
      </c>
      <c r="M1349" s="75">
        <v>17641</v>
      </c>
      <c r="N1349" s="322">
        <v>0.375</v>
      </c>
    </row>
    <row r="1350" spans="1:14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1"/>
        <v>02,24</v>
      </c>
      <c r="L1350" s="40" t="s">
        <v>265</v>
      </c>
      <c r="M1350" s="40">
        <v>8051</v>
      </c>
      <c r="N1350" s="317">
        <v>0.33333333333333298</v>
      </c>
    </row>
    <row r="1351" spans="1:14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1"/>
        <v>02,24</v>
      </c>
      <c r="L1351" s="75" t="s">
        <v>28</v>
      </c>
      <c r="M1351" s="75">
        <v>12567</v>
      </c>
      <c r="N1351" s="322">
        <v>0.33333333333333298</v>
      </c>
    </row>
    <row r="1352" spans="1:14" ht="19.5" hidden="1" thickBot="1" x14ac:dyDescent="0.3">
      <c r="A1352" s="731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1"/>
        <v>02,24</v>
      </c>
      <c r="L1352" s="82" t="s">
        <v>28</v>
      </c>
      <c r="M1352" s="82">
        <v>3565</v>
      </c>
      <c r="N1352" s="319">
        <v>0.375</v>
      </c>
    </row>
    <row r="1353" spans="1:14" ht="19.5" hidden="1" thickBot="1" x14ac:dyDescent="0.3">
      <c r="A1353" s="731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1"/>
        <v>02,24</v>
      </c>
      <c r="L1353" s="90" t="s">
        <v>28</v>
      </c>
      <c r="M1353" s="90">
        <v>9295</v>
      </c>
      <c r="N1353" s="325">
        <v>0.375</v>
      </c>
    </row>
    <row r="1354" spans="1:14" ht="19.5" hidden="1" thickBot="1" x14ac:dyDescent="0.3">
      <c r="A1354" s="732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1"/>
        <v>02,24</v>
      </c>
      <c r="L1354" s="48" t="s">
        <v>28</v>
      </c>
      <c r="M1354" s="48">
        <v>10194</v>
      </c>
      <c r="N1354" s="315">
        <v>0.41666666666666702</v>
      </c>
    </row>
    <row r="1355" spans="1:14" ht="19.5" hidden="1" thickBot="1" x14ac:dyDescent="0.3">
      <c r="A1355" s="732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1"/>
        <v>02,24</v>
      </c>
      <c r="L1355" s="71" t="s">
        <v>28</v>
      </c>
      <c r="M1355" s="71">
        <v>2704</v>
      </c>
      <c r="N1355" s="323">
        <v>0.41666666666666702</v>
      </c>
    </row>
    <row r="1356" spans="1:14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1"/>
        <v>02,24</v>
      </c>
      <c r="L1356" s="40" t="s">
        <v>266</v>
      </c>
      <c r="M1356" s="40">
        <v>16330</v>
      </c>
      <c r="N1356" s="317">
        <v>0.5</v>
      </c>
    </row>
    <row r="1357" spans="1:14" ht="19.5" hidden="1" thickBot="1" x14ac:dyDescent="0.3">
      <c r="A1357" s="732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1"/>
        <v>02,24</v>
      </c>
      <c r="L1357" s="48" t="s">
        <v>266</v>
      </c>
      <c r="M1357" s="48">
        <v>16055</v>
      </c>
      <c r="N1357" s="315">
        <v>0.375</v>
      </c>
    </row>
    <row r="1358" spans="1:14" ht="19.5" hidden="1" thickBot="1" x14ac:dyDescent="0.3">
      <c r="A1358" s="732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1"/>
        <v>02,24</v>
      </c>
      <c r="L1358" s="71" t="s">
        <v>28</v>
      </c>
      <c r="M1358" s="71">
        <v>2026</v>
      </c>
      <c r="N1358" s="323">
        <v>0.375</v>
      </c>
    </row>
    <row r="1359" spans="1:14" ht="19.5" hidden="1" thickBot="1" x14ac:dyDescent="0.3">
      <c r="A1359" s="731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1"/>
        <v>02,24</v>
      </c>
      <c r="L1359" s="82" t="s">
        <v>266</v>
      </c>
      <c r="M1359" s="82">
        <v>15999</v>
      </c>
      <c r="N1359" s="319">
        <v>0.41666666666666702</v>
      </c>
    </row>
    <row r="1360" spans="1:14" ht="19.5" hidden="1" thickBot="1" x14ac:dyDescent="0.3">
      <c r="A1360" s="731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1"/>
        <v>02,24</v>
      </c>
      <c r="L1360" s="90" t="s">
        <v>28</v>
      </c>
      <c r="M1360" s="90">
        <v>1948</v>
      </c>
      <c r="N1360" s="325">
        <v>0.41666666666666702</v>
      </c>
    </row>
    <row r="1361" spans="1:14" ht="19.5" hidden="1" thickBot="1" x14ac:dyDescent="0.3">
      <c r="A1361" s="732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1"/>
        <v>02,24</v>
      </c>
      <c r="L1361" s="48" t="s">
        <v>266</v>
      </c>
      <c r="M1361" s="48">
        <v>14955</v>
      </c>
      <c r="N1361" s="315">
        <v>0.45833333333333298</v>
      </c>
    </row>
    <row r="1362" spans="1:14" ht="19.5" hidden="1" thickBot="1" x14ac:dyDescent="0.3">
      <c r="A1362" s="732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1"/>
        <v>02,24</v>
      </c>
      <c r="L1362" s="71" t="s">
        <v>28</v>
      </c>
      <c r="M1362" s="71">
        <v>3057</v>
      </c>
      <c r="N1362" s="323">
        <v>0.45833333333333298</v>
      </c>
    </row>
    <row r="1363" spans="1:14" ht="19.5" hidden="1" thickBot="1" x14ac:dyDescent="0.3">
      <c r="A1363" s="731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1"/>
        <v>02,24</v>
      </c>
      <c r="L1363" s="82" t="s">
        <v>266</v>
      </c>
      <c r="M1363" s="82">
        <v>803</v>
      </c>
      <c r="N1363" s="319">
        <v>0.5</v>
      </c>
    </row>
    <row r="1364" spans="1:14" ht="19.5" hidden="1" thickBot="1" x14ac:dyDescent="0.3">
      <c r="A1364" s="731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1"/>
        <v>02,24</v>
      </c>
      <c r="L1364" s="98" t="s">
        <v>266</v>
      </c>
      <c r="M1364" s="98">
        <v>1375</v>
      </c>
      <c r="N1364" s="364">
        <v>0.5</v>
      </c>
    </row>
    <row r="1365" spans="1:14" ht="19.5" hidden="1" thickBot="1" x14ac:dyDescent="0.3">
      <c r="A1365" s="731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1"/>
        <v>02,24</v>
      </c>
      <c r="L1365" s="98" t="s">
        <v>266</v>
      </c>
      <c r="M1365" s="98">
        <v>3442</v>
      </c>
      <c r="N1365" s="364">
        <v>0.5</v>
      </c>
    </row>
    <row r="1366" spans="1:14" ht="19.5" hidden="1" thickBot="1" x14ac:dyDescent="0.3">
      <c r="A1366" s="731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1"/>
        <v>02,24</v>
      </c>
      <c r="L1366" s="90" t="s">
        <v>266</v>
      </c>
      <c r="M1366" s="90">
        <v>1078</v>
      </c>
      <c r="N1366" s="325">
        <v>0.5</v>
      </c>
    </row>
    <row r="1367" spans="1:14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1"/>
        <v>02,24</v>
      </c>
      <c r="L1367" s="75" t="s">
        <v>265</v>
      </c>
      <c r="M1367" s="75">
        <v>13398</v>
      </c>
      <c r="N1367" s="322">
        <v>0.33333333333333298</v>
      </c>
    </row>
    <row r="1368" spans="1:14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1"/>
        <v>02,24</v>
      </c>
      <c r="L1368" s="40" t="s">
        <v>265</v>
      </c>
      <c r="M1368" s="40">
        <v>17418</v>
      </c>
      <c r="N1368" s="317">
        <v>0.33333333333333298</v>
      </c>
    </row>
    <row r="1369" spans="1:14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1"/>
        <v>02,24</v>
      </c>
      <c r="L1369" s="75" t="s">
        <v>28</v>
      </c>
      <c r="M1369" s="75">
        <v>17804</v>
      </c>
      <c r="N1369" s="322">
        <v>0.375</v>
      </c>
    </row>
    <row r="1370" spans="1:14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1"/>
        <v>02,24</v>
      </c>
      <c r="L1370" s="40" t="s">
        <v>28</v>
      </c>
      <c r="M1370" s="40">
        <v>17247</v>
      </c>
      <c r="N1370" s="317">
        <v>0.41666666666666702</v>
      </c>
    </row>
    <row r="1371" spans="1:14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1"/>
        <v>02,24</v>
      </c>
      <c r="L1371" s="75" t="s">
        <v>28</v>
      </c>
      <c r="M1371" s="75">
        <v>17185</v>
      </c>
      <c r="N1371" s="322">
        <v>0.45833333333333298</v>
      </c>
    </row>
    <row r="1372" spans="1:14" ht="19.5" hidden="1" thickBot="1" x14ac:dyDescent="0.3">
      <c r="A1372" s="731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1"/>
        <v>02,24</v>
      </c>
      <c r="L1372" s="82" t="s">
        <v>28</v>
      </c>
      <c r="M1372" s="82">
        <v>5179</v>
      </c>
      <c r="N1372" s="319">
        <v>0.5</v>
      </c>
    </row>
    <row r="1373" spans="1:14" ht="19.5" hidden="1" thickBot="1" x14ac:dyDescent="0.3">
      <c r="A1373" s="731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1"/>
        <v>02,24</v>
      </c>
      <c r="L1373" s="90" t="s">
        <v>28</v>
      </c>
      <c r="M1373" s="90">
        <v>11985</v>
      </c>
      <c r="N1373" s="325">
        <v>0.5</v>
      </c>
    </row>
    <row r="1374" spans="1:14" ht="19.5" hidden="1" thickBot="1" x14ac:dyDescent="0.3">
      <c r="A1374" s="732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1"/>
        <v>02,24</v>
      </c>
      <c r="L1374" s="48" t="s">
        <v>28</v>
      </c>
      <c r="M1374" s="48">
        <v>8326</v>
      </c>
      <c r="N1374" s="315">
        <v>0.54166666666666696</v>
      </c>
    </row>
    <row r="1375" spans="1:14" ht="19.5" hidden="1" thickBot="1" x14ac:dyDescent="0.3">
      <c r="A1375" s="732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1"/>
        <v>02,24</v>
      </c>
      <c r="L1375" s="71" t="s">
        <v>28</v>
      </c>
      <c r="M1375" s="71">
        <v>9199</v>
      </c>
      <c r="N1375" s="323">
        <v>0.54166666666666696</v>
      </c>
    </row>
    <row r="1376" spans="1:14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1"/>
        <v>02,24</v>
      </c>
      <c r="L1376" s="40" t="s">
        <v>265</v>
      </c>
      <c r="M1376" s="40">
        <v>17733</v>
      </c>
      <c r="N1376" s="317">
        <v>0.33333333333333298</v>
      </c>
    </row>
    <row r="1377" spans="1:14" ht="18.75" hidden="1" customHeight="1" thickBot="1" x14ac:dyDescent="0.3">
      <c r="A1377" s="732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737" t="s">
        <v>72</v>
      </c>
      <c r="H1377" s="48" t="s">
        <v>350</v>
      </c>
      <c r="I1377" s="163" t="s">
        <v>350</v>
      </c>
      <c r="J1377" s="52"/>
      <c r="K1377" s="48" t="str">
        <f t="shared" si="21"/>
        <v>02,24</v>
      </c>
      <c r="L1377" s="48" t="s">
        <v>265</v>
      </c>
      <c r="M1377" s="48">
        <v>5980</v>
      </c>
      <c r="N1377" s="315">
        <v>0.33333333333333298</v>
      </c>
    </row>
    <row r="1378" spans="1:14" ht="19.5" hidden="1" thickBot="1" x14ac:dyDescent="0.3">
      <c r="A1378" s="732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737"/>
      <c r="H1378" s="71" t="s">
        <v>350</v>
      </c>
      <c r="I1378" s="167" t="s">
        <v>350</v>
      </c>
      <c r="J1378" s="168"/>
      <c r="K1378" s="71" t="str">
        <f t="shared" si="21"/>
        <v>02,24</v>
      </c>
      <c r="L1378" s="71" t="s">
        <v>265</v>
      </c>
      <c r="M1378" s="71">
        <v>8865</v>
      </c>
      <c r="N1378" s="323">
        <v>0.41666666666666702</v>
      </c>
    </row>
    <row r="1379" spans="1:14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1"/>
        <v>02,24</v>
      </c>
      <c r="L1379" s="40" t="s">
        <v>266</v>
      </c>
      <c r="M1379" s="40">
        <v>17687</v>
      </c>
      <c r="N1379" s="317">
        <v>0.45833333333333298</v>
      </c>
    </row>
    <row r="1380" spans="1:14" ht="19.5" hidden="1" thickBot="1" x14ac:dyDescent="0.3">
      <c r="A1380" s="732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1"/>
        <v>02,24</v>
      </c>
      <c r="L1380" s="48" t="s">
        <v>28</v>
      </c>
      <c r="M1380" s="48">
        <v>4500</v>
      </c>
      <c r="N1380" s="315">
        <v>0.5</v>
      </c>
    </row>
    <row r="1381" spans="1:14" ht="19.5" hidden="1" thickBot="1" x14ac:dyDescent="0.3">
      <c r="A1381" s="732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1"/>
        <v>02,24</v>
      </c>
      <c r="L1381" s="71" t="s">
        <v>28</v>
      </c>
      <c r="M1381" s="71">
        <v>12913</v>
      </c>
      <c r="N1381" s="323">
        <v>0.5</v>
      </c>
    </row>
    <row r="1382" spans="1:14" ht="19.5" hidden="1" thickBot="1" x14ac:dyDescent="0.3">
      <c r="A1382" s="731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1"/>
        <v>02,24</v>
      </c>
      <c r="L1382" s="82" t="s">
        <v>28</v>
      </c>
      <c r="M1382" s="82">
        <v>4166</v>
      </c>
      <c r="N1382" s="319">
        <v>0.54166666666666696</v>
      </c>
    </row>
    <row r="1383" spans="1:14" ht="19.5" hidden="1" thickBot="1" x14ac:dyDescent="0.3">
      <c r="A1383" s="731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1"/>
        <v>02,24</v>
      </c>
      <c r="L1383" s="90" t="s">
        <v>28</v>
      </c>
      <c r="M1383" s="90">
        <v>13499</v>
      </c>
      <c r="N1383" s="325">
        <v>0.54166666666666696</v>
      </c>
    </row>
    <row r="1384" spans="1:14" ht="19.5" hidden="1" thickBot="1" x14ac:dyDescent="0.3">
      <c r="A1384" s="732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1"/>
        <v>02,24</v>
      </c>
      <c r="L1384" s="48" t="s">
        <v>28</v>
      </c>
      <c r="M1384" s="48">
        <v>7400</v>
      </c>
      <c r="N1384" s="315">
        <v>0.58333333333333304</v>
      </c>
    </row>
    <row r="1385" spans="1:14" ht="19.5" hidden="1" thickBot="1" x14ac:dyDescent="0.3">
      <c r="A1385" s="732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1"/>
        <v>02,24</v>
      </c>
      <c r="L1385" s="71" t="s">
        <v>28</v>
      </c>
      <c r="M1385" s="71">
        <v>10126</v>
      </c>
      <c r="N1385" s="323">
        <v>0.58333333333333304</v>
      </c>
    </row>
    <row r="1386" spans="1:14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1"/>
        <v>02,24</v>
      </c>
      <c r="L1386" s="40" t="s">
        <v>265</v>
      </c>
      <c r="M1386" s="40">
        <v>17776</v>
      </c>
      <c r="N1386" s="317">
        <v>0.33333333333333298</v>
      </c>
    </row>
    <row r="1387" spans="1:14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1"/>
        <v>02,24</v>
      </c>
      <c r="L1387" s="75" t="s">
        <v>265</v>
      </c>
      <c r="M1387" s="75">
        <v>16617</v>
      </c>
      <c r="N1387" s="322">
        <v>0.375</v>
      </c>
    </row>
    <row r="1388" spans="1:14" ht="19.5" hidden="1" thickBot="1" x14ac:dyDescent="0.3">
      <c r="A1388" s="731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1"/>
        <v>02,24</v>
      </c>
      <c r="L1388" s="82" t="s">
        <v>28</v>
      </c>
      <c r="M1388" s="82">
        <v>9458</v>
      </c>
      <c r="N1388" s="319">
        <v>0.33333333333333298</v>
      </c>
    </row>
    <row r="1389" spans="1:14" ht="19.5" hidden="1" thickBot="1" x14ac:dyDescent="0.3">
      <c r="A1389" s="731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1"/>
        <v>02,24</v>
      </c>
      <c r="L1389" s="90" t="s">
        <v>28</v>
      </c>
      <c r="M1389" s="90">
        <v>3598</v>
      </c>
      <c r="N1389" s="325">
        <v>0.33333333333333298</v>
      </c>
    </row>
    <row r="1390" spans="1:14" ht="19.5" hidden="1" thickBot="1" x14ac:dyDescent="0.3">
      <c r="A1390" s="732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1"/>
        <v>02,24</v>
      </c>
      <c r="L1390" s="48" t="s">
        <v>28</v>
      </c>
      <c r="M1390" s="48">
        <v>6035</v>
      </c>
      <c r="N1390" s="315">
        <v>0.375</v>
      </c>
    </row>
    <row r="1391" spans="1:14" ht="19.5" hidden="1" thickBot="1" x14ac:dyDescent="0.3">
      <c r="A1391" s="732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1"/>
        <v>02,24</v>
      </c>
      <c r="L1391" s="71" t="s">
        <v>28</v>
      </c>
      <c r="M1391" s="71">
        <v>7246</v>
      </c>
      <c r="N1391" s="323">
        <v>0.375</v>
      </c>
    </row>
    <row r="1392" spans="1:14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1"/>
        <v>02,24</v>
      </c>
      <c r="L1392" s="40" t="s">
        <v>265</v>
      </c>
      <c r="M1392" s="40">
        <v>10250</v>
      </c>
      <c r="N1392" s="317">
        <v>0.33333333333333298</v>
      </c>
    </row>
    <row r="1393" spans="1:14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1"/>
        <v>02,24</v>
      </c>
      <c r="L1393" s="75" t="s">
        <v>266</v>
      </c>
      <c r="M1393" s="75">
        <v>1537</v>
      </c>
      <c r="N1393" s="322">
        <v>0.91666666666666696</v>
      </c>
    </row>
    <row r="1394" spans="1:14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1"/>
        <v>02,24</v>
      </c>
      <c r="L1394" s="40" t="s">
        <v>28</v>
      </c>
      <c r="M1394" s="40">
        <v>17976</v>
      </c>
      <c r="N1394" s="317">
        <v>0.41666666666666702</v>
      </c>
    </row>
    <row r="1395" spans="1:14" ht="19.5" hidden="1" thickBot="1" x14ac:dyDescent="0.3">
      <c r="A1395" s="732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1"/>
        <v>02,24</v>
      </c>
      <c r="L1395" s="48" t="s">
        <v>266</v>
      </c>
      <c r="M1395" s="48">
        <v>14143</v>
      </c>
      <c r="N1395" s="315">
        <v>0.375</v>
      </c>
    </row>
    <row r="1396" spans="1:14" ht="19.5" hidden="1" thickBot="1" x14ac:dyDescent="0.3">
      <c r="A1396" s="732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1"/>
        <v>02,24</v>
      </c>
      <c r="L1396" s="71" t="s">
        <v>28</v>
      </c>
      <c r="M1396" s="71">
        <v>3906</v>
      </c>
      <c r="N1396" s="323">
        <v>0.375</v>
      </c>
    </row>
    <row r="1397" spans="1:14" ht="19.5" hidden="1" thickBot="1" x14ac:dyDescent="0.3">
      <c r="A1397" s="731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1"/>
        <v>02,24</v>
      </c>
      <c r="L1397" s="82" t="s">
        <v>266</v>
      </c>
      <c r="M1397" s="82">
        <v>16157</v>
      </c>
      <c r="N1397" s="319">
        <v>0.41666666666666702</v>
      </c>
    </row>
    <row r="1398" spans="1:14" ht="19.5" hidden="1" thickBot="1" x14ac:dyDescent="0.3">
      <c r="A1398" s="731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1"/>
        <v>02,24</v>
      </c>
      <c r="L1398" s="90" t="s">
        <v>28</v>
      </c>
      <c r="M1398" s="90">
        <v>1884</v>
      </c>
      <c r="N1398" s="325">
        <v>0.41666666666666702</v>
      </c>
    </row>
    <row r="1399" spans="1:14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1"/>
        <v>02,24</v>
      </c>
      <c r="L1399" s="75" t="s">
        <v>266</v>
      </c>
      <c r="M1399" s="75">
        <v>18022</v>
      </c>
      <c r="N1399" s="322">
        <v>0.45833333333333298</v>
      </c>
    </row>
    <row r="1400" spans="1:14" ht="57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1"/>
        <v>02,24</v>
      </c>
      <c r="L1400" s="40" t="s">
        <v>266</v>
      </c>
      <c r="M1400" s="40">
        <v>16029</v>
      </c>
      <c r="N1400" s="317">
        <v>0.5</v>
      </c>
    </row>
    <row r="1401" spans="1:14" ht="17.25" hidden="1" customHeight="1" thickBot="1" x14ac:dyDescent="0.3">
      <c r="A1401" s="732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737" t="s">
        <v>358</v>
      </c>
      <c r="H1401" s="48" t="s">
        <v>354</v>
      </c>
      <c r="I1401" s="163" t="s">
        <v>355</v>
      </c>
      <c r="J1401" s="52"/>
      <c r="K1401" s="48" t="str">
        <f t="shared" si="21"/>
        <v>02,24</v>
      </c>
      <c r="L1401" s="48" t="s">
        <v>266</v>
      </c>
      <c r="M1401" s="48">
        <v>630</v>
      </c>
      <c r="N1401" s="315">
        <v>0.54166666666666696</v>
      </c>
    </row>
    <row r="1402" spans="1:14" ht="19.5" hidden="1" thickBot="1" x14ac:dyDescent="0.3">
      <c r="A1402" s="732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737"/>
      <c r="H1402" s="23" t="s">
        <v>354</v>
      </c>
      <c r="I1402" s="180" t="s">
        <v>355</v>
      </c>
      <c r="J1402" s="27"/>
      <c r="K1402" s="23" t="str">
        <f t="shared" si="21"/>
        <v>02,24</v>
      </c>
      <c r="L1402" s="23" t="s">
        <v>266</v>
      </c>
      <c r="M1402" s="23">
        <v>2410</v>
      </c>
      <c r="N1402" s="329">
        <v>0.54166666666666696</v>
      </c>
    </row>
    <row r="1403" spans="1:14" ht="19.5" hidden="1" thickBot="1" x14ac:dyDescent="0.3">
      <c r="A1403" s="732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737"/>
      <c r="H1403" s="23" t="s">
        <v>354</v>
      </c>
      <c r="I1403" s="180" t="s">
        <v>355</v>
      </c>
      <c r="J1403" s="27"/>
      <c r="K1403" s="23" t="str">
        <f t="shared" si="21"/>
        <v>02,24</v>
      </c>
      <c r="L1403" s="23" t="s">
        <v>266</v>
      </c>
      <c r="M1403" s="23">
        <v>2525</v>
      </c>
      <c r="N1403" s="329">
        <v>0.54166666666666696</v>
      </c>
    </row>
    <row r="1404" spans="1:14" ht="19.5" hidden="1" thickBot="1" x14ac:dyDescent="0.3">
      <c r="A1404" s="732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737"/>
      <c r="H1404" s="71" t="s">
        <v>354</v>
      </c>
      <c r="I1404" s="167" t="s">
        <v>355</v>
      </c>
      <c r="J1404" s="168"/>
      <c r="K1404" s="71" t="str">
        <f t="shared" si="21"/>
        <v>02,24</v>
      </c>
      <c r="L1404" s="71" t="s">
        <v>266</v>
      </c>
      <c r="M1404" s="71">
        <v>2122</v>
      </c>
      <c r="N1404" s="323">
        <v>0.54166666666666696</v>
      </c>
    </row>
    <row r="1405" spans="1:14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1"/>
        <v>02,24</v>
      </c>
      <c r="L1405" s="40" t="s">
        <v>265</v>
      </c>
      <c r="M1405" s="40">
        <v>13765</v>
      </c>
      <c r="N1405" s="317">
        <v>0.33333333333333298</v>
      </c>
    </row>
    <row r="1406" spans="1:14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1"/>
        <v>02,24</v>
      </c>
      <c r="L1406" s="75" t="s">
        <v>265</v>
      </c>
      <c r="M1406" s="75">
        <v>17373</v>
      </c>
      <c r="N1406" s="322">
        <v>0.33333333333333298</v>
      </c>
    </row>
    <row r="1407" spans="1:14" ht="19.5" hidden="1" thickBot="1" x14ac:dyDescent="0.3">
      <c r="A1407" s="731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1"/>
        <v>02,24</v>
      </c>
      <c r="L1407" s="82" t="s">
        <v>266</v>
      </c>
      <c r="M1407" s="82">
        <v>7136</v>
      </c>
      <c r="N1407" s="319">
        <v>0.41666666666666702</v>
      </c>
    </row>
    <row r="1408" spans="1:14" ht="19.5" hidden="1" thickBot="1" x14ac:dyDescent="0.3">
      <c r="A1408" s="731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1"/>
        <v>02,24</v>
      </c>
      <c r="L1408" s="90" t="s">
        <v>266</v>
      </c>
      <c r="M1408" s="90">
        <v>10858</v>
      </c>
      <c r="N1408" s="325">
        <v>0.41666666666666702</v>
      </c>
    </row>
    <row r="1409" spans="1:14" ht="19.5" hidden="1" thickBot="1" x14ac:dyDescent="0.3">
      <c r="A1409" s="732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1"/>
        <v>02,24</v>
      </c>
      <c r="L1409" s="48" t="s">
        <v>28</v>
      </c>
      <c r="M1409" s="48">
        <v>2576</v>
      </c>
      <c r="N1409" s="315">
        <v>0.375</v>
      </c>
    </row>
    <row r="1410" spans="1:14" ht="19.5" hidden="1" thickBot="1" x14ac:dyDescent="0.3">
      <c r="A1410" s="732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1"/>
        <v>02,24</v>
      </c>
      <c r="L1410" s="71" t="s">
        <v>28</v>
      </c>
      <c r="M1410" s="71">
        <v>15089</v>
      </c>
      <c r="N1410" s="323">
        <v>0.375</v>
      </c>
    </row>
    <row r="1411" spans="1:14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2">RIGHT(H1411,5)</f>
        <v>02,24</v>
      </c>
      <c r="L1411" s="40" t="s">
        <v>265</v>
      </c>
      <c r="M1411" s="40">
        <v>17531</v>
      </c>
      <c r="N1411" s="317">
        <v>0.33333333333333298</v>
      </c>
    </row>
    <row r="1412" spans="1:14" ht="19.5" hidden="1" thickBot="1" x14ac:dyDescent="0.3">
      <c r="A1412" s="732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2"/>
        <v>02,24</v>
      </c>
      <c r="L1412" s="48" t="s">
        <v>28</v>
      </c>
      <c r="M1412" s="48">
        <v>12151</v>
      </c>
      <c r="N1412" s="315">
        <v>0.41666666666666702</v>
      </c>
    </row>
    <row r="1413" spans="1:14" ht="19.5" hidden="1" thickBot="1" x14ac:dyDescent="0.3">
      <c r="A1413" s="732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2"/>
        <v>02,24</v>
      </c>
      <c r="L1413" s="71" t="s">
        <v>28</v>
      </c>
      <c r="M1413" s="71">
        <v>5003</v>
      </c>
      <c r="N1413" s="323">
        <v>0.41666666666666702</v>
      </c>
    </row>
    <row r="1414" spans="1:14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2"/>
        <v>02,24</v>
      </c>
      <c r="L1414" s="40" t="s">
        <v>28</v>
      </c>
      <c r="M1414" s="40">
        <v>17208</v>
      </c>
      <c r="N1414" s="317">
        <v>0.45833333333333298</v>
      </c>
    </row>
    <row r="1415" spans="1:14" ht="19.5" hidden="1" thickBot="1" x14ac:dyDescent="0.3">
      <c r="A1415" s="732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2"/>
        <v>02,24</v>
      </c>
      <c r="L1415" s="48" t="s">
        <v>28</v>
      </c>
      <c r="M1415" s="48">
        <v>12026</v>
      </c>
      <c r="N1415" s="315">
        <v>0.5</v>
      </c>
    </row>
    <row r="1416" spans="1:14" ht="19.5" hidden="1" thickBot="1" x14ac:dyDescent="0.3">
      <c r="A1416" s="732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2"/>
        <v>02,24</v>
      </c>
      <c r="L1416" s="71" t="s">
        <v>28</v>
      </c>
      <c r="M1416" s="71">
        <v>5265</v>
      </c>
      <c r="N1416" s="323">
        <v>0.5</v>
      </c>
    </row>
    <row r="1417" spans="1:14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2"/>
        <v>02,24</v>
      </c>
      <c r="L1417" s="40" t="s">
        <v>28</v>
      </c>
      <c r="M1417" s="40">
        <v>18371</v>
      </c>
      <c r="N1417" s="317">
        <v>0.54166666666666696</v>
      </c>
    </row>
    <row r="1418" spans="1:14" ht="19.5" hidden="1" customHeight="1" thickBot="1" x14ac:dyDescent="0.3">
      <c r="A1418" s="732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737" t="s">
        <v>72</v>
      </c>
      <c r="H1418" s="48" t="s">
        <v>356</v>
      </c>
      <c r="I1418" s="163" t="s">
        <v>356</v>
      </c>
      <c r="J1418" s="52"/>
      <c r="K1418" s="48" t="str">
        <f t="shared" si="22"/>
        <v>02,24</v>
      </c>
      <c r="L1418" s="48" t="s">
        <v>265</v>
      </c>
      <c r="M1418" s="48">
        <v>4369</v>
      </c>
      <c r="N1418" s="315">
        <v>0.33333333333333298</v>
      </c>
    </row>
    <row r="1419" spans="1:14" ht="19.5" hidden="1" thickBot="1" x14ac:dyDescent="0.3">
      <c r="A1419" s="732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737"/>
      <c r="H1419" s="71" t="s">
        <v>356</v>
      </c>
      <c r="I1419" s="167" t="s">
        <v>356</v>
      </c>
      <c r="J1419" s="168"/>
      <c r="K1419" s="71" t="str">
        <f t="shared" si="22"/>
        <v>02,24</v>
      </c>
      <c r="L1419" s="71" t="s">
        <v>265</v>
      </c>
      <c r="M1419" s="71">
        <v>9665</v>
      </c>
      <c r="N1419" s="323">
        <v>0.41666666666666702</v>
      </c>
    </row>
    <row r="1420" spans="1:14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2"/>
        <v>02,24</v>
      </c>
      <c r="L1420" s="40" t="s">
        <v>265</v>
      </c>
      <c r="M1420" s="40">
        <v>17717</v>
      </c>
      <c r="N1420" s="317">
        <v>0.33333333333333298</v>
      </c>
    </row>
    <row r="1421" spans="1:14" ht="19.5" hidden="1" thickBot="1" x14ac:dyDescent="0.3">
      <c r="A1421" s="732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2"/>
        <v>02,24</v>
      </c>
      <c r="L1421" s="48" t="s">
        <v>265</v>
      </c>
      <c r="M1421" s="48">
        <v>3525</v>
      </c>
      <c r="N1421" s="315">
        <v>0.375</v>
      </c>
    </row>
    <row r="1422" spans="1:14" ht="19.5" hidden="1" thickBot="1" x14ac:dyDescent="0.3">
      <c r="A1422" s="732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2"/>
        <v>02,24</v>
      </c>
      <c r="L1422" s="71" t="s">
        <v>265</v>
      </c>
      <c r="M1422" s="71">
        <v>13607</v>
      </c>
      <c r="N1422" s="323">
        <v>0.375</v>
      </c>
    </row>
    <row r="1423" spans="1:14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2"/>
        <v>02,24</v>
      </c>
      <c r="L1423" s="40" t="s">
        <v>28</v>
      </c>
      <c r="M1423" s="40">
        <v>17554</v>
      </c>
      <c r="N1423" s="317">
        <v>0.41666666666666702</v>
      </c>
    </row>
    <row r="1424" spans="1:14" ht="19.5" hidden="1" thickBot="1" x14ac:dyDescent="0.3">
      <c r="A1424" s="732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2"/>
        <v>02,24</v>
      </c>
      <c r="L1424" s="48" t="s">
        <v>28</v>
      </c>
      <c r="M1424" s="48">
        <v>14982</v>
      </c>
      <c r="N1424" s="315">
        <v>0.45833333333333298</v>
      </c>
    </row>
    <row r="1425" spans="1:14" ht="19.5" hidden="1" thickBot="1" x14ac:dyDescent="0.3">
      <c r="A1425" s="732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2"/>
        <v>02,24</v>
      </c>
      <c r="L1425" s="71" t="s">
        <v>28</v>
      </c>
      <c r="M1425" s="71">
        <v>2511</v>
      </c>
      <c r="N1425" s="323">
        <v>0.45833333333333298</v>
      </c>
    </row>
    <row r="1426" spans="1:14" ht="19.5" hidden="1" thickBot="1" x14ac:dyDescent="0.3">
      <c r="A1426" s="731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2"/>
        <v>02,24</v>
      </c>
      <c r="L1426" s="82" t="s">
        <v>28</v>
      </c>
      <c r="M1426" s="82">
        <v>7989</v>
      </c>
      <c r="N1426" s="319">
        <v>0.5</v>
      </c>
    </row>
    <row r="1427" spans="1:14" ht="19.5" hidden="1" thickBot="1" x14ac:dyDescent="0.3">
      <c r="A1427" s="731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2"/>
        <v>02,24</v>
      </c>
      <c r="L1427" s="90" t="s">
        <v>28</v>
      </c>
      <c r="M1427" s="90">
        <v>9214</v>
      </c>
      <c r="N1427" s="325">
        <v>0.5</v>
      </c>
    </row>
    <row r="1428" spans="1:14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2"/>
        <v>02,24</v>
      </c>
      <c r="L1428" s="75" t="s">
        <v>265</v>
      </c>
      <c r="M1428" s="75">
        <v>9712</v>
      </c>
      <c r="N1428" s="322">
        <v>0.33333333333333298</v>
      </c>
    </row>
    <row r="1429" spans="1:14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2"/>
        <v>02,24</v>
      </c>
      <c r="L1429" s="40" t="s">
        <v>28</v>
      </c>
      <c r="M1429" s="40">
        <v>13281</v>
      </c>
      <c r="N1429" s="317">
        <v>0.33333333333333298</v>
      </c>
    </row>
    <row r="1430" spans="1:14" ht="19.5" hidden="1" thickBot="1" x14ac:dyDescent="0.3">
      <c r="A1430" s="732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2"/>
        <v>02,24</v>
      </c>
      <c r="L1430" s="48" t="s">
        <v>28</v>
      </c>
      <c r="M1430" s="48">
        <v>6863</v>
      </c>
      <c r="N1430" s="315">
        <v>0.41666666666666702</v>
      </c>
    </row>
    <row r="1431" spans="1:14" ht="19.5" hidden="1" thickBot="1" x14ac:dyDescent="0.3">
      <c r="A1431" s="732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2"/>
        <v>02,24</v>
      </c>
      <c r="L1431" s="23" t="s">
        <v>28</v>
      </c>
      <c r="M1431" s="23">
        <v>1431</v>
      </c>
      <c r="N1431" s="329">
        <v>0.41666666666666702</v>
      </c>
    </row>
    <row r="1432" spans="1:14" ht="19.5" hidden="1" thickBot="1" x14ac:dyDescent="0.3">
      <c r="A1432" s="732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2"/>
        <v>02,24</v>
      </c>
      <c r="L1432" s="71" t="s">
        <v>28</v>
      </c>
      <c r="M1432" s="71">
        <v>4822</v>
      </c>
      <c r="N1432" s="323">
        <v>0.41666666666666702</v>
      </c>
    </row>
    <row r="1433" spans="1:14" ht="75.75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2"/>
        <v>02,24</v>
      </c>
      <c r="L1433" s="40" t="s">
        <v>28</v>
      </c>
      <c r="M1433" s="40">
        <v>18475.740000000002</v>
      </c>
      <c r="N1433" s="317">
        <v>0.41666666666666702</v>
      </c>
    </row>
    <row r="1434" spans="1:14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2"/>
        <v>02,24</v>
      </c>
      <c r="L1434" s="75" t="s">
        <v>266</v>
      </c>
      <c r="M1434" s="75">
        <v>17835.39</v>
      </c>
      <c r="N1434" s="322">
        <v>0.79166666666666696</v>
      </c>
    </row>
    <row r="1435" spans="1:14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2"/>
        <v>02,24</v>
      </c>
      <c r="L1435" s="40" t="s">
        <v>266</v>
      </c>
      <c r="M1435" s="40">
        <v>17910.93</v>
      </c>
      <c r="N1435" s="317">
        <v>0.5</v>
      </c>
    </row>
    <row r="1436" spans="1:14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2"/>
        <v>02,24</v>
      </c>
      <c r="L1436" s="75" t="s">
        <v>266</v>
      </c>
      <c r="M1436" s="75">
        <v>18073.080000000002</v>
      </c>
      <c r="N1436" s="322">
        <v>0.375</v>
      </c>
    </row>
    <row r="1437" spans="1:14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2"/>
        <v>02,24</v>
      </c>
      <c r="L1437" s="40" t="s">
        <v>266</v>
      </c>
      <c r="M1437" s="40">
        <v>18155.78</v>
      </c>
      <c r="N1437" s="317">
        <v>0.41666666666666702</v>
      </c>
    </row>
    <row r="1438" spans="1:14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2"/>
        <v>02,24</v>
      </c>
      <c r="L1438" s="75" t="s">
        <v>266</v>
      </c>
      <c r="M1438" s="75">
        <v>18091.34</v>
      </c>
      <c r="N1438" s="322">
        <v>0.45833333333333298</v>
      </c>
    </row>
    <row r="1439" spans="1:14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2"/>
        <v>02,24</v>
      </c>
      <c r="L1439" s="40" t="s">
        <v>266</v>
      </c>
      <c r="M1439" s="40">
        <v>17913</v>
      </c>
      <c r="N1439" s="317">
        <v>0.5</v>
      </c>
    </row>
    <row r="1440" spans="1:14" ht="19.5" hidden="1" thickBot="1" x14ac:dyDescent="0.3">
      <c r="A1440" s="732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2"/>
        <v>02,24</v>
      </c>
      <c r="L1440" s="48" t="s">
        <v>266</v>
      </c>
      <c r="M1440" s="48">
        <v>13176.52</v>
      </c>
      <c r="N1440" s="315">
        <v>0.54166666666666696</v>
      </c>
    </row>
    <row r="1441" spans="1:14" ht="19.5" hidden="1" thickBot="1" x14ac:dyDescent="0.3">
      <c r="A1441" s="732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2"/>
        <v>02,24</v>
      </c>
      <c r="L1441" s="71" t="s">
        <v>266</v>
      </c>
      <c r="M1441" s="71">
        <v>3626.18</v>
      </c>
      <c r="N1441" s="323">
        <v>0.54166666666666696</v>
      </c>
    </row>
    <row r="1442" spans="1:14" ht="19.5" hidden="1" thickBot="1" x14ac:dyDescent="0.3">
      <c r="A1442" s="731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2"/>
        <v>02,24</v>
      </c>
      <c r="L1442" s="82" t="s">
        <v>266</v>
      </c>
      <c r="M1442" s="82">
        <v>723.2</v>
      </c>
      <c r="N1442" s="319">
        <v>0.58333333333333304</v>
      </c>
    </row>
    <row r="1443" spans="1:14" ht="19.5" hidden="1" thickBot="1" x14ac:dyDescent="0.3">
      <c r="A1443" s="731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2"/>
        <v>02,24</v>
      </c>
      <c r="L1443" s="98" t="s">
        <v>266</v>
      </c>
      <c r="M1443" s="98">
        <v>2394.58</v>
      </c>
      <c r="N1443" s="364">
        <v>0.58333333333333304</v>
      </c>
    </row>
    <row r="1444" spans="1:14" ht="19.5" hidden="1" thickBot="1" x14ac:dyDescent="0.3">
      <c r="A1444" s="731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2"/>
        <v>02,24</v>
      </c>
      <c r="L1444" s="98" t="s">
        <v>266</v>
      </c>
      <c r="M1444" s="98">
        <v>2920.6</v>
      </c>
      <c r="N1444" s="364">
        <v>0.58333333333333304</v>
      </c>
    </row>
    <row r="1445" spans="1:14" ht="19.5" hidden="1" thickBot="1" x14ac:dyDescent="0.3">
      <c r="A1445" s="731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2"/>
        <v>02,24</v>
      </c>
      <c r="L1445" s="90" t="s">
        <v>266</v>
      </c>
      <c r="M1445" s="170">
        <v>2515.8000000000002</v>
      </c>
      <c r="N1445" s="325">
        <v>0.58333333333333304</v>
      </c>
    </row>
    <row r="1446" spans="1:14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2"/>
        <v>02,24</v>
      </c>
      <c r="L1446" s="75" t="s">
        <v>265</v>
      </c>
      <c r="M1446" s="75">
        <v>12802</v>
      </c>
      <c r="N1446" s="322">
        <v>0.33333333333333298</v>
      </c>
    </row>
    <row r="1447" spans="1:14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2"/>
        <v>02,24</v>
      </c>
      <c r="L1447" s="40" t="s">
        <v>265</v>
      </c>
      <c r="M1447" s="40">
        <v>16568.04</v>
      </c>
      <c r="N1447" s="317">
        <v>0.33333333333333298</v>
      </c>
    </row>
    <row r="1448" spans="1:14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2"/>
        <v>02,24</v>
      </c>
      <c r="L1448" s="75" t="s">
        <v>28</v>
      </c>
      <c r="M1448" s="75">
        <v>17977.46</v>
      </c>
      <c r="N1448" s="322">
        <v>0.41666666666666702</v>
      </c>
    </row>
    <row r="1449" spans="1:14" ht="19.5" hidden="1" thickBot="1" x14ac:dyDescent="0.3">
      <c r="A1449" s="731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2"/>
        <v>02,24</v>
      </c>
      <c r="L1449" s="82" t="s">
        <v>265</v>
      </c>
      <c r="M1449" s="82">
        <v>15177.94</v>
      </c>
      <c r="N1449" s="319">
        <v>0.33333333333333298</v>
      </c>
    </row>
    <row r="1450" spans="1:14" ht="19.5" hidden="1" thickBot="1" x14ac:dyDescent="0.3">
      <c r="A1450" s="731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2"/>
        <v>02,24</v>
      </c>
      <c r="L1450" s="90" t="s">
        <v>265</v>
      </c>
      <c r="M1450" s="90">
        <v>1512.52</v>
      </c>
      <c r="N1450" s="325">
        <v>0.33333333333333298</v>
      </c>
    </row>
    <row r="1451" spans="1:14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2"/>
        <v>02,24</v>
      </c>
      <c r="L1451" s="75" t="s">
        <v>28</v>
      </c>
      <c r="M1451" s="75">
        <v>17015.82</v>
      </c>
      <c r="N1451" s="322">
        <v>0.375</v>
      </c>
    </row>
    <row r="1452" spans="1:14" ht="19.5" hidden="1" thickBot="1" x14ac:dyDescent="0.3">
      <c r="A1452" s="731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2"/>
        <v>02,24</v>
      </c>
      <c r="L1452" s="82" t="s">
        <v>28</v>
      </c>
      <c r="M1452" s="82">
        <v>2969.09</v>
      </c>
      <c r="N1452" s="319">
        <v>0.41666666666666702</v>
      </c>
    </row>
    <row r="1453" spans="1:14" ht="19.5" hidden="1" thickBot="1" x14ac:dyDescent="0.3">
      <c r="A1453" s="731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2"/>
        <v>02,24</v>
      </c>
      <c r="L1453" s="90" t="s">
        <v>28</v>
      </c>
      <c r="M1453" s="90">
        <v>14140.04</v>
      </c>
      <c r="N1453" s="325">
        <v>0.41666666666666702</v>
      </c>
    </row>
    <row r="1454" spans="1:14" ht="19.5" hidden="1" thickBot="1" x14ac:dyDescent="0.3">
      <c r="A1454" s="732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2"/>
        <v>02,24</v>
      </c>
      <c r="L1454" s="48" t="s">
        <v>28</v>
      </c>
      <c r="M1454" s="48">
        <v>6225</v>
      </c>
      <c r="N1454" s="315">
        <v>0.45833333333333298</v>
      </c>
    </row>
    <row r="1455" spans="1:14" ht="19.5" hidden="1" thickBot="1" x14ac:dyDescent="0.3">
      <c r="A1455" s="732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2"/>
        <v>02,24</v>
      </c>
      <c r="L1455" s="71" t="s">
        <v>28</v>
      </c>
      <c r="M1455" s="71">
        <v>10943.94</v>
      </c>
      <c r="N1455" s="323">
        <v>0.45833333333333298</v>
      </c>
    </row>
    <row r="1456" spans="1:14" ht="19.5" hidden="1" thickBot="1" x14ac:dyDescent="0.3">
      <c r="A1456" s="731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2"/>
        <v>02,24</v>
      </c>
      <c r="L1456" s="82" t="s">
        <v>28</v>
      </c>
      <c r="M1456" s="82">
        <v>6133.4</v>
      </c>
      <c r="N1456" s="319">
        <v>0.5</v>
      </c>
    </row>
    <row r="1457" spans="1:14" ht="19.5" hidden="1" thickBot="1" x14ac:dyDescent="0.3">
      <c r="A1457" s="731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2"/>
        <v>02,24</v>
      </c>
      <c r="L1457" s="98" t="s">
        <v>28</v>
      </c>
      <c r="M1457" s="98">
        <v>2272.46</v>
      </c>
      <c r="N1457" s="364">
        <v>0.5</v>
      </c>
    </row>
    <row r="1458" spans="1:14" ht="19.5" hidden="1" thickBot="1" x14ac:dyDescent="0.3">
      <c r="A1458" s="731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2"/>
        <v>02,24</v>
      </c>
      <c r="L1458" s="90" t="s">
        <v>28</v>
      </c>
      <c r="M1458" s="90">
        <v>9080.82</v>
      </c>
      <c r="N1458" s="325">
        <v>0.5</v>
      </c>
    </row>
    <row r="1459" spans="1:14" ht="18.75" hidden="1" customHeight="1" thickBot="1" x14ac:dyDescent="0.3">
      <c r="A1459" s="732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737" t="s">
        <v>72</v>
      </c>
      <c r="H1459" s="48" t="s">
        <v>368</v>
      </c>
      <c r="I1459" s="163" t="s">
        <v>368</v>
      </c>
      <c r="J1459" s="52"/>
      <c r="K1459" s="48" t="str">
        <f t="shared" si="22"/>
        <v>02,24</v>
      </c>
      <c r="L1459" s="48" t="s">
        <v>265</v>
      </c>
      <c r="M1459" s="48">
        <v>6003.92</v>
      </c>
      <c r="N1459" s="315">
        <v>0.33333333333333298</v>
      </c>
    </row>
    <row r="1460" spans="1:14" ht="19.5" hidden="1" thickBot="1" x14ac:dyDescent="0.3">
      <c r="A1460" s="732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737"/>
      <c r="H1460" s="71" t="s">
        <v>368</v>
      </c>
      <c r="I1460" s="167" t="s">
        <v>368</v>
      </c>
      <c r="J1460" s="168"/>
      <c r="K1460" s="71" t="str">
        <f t="shared" si="22"/>
        <v>02,24</v>
      </c>
      <c r="L1460" s="71" t="s">
        <v>265</v>
      </c>
      <c r="M1460" s="71">
        <v>8872.0400000000009</v>
      </c>
      <c r="N1460" s="323">
        <v>0.41666666666666702</v>
      </c>
    </row>
    <row r="1461" spans="1:14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2"/>
        <v>02,24</v>
      </c>
      <c r="L1461" s="40" t="s">
        <v>266</v>
      </c>
      <c r="M1461" s="40">
        <v>17974.55</v>
      </c>
      <c r="N1461" s="317">
        <v>0.5</v>
      </c>
    </row>
    <row r="1462" spans="1:14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2"/>
        <v>02,24</v>
      </c>
      <c r="L1462" s="75" t="s">
        <v>265</v>
      </c>
      <c r="M1462" s="75">
        <v>17649.2</v>
      </c>
      <c r="N1462" s="322">
        <v>0.33333333333333298</v>
      </c>
    </row>
    <row r="1463" spans="1:14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2"/>
        <v>02,24</v>
      </c>
      <c r="L1463" s="40" t="s">
        <v>266</v>
      </c>
      <c r="M1463" s="40">
        <v>17941.11</v>
      </c>
      <c r="N1463" s="317">
        <v>0.375</v>
      </c>
    </row>
    <row r="1464" spans="1:14" ht="19.5" hidden="1" thickBot="1" x14ac:dyDescent="0.3">
      <c r="A1464" s="732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2"/>
        <v>02,24</v>
      </c>
      <c r="L1464" s="48" t="s">
        <v>28</v>
      </c>
      <c r="M1464" s="48">
        <v>7218.26</v>
      </c>
      <c r="N1464" s="315">
        <v>0.41666666666666702</v>
      </c>
    </row>
    <row r="1465" spans="1:14" ht="19.5" hidden="1" thickBot="1" x14ac:dyDescent="0.3">
      <c r="A1465" s="732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2"/>
        <v>02,24</v>
      </c>
      <c r="L1465" s="71" t="s">
        <v>28</v>
      </c>
      <c r="M1465" s="71">
        <v>10167.040000000001</v>
      </c>
      <c r="N1465" s="323">
        <v>0.41666666666666702</v>
      </c>
    </row>
    <row r="1466" spans="1:14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2"/>
        <v>02,24</v>
      </c>
      <c r="L1466" s="40" t="s">
        <v>28</v>
      </c>
      <c r="M1466" s="40">
        <v>17139.68</v>
      </c>
      <c r="N1466" s="317">
        <v>0.45833333333333298</v>
      </c>
    </row>
    <row r="1467" spans="1:14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2"/>
        <v>02,24</v>
      </c>
      <c r="L1467" s="75" t="s">
        <v>28</v>
      </c>
      <c r="M1467" s="75">
        <v>17183.400000000001</v>
      </c>
      <c r="N1467" s="322">
        <v>0.5</v>
      </c>
    </row>
    <row r="1468" spans="1:14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2"/>
        <v>02,24</v>
      </c>
      <c r="L1468" s="40" t="s">
        <v>265</v>
      </c>
      <c r="M1468" s="40">
        <v>8860.7000000000007</v>
      </c>
      <c r="N1468" s="317">
        <v>0.33333333333333298</v>
      </c>
    </row>
    <row r="1469" spans="1:14" ht="19.5" hidden="1" thickBot="1" x14ac:dyDescent="0.3">
      <c r="A1469" s="732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2"/>
        <v>02,24</v>
      </c>
      <c r="L1469" s="48" t="s">
        <v>28</v>
      </c>
      <c r="M1469" s="48">
        <v>10737.28</v>
      </c>
      <c r="N1469" s="315">
        <v>0.33333333333333298</v>
      </c>
    </row>
    <row r="1470" spans="1:14" ht="19.5" hidden="1" thickBot="1" x14ac:dyDescent="0.3">
      <c r="A1470" s="732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2"/>
        <v>02,24</v>
      </c>
      <c r="L1470" s="71" t="s">
        <v>28</v>
      </c>
      <c r="M1470" s="71">
        <v>2300.06</v>
      </c>
      <c r="N1470" s="323">
        <v>0.33333333333333298</v>
      </c>
    </row>
    <row r="1471" spans="1:14" ht="19.5" hidden="1" thickBot="1" x14ac:dyDescent="0.3">
      <c r="A1471" s="731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2"/>
        <v>02,24</v>
      </c>
      <c r="L1471" s="82" t="s">
        <v>28</v>
      </c>
      <c r="M1471" s="82">
        <v>3575.14</v>
      </c>
      <c r="N1471" s="319">
        <v>0.375</v>
      </c>
    </row>
    <row r="1472" spans="1:14" ht="19.5" hidden="1" thickBot="1" x14ac:dyDescent="0.3">
      <c r="A1472" s="731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2"/>
        <v>02,24</v>
      </c>
      <c r="L1472" s="90" t="s">
        <v>28</v>
      </c>
      <c r="M1472" s="90">
        <v>9696.66</v>
      </c>
      <c r="N1472" s="325">
        <v>0.375</v>
      </c>
    </row>
    <row r="1473" spans="1:14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2"/>
        <v>02,24</v>
      </c>
      <c r="L1473" s="75" t="s">
        <v>266</v>
      </c>
      <c r="M1473" s="75">
        <v>2254.1999999999998</v>
      </c>
      <c r="N1473" s="322">
        <v>0.91666666666666696</v>
      </c>
    </row>
    <row r="1474" spans="1:14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2"/>
        <v>02,24</v>
      </c>
      <c r="L1474" s="40" t="s">
        <v>266</v>
      </c>
      <c r="M1474" s="40">
        <v>18090.240000000002</v>
      </c>
      <c r="N1474" s="317">
        <v>0.375</v>
      </c>
    </row>
    <row r="1475" spans="1:14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3">RIGHT(H1475,5)</f>
        <v>02,24</v>
      </c>
      <c r="L1475" s="75" t="s">
        <v>266</v>
      </c>
      <c r="M1475" s="75">
        <v>17965.96</v>
      </c>
      <c r="N1475" s="322">
        <v>0.41666666666666702</v>
      </c>
    </row>
    <row r="1476" spans="1:14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3"/>
        <v>02,24</v>
      </c>
      <c r="L1476" s="40" t="s">
        <v>266</v>
      </c>
      <c r="M1476" s="40">
        <v>18015</v>
      </c>
      <c r="N1476" s="317">
        <v>0.45833333333333298</v>
      </c>
    </row>
    <row r="1477" spans="1:14" ht="19.5" hidden="1" thickBot="1" x14ac:dyDescent="0.3">
      <c r="A1477" s="732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3"/>
        <v>02,24</v>
      </c>
      <c r="L1477" s="48" t="s">
        <v>266</v>
      </c>
      <c r="M1477" s="48">
        <v>546</v>
      </c>
      <c r="N1477" s="315">
        <v>0.5</v>
      </c>
    </row>
    <row r="1478" spans="1:14" ht="19.5" hidden="1" thickBot="1" x14ac:dyDescent="0.3">
      <c r="A1478" s="732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3"/>
        <v>02,24</v>
      </c>
      <c r="L1478" s="23" t="s">
        <v>266</v>
      </c>
      <c r="M1478" s="23">
        <v>2299.3200000000002</v>
      </c>
      <c r="N1478" s="329">
        <v>0.5</v>
      </c>
    </row>
    <row r="1479" spans="1:14" ht="19.5" hidden="1" thickBot="1" x14ac:dyDescent="0.3">
      <c r="A1479" s="732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3"/>
        <v>02,24</v>
      </c>
      <c r="L1479" s="23" t="s">
        <v>266</v>
      </c>
      <c r="M1479" s="23">
        <v>2767.4</v>
      </c>
      <c r="N1479" s="329">
        <v>0.5</v>
      </c>
    </row>
    <row r="1480" spans="1:14" ht="19.5" hidden="1" thickBot="1" x14ac:dyDescent="0.3">
      <c r="A1480" s="732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3"/>
        <v>02,24</v>
      </c>
      <c r="L1480" s="23" t="s">
        <v>266</v>
      </c>
      <c r="M1480" s="23">
        <v>6661.92</v>
      </c>
      <c r="N1480" s="329">
        <v>0.5</v>
      </c>
    </row>
    <row r="1481" spans="1:14" ht="19.5" hidden="1" thickBot="1" x14ac:dyDescent="0.3">
      <c r="A1481" s="732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3"/>
        <v>02,24</v>
      </c>
      <c r="L1481" s="23" t="s">
        <v>266</v>
      </c>
      <c r="M1481" s="23">
        <v>2227.7199999999998</v>
      </c>
      <c r="N1481" s="329">
        <v>0.5</v>
      </c>
    </row>
    <row r="1482" spans="1:14" ht="19.5" hidden="1" thickBot="1" x14ac:dyDescent="0.3">
      <c r="A1482" s="732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3"/>
        <v>02,24</v>
      </c>
      <c r="L1482" s="71" t="s">
        <v>266</v>
      </c>
      <c r="M1482" s="71">
        <v>2704.8</v>
      </c>
      <c r="N1482" s="323">
        <v>0.5</v>
      </c>
    </row>
    <row r="1483" spans="1:14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3"/>
        <v>03,24</v>
      </c>
      <c r="L1483" s="40" t="s">
        <v>265</v>
      </c>
      <c r="M1483" s="40">
        <v>14995.14</v>
      </c>
      <c r="N1483" s="317">
        <v>0.33333333333333298</v>
      </c>
    </row>
    <row r="1484" spans="1:14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3"/>
        <v>03,24</v>
      </c>
      <c r="L1484" s="75" t="s">
        <v>265</v>
      </c>
      <c r="M1484" s="75">
        <v>17799.68</v>
      </c>
      <c r="N1484" s="322">
        <v>0.33333333333333298</v>
      </c>
    </row>
    <row r="1485" spans="1:14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3"/>
        <v>03,24</v>
      </c>
      <c r="L1485" s="40" t="s">
        <v>265</v>
      </c>
      <c r="M1485" s="40">
        <v>17836.07</v>
      </c>
      <c r="N1485" s="317">
        <v>0.33333333333333298</v>
      </c>
    </row>
    <row r="1486" spans="1:14" ht="19.5" hidden="1" thickBot="1" x14ac:dyDescent="0.3">
      <c r="A1486" s="732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3"/>
        <v>03,24</v>
      </c>
      <c r="L1486" s="48" t="s">
        <v>28</v>
      </c>
      <c r="M1486" s="48">
        <v>2188.64</v>
      </c>
      <c r="N1486" s="315">
        <v>0.375</v>
      </c>
    </row>
    <row r="1487" spans="1:14" ht="19.5" hidden="1" thickBot="1" x14ac:dyDescent="0.3">
      <c r="A1487" s="732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3"/>
        <v>03,24</v>
      </c>
      <c r="L1487" s="23" t="s">
        <v>28</v>
      </c>
      <c r="M1487" s="23">
        <v>12270.82</v>
      </c>
      <c r="N1487" s="329">
        <v>0.375</v>
      </c>
    </row>
    <row r="1488" spans="1:14" ht="19.5" hidden="1" thickBot="1" x14ac:dyDescent="0.3">
      <c r="A1488" s="732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3"/>
        <v>03,24</v>
      </c>
      <c r="L1488" s="71" t="s">
        <v>28</v>
      </c>
      <c r="M1488" s="71">
        <v>3044.82</v>
      </c>
      <c r="N1488" s="323">
        <v>0.375</v>
      </c>
    </row>
    <row r="1489" spans="1:14" ht="19.5" hidden="1" thickBot="1" x14ac:dyDescent="0.3">
      <c r="A1489" s="731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3"/>
        <v>03,24</v>
      </c>
      <c r="L1489" s="82" t="s">
        <v>28</v>
      </c>
      <c r="M1489" s="82">
        <v>12280.8</v>
      </c>
      <c r="N1489" s="319">
        <v>0.41666666666666702</v>
      </c>
    </row>
    <row r="1490" spans="1:14" ht="19.5" hidden="1" thickBot="1" x14ac:dyDescent="0.3">
      <c r="A1490" s="731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3"/>
        <v>03,24</v>
      </c>
      <c r="L1490" s="90" t="s">
        <v>28</v>
      </c>
      <c r="M1490" s="90">
        <v>5444.37</v>
      </c>
      <c r="N1490" s="325">
        <v>0.41666666666666702</v>
      </c>
    </row>
    <row r="1491" spans="1:14" ht="19.5" hidden="1" thickBot="1" x14ac:dyDescent="0.3">
      <c r="A1491" s="732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3"/>
        <v>03,24</v>
      </c>
      <c r="L1491" s="48" t="s">
        <v>28</v>
      </c>
      <c r="M1491" s="48">
        <v>5509.42</v>
      </c>
      <c r="N1491" s="315">
        <v>0.45833333333333298</v>
      </c>
    </row>
    <row r="1492" spans="1:14" ht="19.5" hidden="1" thickBot="1" x14ac:dyDescent="0.3">
      <c r="A1492" s="732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3"/>
        <v>03,24</v>
      </c>
      <c r="L1492" s="71" t="s">
        <v>28</v>
      </c>
      <c r="M1492" s="71">
        <v>12181.74</v>
      </c>
      <c r="N1492" s="323">
        <v>0.45833333333333298</v>
      </c>
    </row>
    <row r="1493" spans="1:14" ht="18.75" hidden="1" customHeight="1" thickBot="1" x14ac:dyDescent="0.3">
      <c r="A1493" s="731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734" t="s">
        <v>72</v>
      </c>
      <c r="H1493" s="82" t="s">
        <v>375</v>
      </c>
      <c r="I1493" s="147" t="s">
        <v>375</v>
      </c>
      <c r="J1493" s="86"/>
      <c r="K1493" s="82" t="str">
        <f t="shared" si="23"/>
        <v>03,24</v>
      </c>
      <c r="L1493" s="82" t="s">
        <v>265</v>
      </c>
      <c r="M1493" s="82">
        <v>8696.08</v>
      </c>
      <c r="N1493" s="319">
        <v>0.33333333333333298</v>
      </c>
    </row>
    <row r="1494" spans="1:14" ht="19.5" hidden="1" thickBot="1" x14ac:dyDescent="0.3">
      <c r="A1494" s="731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734"/>
      <c r="H1494" s="90" t="s">
        <v>375</v>
      </c>
      <c r="I1494" s="172" t="s">
        <v>375</v>
      </c>
      <c r="J1494" s="173"/>
      <c r="K1494" s="90" t="str">
        <f t="shared" si="23"/>
        <v>03,24</v>
      </c>
      <c r="L1494" s="90" t="s">
        <v>265</v>
      </c>
      <c r="M1494" s="90">
        <v>6065.08</v>
      </c>
      <c r="N1494" s="325">
        <v>0.41666666666666702</v>
      </c>
    </row>
    <row r="1495" spans="1:14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3"/>
        <v>03,24</v>
      </c>
      <c r="L1495" s="75" t="s">
        <v>265</v>
      </c>
      <c r="M1495" s="75">
        <v>17582.62</v>
      </c>
      <c r="N1495" s="322">
        <v>0.33333333333333298</v>
      </c>
    </row>
    <row r="1496" spans="1:14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3"/>
        <v>03,24</v>
      </c>
      <c r="L1496" s="40" t="s">
        <v>265</v>
      </c>
      <c r="M1496" s="40">
        <v>17788.650000000001</v>
      </c>
      <c r="N1496" s="317">
        <v>0.375</v>
      </c>
    </row>
    <row r="1497" spans="1:14" ht="19.5" hidden="1" thickBot="1" x14ac:dyDescent="0.3">
      <c r="A1497" s="732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3"/>
        <v>03,24</v>
      </c>
      <c r="L1497" s="48" t="s">
        <v>28</v>
      </c>
      <c r="M1497" s="48">
        <v>8725.0400000000009</v>
      </c>
      <c r="N1497" s="315">
        <v>0.41666666666666702</v>
      </c>
    </row>
    <row r="1498" spans="1:14" ht="19.5" hidden="1" thickBot="1" x14ac:dyDescent="0.3">
      <c r="A1498" s="732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3"/>
        <v>03,24</v>
      </c>
      <c r="L1498" s="71" t="s">
        <v>28</v>
      </c>
      <c r="M1498" s="71">
        <v>8647.86</v>
      </c>
      <c r="N1498" s="323">
        <v>0.41666666666666702</v>
      </c>
    </row>
    <row r="1499" spans="1:14" ht="19.5" hidden="1" thickBot="1" x14ac:dyDescent="0.3">
      <c r="A1499" s="731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3"/>
        <v>03,24</v>
      </c>
      <c r="L1499" s="82" t="s">
        <v>28</v>
      </c>
      <c r="M1499" s="82">
        <v>3399.94</v>
      </c>
      <c r="N1499" s="319">
        <v>0.45833333333333298</v>
      </c>
    </row>
    <row r="1500" spans="1:14" ht="19.5" hidden="1" thickBot="1" x14ac:dyDescent="0.3">
      <c r="A1500" s="731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3"/>
        <v>03,24</v>
      </c>
      <c r="L1500" s="98" t="s">
        <v>28</v>
      </c>
      <c r="M1500" s="98">
        <v>7586.52</v>
      </c>
      <c r="N1500" s="364">
        <v>0.45833333333333298</v>
      </c>
    </row>
    <row r="1501" spans="1:14" ht="19.5" hidden="1" thickBot="1" x14ac:dyDescent="0.3">
      <c r="A1501" s="731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3"/>
        <v>03,24</v>
      </c>
      <c r="L1501" s="90" t="s">
        <v>28</v>
      </c>
      <c r="M1501" s="90">
        <v>6718.78</v>
      </c>
      <c r="N1501" s="325">
        <v>0.45833333333333298</v>
      </c>
    </row>
    <row r="1502" spans="1:14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3"/>
        <v>03,24</v>
      </c>
      <c r="L1502" s="75" t="s">
        <v>265</v>
      </c>
      <c r="M1502" s="75">
        <v>10025.94</v>
      </c>
      <c r="N1502" s="322">
        <v>0.375</v>
      </c>
    </row>
    <row r="1503" spans="1:14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3"/>
        <v>03,24</v>
      </c>
      <c r="L1503" s="40" t="s">
        <v>28</v>
      </c>
      <c r="M1503" s="40">
        <v>13190.4</v>
      </c>
      <c r="N1503" s="317">
        <v>0.33333333333333298</v>
      </c>
    </row>
    <row r="1504" spans="1:14" ht="19.5" hidden="1" thickBot="1" x14ac:dyDescent="0.3">
      <c r="A1504" s="732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3"/>
        <v>03,24</v>
      </c>
      <c r="L1504" s="48" t="s">
        <v>28</v>
      </c>
      <c r="M1504" s="48">
        <v>6631.72</v>
      </c>
      <c r="N1504" s="315">
        <v>0.375</v>
      </c>
    </row>
    <row r="1505" spans="1:14" ht="19.5" hidden="1" thickBot="1" x14ac:dyDescent="0.3">
      <c r="A1505" s="732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3"/>
        <v>03,24</v>
      </c>
      <c r="L1505" s="23" t="s">
        <v>28</v>
      </c>
      <c r="M1505" s="23">
        <v>3994.44</v>
      </c>
      <c r="N1505" s="329">
        <v>0.375</v>
      </c>
    </row>
    <row r="1506" spans="1:14" ht="19.5" hidden="1" thickBot="1" x14ac:dyDescent="0.3">
      <c r="A1506" s="732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3"/>
        <v>03,24</v>
      </c>
      <c r="L1506" s="71" t="s">
        <v>28</v>
      </c>
      <c r="M1506" s="71">
        <v>2548.1799999999998</v>
      </c>
      <c r="N1506" s="323">
        <v>0.375</v>
      </c>
    </row>
    <row r="1507" spans="1:14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3"/>
        <v>03,24</v>
      </c>
      <c r="L1507" s="40" t="s">
        <v>266</v>
      </c>
      <c r="M1507" s="40">
        <v>17947.68</v>
      </c>
      <c r="N1507" s="317">
        <v>0.45833333333333298</v>
      </c>
    </row>
    <row r="1508" spans="1:14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3"/>
        <v>03,24</v>
      </c>
      <c r="L1508" s="75" t="s">
        <v>266</v>
      </c>
      <c r="M1508" s="75">
        <v>17899.68</v>
      </c>
      <c r="N1508" s="322">
        <v>0.5</v>
      </c>
    </row>
    <row r="1509" spans="1:14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3"/>
        <v>03,24</v>
      </c>
      <c r="L1509" s="40" t="s">
        <v>266</v>
      </c>
      <c r="M1509" s="40">
        <v>18080.64</v>
      </c>
      <c r="N1509" s="317">
        <v>0.375</v>
      </c>
    </row>
    <row r="1510" spans="1:14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3"/>
        <v>03,24</v>
      </c>
      <c r="L1510" s="75" t="s">
        <v>266</v>
      </c>
      <c r="M1510" s="75">
        <v>18184.68</v>
      </c>
      <c r="N1510" s="322">
        <v>0.41666666666666702</v>
      </c>
    </row>
    <row r="1511" spans="1:14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3"/>
        <v>03,24</v>
      </c>
      <c r="L1511" s="40" t="s">
        <v>266</v>
      </c>
      <c r="M1511" s="40">
        <v>18007.8</v>
      </c>
      <c r="N1511" s="317">
        <v>0.45833333333333298</v>
      </c>
    </row>
    <row r="1512" spans="1:14" ht="19.5" hidden="1" thickBot="1" x14ac:dyDescent="0.3">
      <c r="A1512" s="732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3"/>
        <v>03,24</v>
      </c>
      <c r="L1512" s="48" t="s">
        <v>266</v>
      </c>
      <c r="M1512" s="48">
        <v>6288.64</v>
      </c>
      <c r="N1512" s="315">
        <v>0.5</v>
      </c>
    </row>
    <row r="1513" spans="1:14" ht="19.5" hidden="1" thickBot="1" x14ac:dyDescent="0.3">
      <c r="A1513" s="732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3"/>
        <v>03,24</v>
      </c>
      <c r="L1513" s="23" t="s">
        <v>266</v>
      </c>
      <c r="M1513" s="23">
        <v>2799.56</v>
      </c>
      <c r="N1513" s="329">
        <v>0.5</v>
      </c>
    </row>
    <row r="1514" spans="1:14" ht="19.5" hidden="1" thickBot="1" x14ac:dyDescent="0.3">
      <c r="A1514" s="732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3"/>
        <v>03,24</v>
      </c>
      <c r="L1514" s="23" t="s">
        <v>266</v>
      </c>
      <c r="M1514" s="23">
        <v>2734.85</v>
      </c>
      <c r="N1514" s="329">
        <v>0.5</v>
      </c>
    </row>
    <row r="1515" spans="1:14" ht="19.5" hidden="1" thickBot="1" x14ac:dyDescent="0.3">
      <c r="A1515" s="732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3"/>
        <v>03,24</v>
      </c>
      <c r="L1515" s="23" t="s">
        <v>266</v>
      </c>
      <c r="M1515" s="23">
        <v>2011.2</v>
      </c>
      <c r="N1515" s="329">
        <v>0.5</v>
      </c>
    </row>
    <row r="1516" spans="1:14" ht="19.5" hidden="1" thickBot="1" x14ac:dyDescent="0.3">
      <c r="A1516" s="732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3"/>
        <v>03,24</v>
      </c>
      <c r="L1516" s="71" t="s">
        <v>266</v>
      </c>
      <c r="M1516" s="71">
        <v>4065.07</v>
      </c>
      <c r="N1516" s="323">
        <v>0.5</v>
      </c>
    </row>
    <row r="1517" spans="1:14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3"/>
        <v>03,24</v>
      </c>
      <c r="L1517" s="40" t="s">
        <v>265</v>
      </c>
      <c r="M1517" s="40">
        <v>13056.2</v>
      </c>
      <c r="N1517" s="317">
        <v>0.33333333333333298</v>
      </c>
    </row>
    <row r="1518" spans="1:14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3"/>
        <v>03,24</v>
      </c>
      <c r="L1518" s="75" t="s">
        <v>266</v>
      </c>
      <c r="M1518" s="75">
        <v>5939.86</v>
      </c>
      <c r="N1518" s="322">
        <v>0.41666666666666702</v>
      </c>
    </row>
    <row r="1519" spans="1:14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3"/>
        <v>03,24</v>
      </c>
      <c r="L1519" s="40" t="s">
        <v>265</v>
      </c>
      <c r="M1519" s="40">
        <v>16695.18</v>
      </c>
      <c r="N1519" s="317">
        <v>0.33333333333333298</v>
      </c>
    </row>
    <row r="1520" spans="1:14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3"/>
        <v>03,24</v>
      </c>
      <c r="L1520" s="75" t="s">
        <v>266</v>
      </c>
      <c r="M1520" s="75">
        <v>17821.47</v>
      </c>
      <c r="N1520" s="322">
        <v>0.41666666666666702</v>
      </c>
    </row>
    <row r="1521" spans="1:14" ht="19.5" hidden="1" thickBot="1" x14ac:dyDescent="0.3">
      <c r="A1521" s="731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3"/>
        <v>03,24</v>
      </c>
      <c r="L1521" s="82" t="s">
        <v>265</v>
      </c>
      <c r="M1521" s="82">
        <v>14913.24</v>
      </c>
      <c r="N1521" s="319">
        <v>0.33333333333333298</v>
      </c>
    </row>
    <row r="1522" spans="1:14" ht="19.5" hidden="1" thickBot="1" x14ac:dyDescent="0.3">
      <c r="A1522" s="731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3"/>
        <v>03,24</v>
      </c>
      <c r="L1522" s="90" t="s">
        <v>265</v>
      </c>
      <c r="M1522" s="90">
        <v>2209.66</v>
      </c>
      <c r="N1522" s="325">
        <v>0.33333333333333298</v>
      </c>
    </row>
    <row r="1523" spans="1:14" ht="19.5" hidden="1" thickBot="1" x14ac:dyDescent="0.3">
      <c r="A1523" s="732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3"/>
        <v>03,24</v>
      </c>
      <c r="L1523" s="48" t="s">
        <v>28</v>
      </c>
      <c r="M1523" s="48">
        <v>9268.92</v>
      </c>
      <c r="N1523" s="315">
        <v>0.375</v>
      </c>
    </row>
    <row r="1524" spans="1:14" ht="19.5" hidden="1" thickBot="1" x14ac:dyDescent="0.3">
      <c r="A1524" s="732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3"/>
        <v>03,24</v>
      </c>
      <c r="L1524" s="71" t="s">
        <v>28</v>
      </c>
      <c r="M1524" s="71">
        <v>8136.7</v>
      </c>
      <c r="N1524" s="323">
        <v>0.375</v>
      </c>
    </row>
    <row r="1525" spans="1:14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3"/>
        <v>03,24</v>
      </c>
      <c r="L1525" s="40" t="s">
        <v>28</v>
      </c>
      <c r="M1525" s="40">
        <v>17337.759999999998</v>
      </c>
      <c r="N1525" s="317">
        <v>0.41666666666666702</v>
      </c>
    </row>
    <row r="1526" spans="1:14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3"/>
        <v>03,24</v>
      </c>
      <c r="L1526" s="75" t="s">
        <v>28</v>
      </c>
      <c r="M1526" s="75">
        <v>17563.53</v>
      </c>
      <c r="N1526" s="322">
        <v>0.45833333333333298</v>
      </c>
    </row>
    <row r="1527" spans="1:14" ht="19.5" hidden="1" thickBot="1" x14ac:dyDescent="0.3">
      <c r="A1527" s="731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3"/>
        <v>03,24</v>
      </c>
      <c r="L1527" s="82" t="s">
        <v>28</v>
      </c>
      <c r="M1527" s="82">
        <v>8886.0300000000007</v>
      </c>
      <c r="N1527" s="319">
        <v>0.5</v>
      </c>
    </row>
    <row r="1528" spans="1:14" ht="19.5" hidden="1" thickBot="1" x14ac:dyDescent="0.3">
      <c r="A1528" s="731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3"/>
        <v>03,24</v>
      </c>
      <c r="L1528" s="98" t="s">
        <v>28</v>
      </c>
      <c r="M1528" s="98">
        <v>6229.8</v>
      </c>
      <c r="N1528" s="364">
        <v>0.5</v>
      </c>
    </row>
    <row r="1529" spans="1:14" ht="19.5" hidden="1" thickBot="1" x14ac:dyDescent="0.3">
      <c r="A1529" s="731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3"/>
        <v>03,24</v>
      </c>
      <c r="L1529" s="90" t="s">
        <v>28</v>
      </c>
      <c r="M1529" s="90">
        <v>2115</v>
      </c>
      <c r="N1529" s="325">
        <v>0.5</v>
      </c>
    </row>
    <row r="1530" spans="1:14" ht="19.5" hidden="1" customHeight="1" thickBot="1" x14ac:dyDescent="0.3">
      <c r="A1530" s="732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737" t="s">
        <v>72</v>
      </c>
      <c r="H1530" s="48" t="s">
        <v>382</v>
      </c>
      <c r="I1530" s="163" t="s">
        <v>382</v>
      </c>
      <c r="J1530" s="52"/>
      <c r="K1530" s="48" t="str">
        <f t="shared" si="23"/>
        <v>03,24</v>
      </c>
      <c r="L1530" s="48" t="s">
        <v>265</v>
      </c>
      <c r="M1530" s="48">
        <v>8004.6</v>
      </c>
      <c r="N1530" s="315">
        <v>0.33333333333333298</v>
      </c>
    </row>
    <row r="1531" spans="1:14" ht="19.5" hidden="1" thickBot="1" x14ac:dyDescent="0.3">
      <c r="A1531" s="732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737"/>
      <c r="H1531" s="71" t="s">
        <v>382</v>
      </c>
      <c r="I1531" s="167" t="s">
        <v>382</v>
      </c>
      <c r="J1531" s="168"/>
      <c r="K1531" s="71" t="str">
        <f t="shared" si="23"/>
        <v>03,24</v>
      </c>
      <c r="L1531" s="71" t="s">
        <v>265</v>
      </c>
      <c r="M1531" s="71">
        <v>6267.1</v>
      </c>
      <c r="N1531" s="323">
        <v>0.41666666666666702</v>
      </c>
    </row>
    <row r="1532" spans="1:14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3"/>
        <v>03,24</v>
      </c>
      <c r="L1532" s="40" t="s">
        <v>265</v>
      </c>
      <c r="M1532" s="40">
        <v>17695.61</v>
      </c>
      <c r="N1532" s="317">
        <v>0.33333333333333298</v>
      </c>
    </row>
    <row r="1533" spans="1:14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3"/>
        <v>03,24</v>
      </c>
      <c r="L1533" s="75" t="s">
        <v>265</v>
      </c>
      <c r="M1533" s="75">
        <v>17658.11</v>
      </c>
      <c r="N1533" s="322">
        <v>0.375</v>
      </c>
    </row>
    <row r="1534" spans="1:14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3"/>
        <v>03,24</v>
      </c>
      <c r="L1534" s="40" t="s">
        <v>28</v>
      </c>
      <c r="M1534" s="40">
        <v>17344.22</v>
      </c>
      <c r="N1534" s="317">
        <v>0.41666666666666702</v>
      </c>
    </row>
    <row r="1535" spans="1:14" ht="19.5" hidden="1" thickBot="1" x14ac:dyDescent="0.3">
      <c r="A1535" s="732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3"/>
        <v>03,24</v>
      </c>
      <c r="L1535" s="48" t="s">
        <v>28</v>
      </c>
      <c r="M1535" s="48">
        <v>5006</v>
      </c>
      <c r="N1535" s="315">
        <v>0.45833333333333298</v>
      </c>
    </row>
    <row r="1536" spans="1:14" ht="19.5" hidden="1" thickBot="1" x14ac:dyDescent="0.3">
      <c r="A1536" s="732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3"/>
        <v>03,24</v>
      </c>
      <c r="L1536" s="23" t="s">
        <v>28</v>
      </c>
      <c r="M1536" s="23">
        <v>9171.35</v>
      </c>
      <c r="N1536" s="329">
        <v>0.45833333333333298</v>
      </c>
    </row>
    <row r="1537" spans="1:14" ht="19.5" hidden="1" thickBot="1" x14ac:dyDescent="0.3">
      <c r="A1537" s="732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3"/>
        <v>03,24</v>
      </c>
      <c r="L1537" s="71" t="s">
        <v>28</v>
      </c>
      <c r="M1537" s="71">
        <v>3125.04</v>
      </c>
      <c r="N1537" s="323">
        <v>0.45833333333333298</v>
      </c>
    </row>
    <row r="1538" spans="1:14" ht="19.5" hidden="1" thickBot="1" x14ac:dyDescent="0.3">
      <c r="A1538" s="731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3"/>
        <v>03,24</v>
      </c>
      <c r="L1538" s="82" t="s">
        <v>28</v>
      </c>
      <c r="M1538" s="82">
        <v>7097.33</v>
      </c>
      <c r="N1538" s="319">
        <v>0.5</v>
      </c>
    </row>
    <row r="1539" spans="1:14" ht="19.5" hidden="1" thickBot="1" x14ac:dyDescent="0.3">
      <c r="A1539" s="731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4">RIGHT(H1539,5)</f>
        <v>03,24</v>
      </c>
      <c r="L1539" s="98" t="s">
        <v>28</v>
      </c>
      <c r="M1539" s="98">
        <v>5115.2</v>
      </c>
      <c r="N1539" s="364">
        <v>0.5</v>
      </c>
    </row>
    <row r="1540" spans="1:14" ht="19.5" hidden="1" thickBot="1" x14ac:dyDescent="0.3">
      <c r="A1540" s="731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4"/>
        <v>03,24</v>
      </c>
      <c r="L1540" s="90" t="s">
        <v>28</v>
      </c>
      <c r="M1540" s="90">
        <v>5065.2</v>
      </c>
      <c r="N1540" s="325">
        <v>0.5</v>
      </c>
    </row>
    <row r="1541" spans="1:14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4"/>
        <v>03,24</v>
      </c>
      <c r="L1541" s="75" t="s">
        <v>266</v>
      </c>
      <c r="M1541" s="75">
        <v>11456.3</v>
      </c>
      <c r="N1541" s="322">
        <v>0.33333333333333298</v>
      </c>
    </row>
    <row r="1542" spans="1:14" ht="19.5" hidden="1" thickBot="1" x14ac:dyDescent="0.3">
      <c r="A1542" s="731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4"/>
        <v>03,24</v>
      </c>
      <c r="L1542" s="82" t="s">
        <v>266</v>
      </c>
      <c r="M1542" s="82">
        <v>9282.74</v>
      </c>
      <c r="N1542" s="319">
        <v>0.375</v>
      </c>
    </row>
    <row r="1543" spans="1:14" ht="19.5" hidden="1" thickBot="1" x14ac:dyDescent="0.3">
      <c r="A1543" s="731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4"/>
        <v>03,24</v>
      </c>
      <c r="L1543" s="90" t="s">
        <v>266</v>
      </c>
      <c r="M1543" s="90">
        <v>4010.48</v>
      </c>
      <c r="N1543" s="325">
        <v>0.375</v>
      </c>
    </row>
    <row r="1544" spans="1:14" ht="19.5" hidden="1" thickBot="1" x14ac:dyDescent="0.3">
      <c r="A1544" s="732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4"/>
        <v>03,24</v>
      </c>
      <c r="L1544" s="48" t="s">
        <v>266</v>
      </c>
      <c r="M1544" s="48">
        <v>2117.3200000000002</v>
      </c>
      <c r="N1544" s="315">
        <v>0.41666666666666702</v>
      </c>
    </row>
    <row r="1545" spans="1:14" ht="19.5" hidden="1" thickBot="1" x14ac:dyDescent="0.3">
      <c r="A1545" s="732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4"/>
        <v>03,24</v>
      </c>
      <c r="L1545" s="71" t="s">
        <v>266</v>
      </c>
      <c r="M1545" s="71">
        <v>7176.5</v>
      </c>
      <c r="N1545" s="323">
        <v>0.41666666666666702</v>
      </c>
    </row>
    <row r="1546" spans="1:14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4"/>
        <v>03,24</v>
      </c>
      <c r="L1546" s="40" t="s">
        <v>265</v>
      </c>
      <c r="M1546" s="40">
        <v>17690.419999999998</v>
      </c>
      <c r="N1546" s="317">
        <v>0.33333333333333298</v>
      </c>
    </row>
    <row r="1547" spans="1:14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4"/>
        <v>03,24</v>
      </c>
      <c r="L1547" s="75" t="s">
        <v>266</v>
      </c>
      <c r="M1547" s="75">
        <v>1809</v>
      </c>
      <c r="N1547" s="322">
        <v>0.91666666666666696</v>
      </c>
    </row>
    <row r="1548" spans="1:14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4"/>
        <v>03,24</v>
      </c>
      <c r="L1548" s="40" t="s">
        <v>266</v>
      </c>
      <c r="M1548" s="40">
        <v>18040.7</v>
      </c>
      <c r="N1548" s="317">
        <v>0.375</v>
      </c>
    </row>
    <row r="1549" spans="1:14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4"/>
        <v>03,24</v>
      </c>
      <c r="L1549" s="75" t="s">
        <v>266</v>
      </c>
      <c r="M1549" s="75">
        <v>18000</v>
      </c>
      <c r="N1549" s="322">
        <v>0.41666666666666702</v>
      </c>
    </row>
    <row r="1550" spans="1:14" ht="19.5" hidden="1" thickBot="1" x14ac:dyDescent="0.3">
      <c r="A1550" s="731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4"/>
        <v>03,24</v>
      </c>
      <c r="L1550" s="82" t="s">
        <v>266</v>
      </c>
      <c r="M1550" s="82">
        <v>6929.24</v>
      </c>
      <c r="N1550" s="319">
        <v>0.45833333333333298</v>
      </c>
    </row>
    <row r="1551" spans="1:14" ht="19.5" hidden="1" thickBot="1" x14ac:dyDescent="0.3">
      <c r="A1551" s="731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4"/>
        <v>03,24</v>
      </c>
      <c r="L1551" s="98" t="s">
        <v>266</v>
      </c>
      <c r="M1551" s="98">
        <v>754.8</v>
      </c>
      <c r="N1551" s="364">
        <v>0.45833333333333298</v>
      </c>
    </row>
    <row r="1552" spans="1:14" ht="19.5" hidden="1" thickBot="1" x14ac:dyDescent="0.3">
      <c r="A1552" s="731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4"/>
        <v>03,24</v>
      </c>
      <c r="L1552" s="98" t="s">
        <v>266</v>
      </c>
      <c r="M1552" s="98">
        <v>3828.26</v>
      </c>
      <c r="N1552" s="364">
        <v>0.45833333333333298</v>
      </c>
    </row>
    <row r="1553" spans="1:14" ht="19.5" hidden="1" thickBot="1" x14ac:dyDescent="0.3">
      <c r="A1553" s="731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4"/>
        <v>03,24</v>
      </c>
      <c r="L1553" s="98" t="s">
        <v>266</v>
      </c>
      <c r="M1553" s="98">
        <v>3601.2</v>
      </c>
      <c r="N1553" s="364">
        <v>0.45833333333333298</v>
      </c>
    </row>
    <row r="1554" spans="1:14" ht="19.5" hidden="1" thickBot="1" x14ac:dyDescent="0.3">
      <c r="A1554" s="731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4"/>
        <v>03,24</v>
      </c>
      <c r="L1554" s="90" t="s">
        <v>266</v>
      </c>
      <c r="M1554" s="90">
        <v>2205.16</v>
      </c>
      <c r="N1554" s="325">
        <v>0.45833333333333298</v>
      </c>
    </row>
    <row r="1555" spans="1:14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4"/>
        <v>03,24</v>
      </c>
      <c r="L1555" s="75" t="s">
        <v>265</v>
      </c>
      <c r="M1555" s="75">
        <v>13306.1</v>
      </c>
      <c r="N1555" s="322">
        <v>0.33333333333333298</v>
      </c>
    </row>
    <row r="1556" spans="1:14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4"/>
        <v>03,24</v>
      </c>
      <c r="L1556" s="40" t="s">
        <v>265</v>
      </c>
      <c r="M1556" s="40">
        <v>17554.169999999998</v>
      </c>
      <c r="N1556" s="317">
        <v>0.33333333333333298</v>
      </c>
    </row>
    <row r="1557" spans="1:14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4"/>
        <v>03,24</v>
      </c>
      <c r="L1557" s="75" t="s">
        <v>266</v>
      </c>
      <c r="M1557" s="75">
        <v>17017.68</v>
      </c>
      <c r="N1557" s="322">
        <v>0.41666666666666702</v>
      </c>
    </row>
    <row r="1558" spans="1:14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4"/>
        <v>03,24</v>
      </c>
      <c r="L1558" s="40" t="s">
        <v>265</v>
      </c>
      <c r="M1558" s="40">
        <v>17719.96</v>
      </c>
      <c r="N1558" s="317">
        <v>0.33333333333333298</v>
      </c>
    </row>
    <row r="1559" spans="1:14" ht="19.5" hidden="1" thickBot="1" x14ac:dyDescent="0.3">
      <c r="A1559" s="732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4"/>
        <v>03,24</v>
      </c>
      <c r="L1559" s="48" t="s">
        <v>28</v>
      </c>
      <c r="M1559" s="48">
        <v>7062.74</v>
      </c>
      <c r="N1559" s="315">
        <v>0.375</v>
      </c>
    </row>
    <row r="1560" spans="1:14" ht="19.5" hidden="1" thickBot="1" x14ac:dyDescent="0.3">
      <c r="A1560" s="732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4"/>
        <v>03,24</v>
      </c>
      <c r="L1560" s="71" t="s">
        <v>28</v>
      </c>
      <c r="M1560" s="71">
        <v>10161.219999999999</v>
      </c>
      <c r="N1560" s="323">
        <v>0.375</v>
      </c>
    </row>
    <row r="1561" spans="1:14" ht="19.5" hidden="1" thickBot="1" x14ac:dyDescent="0.3">
      <c r="A1561" s="731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4"/>
        <v>03,24</v>
      </c>
      <c r="L1561" s="82" t="s">
        <v>28</v>
      </c>
      <c r="M1561" s="82">
        <v>2475.5700000000002</v>
      </c>
      <c r="N1561" s="319">
        <v>0.41666666666666702</v>
      </c>
    </row>
    <row r="1562" spans="1:14" ht="19.5" hidden="1" thickBot="1" x14ac:dyDescent="0.3">
      <c r="A1562" s="731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4"/>
        <v>03,24</v>
      </c>
      <c r="L1562" s="98" t="s">
        <v>28</v>
      </c>
      <c r="M1562" s="98">
        <v>12537.52</v>
      </c>
      <c r="N1562" s="364">
        <v>0.41666666666666702</v>
      </c>
    </row>
    <row r="1563" spans="1:14" ht="19.5" hidden="1" thickBot="1" x14ac:dyDescent="0.3">
      <c r="A1563" s="731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4"/>
        <v>03,24</v>
      </c>
      <c r="L1563" s="90" t="s">
        <v>28</v>
      </c>
      <c r="M1563" s="90">
        <v>2310</v>
      </c>
      <c r="N1563" s="325">
        <v>0.41666666666666702</v>
      </c>
    </row>
    <row r="1564" spans="1:14" ht="19.5" hidden="1" thickBot="1" x14ac:dyDescent="0.3">
      <c r="A1564" s="732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4"/>
        <v>03,24</v>
      </c>
      <c r="L1564" s="48" t="s">
        <v>28</v>
      </c>
      <c r="M1564" s="48">
        <v>10147.52</v>
      </c>
      <c r="N1564" s="315">
        <v>0.45833333333333298</v>
      </c>
    </row>
    <row r="1565" spans="1:14" ht="19.5" hidden="1" thickBot="1" x14ac:dyDescent="0.3">
      <c r="A1565" s="732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4"/>
        <v>03,24</v>
      </c>
      <c r="L1565" s="71" t="s">
        <v>28</v>
      </c>
      <c r="M1565" s="71">
        <v>7228.6</v>
      </c>
      <c r="N1565" s="323">
        <v>0.45833333333333298</v>
      </c>
    </row>
    <row r="1566" spans="1:14" ht="19.5" hidden="1" thickBot="1" x14ac:dyDescent="0.3">
      <c r="A1566" s="731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4"/>
        <v>03,24</v>
      </c>
      <c r="L1566" s="82" t="s">
        <v>265</v>
      </c>
      <c r="M1566" s="82">
        <v>8601.9</v>
      </c>
      <c r="N1566" s="319">
        <v>0.33333333333333298</v>
      </c>
    </row>
    <row r="1567" spans="1:14" ht="19.5" hidden="1" thickBot="1" x14ac:dyDescent="0.3">
      <c r="A1567" s="731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4"/>
        <v>03,24</v>
      </c>
      <c r="L1567" s="90" t="s">
        <v>265</v>
      </c>
      <c r="M1567" s="90">
        <v>3691.26</v>
      </c>
      <c r="N1567" s="325">
        <v>0.41666666666666702</v>
      </c>
    </row>
    <row r="1568" spans="1:14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4"/>
        <v>03,24</v>
      </c>
      <c r="L1568" s="75" t="s">
        <v>265</v>
      </c>
      <c r="M1568" s="75">
        <v>17657.12</v>
      </c>
      <c r="N1568" s="322">
        <v>0.33333333333333298</v>
      </c>
    </row>
    <row r="1569" spans="1:14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4"/>
        <v>03,24</v>
      </c>
      <c r="L1569" s="40" t="s">
        <v>265</v>
      </c>
      <c r="M1569" s="40">
        <v>17684.060000000001</v>
      </c>
      <c r="N1569" s="317">
        <v>0.375</v>
      </c>
    </row>
    <row r="1570" spans="1:14" ht="19.5" hidden="1" thickBot="1" x14ac:dyDescent="0.3">
      <c r="A1570" s="732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4"/>
        <v>03,24</v>
      </c>
      <c r="L1570" s="48" t="s">
        <v>28</v>
      </c>
      <c r="M1570" s="48">
        <v>13156.02</v>
      </c>
      <c r="N1570" s="315">
        <v>0.41666666666666702</v>
      </c>
    </row>
    <row r="1571" spans="1:14" ht="19.5" hidden="1" thickBot="1" x14ac:dyDescent="0.3">
      <c r="A1571" s="732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4"/>
        <v>03,24</v>
      </c>
      <c r="L1571" s="71" t="s">
        <v>28</v>
      </c>
      <c r="M1571" s="71">
        <v>4368.96</v>
      </c>
      <c r="N1571" s="323">
        <v>0.41666666666666702</v>
      </c>
    </row>
    <row r="1572" spans="1:14" ht="19.5" hidden="1" thickBot="1" x14ac:dyDescent="0.3">
      <c r="A1572" s="731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4"/>
        <v>03,24</v>
      </c>
      <c r="L1572" s="82" t="s">
        <v>28</v>
      </c>
      <c r="M1572" s="82">
        <v>4995.7</v>
      </c>
      <c r="N1572" s="319">
        <v>0.45833333333333298</v>
      </c>
    </row>
    <row r="1573" spans="1:14" ht="19.5" hidden="1" thickBot="1" x14ac:dyDescent="0.3">
      <c r="A1573" s="731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4"/>
        <v>03,24</v>
      </c>
      <c r="L1573" s="90" t="s">
        <v>28</v>
      </c>
      <c r="M1573" s="90">
        <v>12603.34</v>
      </c>
      <c r="N1573" s="325">
        <v>0.45833333333333298</v>
      </c>
    </row>
    <row r="1574" spans="1:14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4"/>
        <v>03,24</v>
      </c>
      <c r="L1574" s="75" t="s">
        <v>266</v>
      </c>
      <c r="M1574" s="75">
        <v>13649.32</v>
      </c>
      <c r="N1574" s="322">
        <v>0.33333333333333298</v>
      </c>
    </row>
    <row r="1575" spans="1:14" ht="19.5" hidden="1" thickBot="1" x14ac:dyDescent="0.3">
      <c r="A1575" s="731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4"/>
        <v>03,24</v>
      </c>
      <c r="L1575" s="82" t="s">
        <v>266</v>
      </c>
      <c r="M1575" s="82">
        <v>3773.24</v>
      </c>
      <c r="N1575" s="319">
        <v>0.375</v>
      </c>
    </row>
    <row r="1576" spans="1:14" ht="19.5" hidden="1" thickBot="1" x14ac:dyDescent="0.3">
      <c r="A1576" s="731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4"/>
        <v>03,24</v>
      </c>
      <c r="L1576" s="98" t="s">
        <v>266</v>
      </c>
      <c r="M1576" s="98">
        <v>2010.08</v>
      </c>
      <c r="N1576" s="364">
        <v>0.375</v>
      </c>
    </row>
    <row r="1577" spans="1:14" ht="19.5" hidden="1" customHeight="1" thickBot="1" x14ac:dyDescent="0.3">
      <c r="A1577" s="731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4"/>
        <v>03,24</v>
      </c>
      <c r="L1577" s="98" t="s">
        <v>266</v>
      </c>
      <c r="M1577" s="98">
        <v>3740.34</v>
      </c>
      <c r="N1577" s="364">
        <v>0.375</v>
      </c>
    </row>
    <row r="1578" spans="1:14" ht="19.5" hidden="1" thickBot="1" x14ac:dyDescent="0.3">
      <c r="A1578" s="731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4"/>
        <v>03,24</v>
      </c>
      <c r="L1578" s="90" t="s">
        <v>266</v>
      </c>
      <c r="M1578" s="90">
        <v>3699.4</v>
      </c>
      <c r="N1578" s="325">
        <v>0.375</v>
      </c>
    </row>
    <row r="1579" spans="1:14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4"/>
        <v>03,24</v>
      </c>
      <c r="L1579" s="75" t="s">
        <v>265</v>
      </c>
      <c r="M1579" s="75">
        <v>10436.58</v>
      </c>
      <c r="N1579" s="322">
        <v>0.33333333333333298</v>
      </c>
    </row>
    <row r="1580" spans="1:14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4"/>
        <v>03,24</v>
      </c>
      <c r="L1580" s="40" t="s">
        <v>266</v>
      </c>
      <c r="M1580" s="40">
        <v>17581.14</v>
      </c>
      <c r="N1580" s="317">
        <v>0.5</v>
      </c>
    </row>
    <row r="1581" spans="1:14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4"/>
        <v>03,24</v>
      </c>
      <c r="L1581" s="75" t="s">
        <v>266</v>
      </c>
      <c r="M1581" s="75">
        <v>18067.11</v>
      </c>
      <c r="N1581" s="322">
        <v>0.375</v>
      </c>
    </row>
    <row r="1582" spans="1:14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4"/>
        <v>03,24</v>
      </c>
      <c r="L1582" s="40" t="s">
        <v>266</v>
      </c>
      <c r="M1582" s="40">
        <v>18006</v>
      </c>
      <c r="N1582" s="317">
        <v>0.41666666666666702</v>
      </c>
    </row>
    <row r="1583" spans="1:14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4"/>
        <v>03,24</v>
      </c>
      <c r="L1583" s="75" t="s">
        <v>266</v>
      </c>
      <c r="M1583" s="75">
        <v>18000</v>
      </c>
      <c r="N1583" s="322">
        <v>0.45833333333333298</v>
      </c>
    </row>
    <row r="1584" spans="1:14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4"/>
        <v>03,24</v>
      </c>
      <c r="L1584" s="40" t="s">
        <v>265</v>
      </c>
      <c r="M1584" s="40">
        <v>13956.6</v>
      </c>
      <c r="N1584" s="317">
        <v>0.33333333333333298</v>
      </c>
    </row>
    <row r="1585" spans="1:14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4"/>
        <v>03,24</v>
      </c>
      <c r="L1585" s="75" t="s">
        <v>265</v>
      </c>
      <c r="M1585" s="75">
        <v>17589.560000000001</v>
      </c>
      <c r="N1585" s="322">
        <v>0.33333333333333298</v>
      </c>
    </row>
    <row r="1586" spans="1:14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4"/>
        <v>03,24</v>
      </c>
      <c r="L1586" s="40" t="s">
        <v>266</v>
      </c>
      <c r="M1586" s="40">
        <v>17678.71</v>
      </c>
      <c r="N1586" s="317">
        <v>0.41666666666666702</v>
      </c>
    </row>
    <row r="1587" spans="1:14" ht="19.5" hidden="1" thickBot="1" x14ac:dyDescent="0.3">
      <c r="A1587" s="732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4"/>
        <v>03,24</v>
      </c>
      <c r="L1587" s="48" t="s">
        <v>266</v>
      </c>
      <c r="M1587" s="48">
        <v>5448.84</v>
      </c>
      <c r="N1587" s="315">
        <v>0.45833333333333298</v>
      </c>
    </row>
    <row r="1588" spans="1:14" ht="19.5" hidden="1" thickBot="1" x14ac:dyDescent="0.3">
      <c r="A1588" s="732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4"/>
        <v>03,24</v>
      </c>
      <c r="L1588" s="23" t="s">
        <v>266</v>
      </c>
      <c r="M1588" s="23">
        <v>527.76</v>
      </c>
      <c r="N1588" s="329">
        <v>0.45833333333333298</v>
      </c>
    </row>
    <row r="1589" spans="1:14" ht="19.5" hidden="1" thickBot="1" x14ac:dyDescent="0.3">
      <c r="A1589" s="732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4"/>
        <v>03,24</v>
      </c>
      <c r="L1589" s="23" t="s">
        <v>266</v>
      </c>
      <c r="M1589" s="23">
        <v>2756.46</v>
      </c>
      <c r="N1589" s="329">
        <v>0.45833333333333298</v>
      </c>
    </row>
    <row r="1590" spans="1:14" ht="19.5" hidden="1" thickBot="1" x14ac:dyDescent="0.3">
      <c r="A1590" s="732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4"/>
        <v>03,24</v>
      </c>
      <c r="L1590" s="23" t="s">
        <v>266</v>
      </c>
      <c r="M1590" s="23">
        <v>2762.94</v>
      </c>
      <c r="N1590" s="329">
        <v>0.45833333333333298</v>
      </c>
    </row>
    <row r="1591" spans="1:14" ht="19.5" hidden="1" thickBot="1" x14ac:dyDescent="0.3">
      <c r="A1591" s="732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4"/>
        <v>03,24</v>
      </c>
      <c r="L1591" s="23" t="s">
        <v>266</v>
      </c>
      <c r="M1591" s="23">
        <v>3016.2</v>
      </c>
      <c r="N1591" s="329">
        <v>0.45833333333333298</v>
      </c>
    </row>
    <row r="1592" spans="1:14" ht="19.5" hidden="1" thickBot="1" x14ac:dyDescent="0.3">
      <c r="A1592" s="732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4"/>
        <v>03,24</v>
      </c>
      <c r="L1592" s="71" t="s">
        <v>266</v>
      </c>
      <c r="M1592" s="71">
        <v>2926.11</v>
      </c>
      <c r="N1592" s="323">
        <v>0.45833333333333298</v>
      </c>
    </row>
    <row r="1593" spans="1:14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4"/>
        <v>03,24</v>
      </c>
      <c r="L1593" s="40" t="s">
        <v>266</v>
      </c>
      <c r="M1593" s="40">
        <v>17575.86</v>
      </c>
      <c r="N1593" s="317">
        <v>0.33333333333333298</v>
      </c>
    </row>
    <row r="1594" spans="1:14" ht="19.5" hidden="1" thickBot="1" x14ac:dyDescent="0.3">
      <c r="A1594" s="732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4"/>
        <v>03,24</v>
      </c>
      <c r="L1594" s="48" t="s">
        <v>28</v>
      </c>
      <c r="M1594" s="48">
        <v>3944.54</v>
      </c>
      <c r="N1594" s="315">
        <v>0.375</v>
      </c>
    </row>
    <row r="1595" spans="1:14" ht="19.5" hidden="1" thickBot="1" x14ac:dyDescent="0.3">
      <c r="A1595" s="732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4"/>
        <v>03,24</v>
      </c>
      <c r="L1595" s="71" t="s">
        <v>28</v>
      </c>
      <c r="M1595" s="71">
        <v>13547.74</v>
      </c>
      <c r="N1595" s="323">
        <v>0.375</v>
      </c>
    </row>
    <row r="1596" spans="1:14" ht="19.5" hidden="1" thickBot="1" x14ac:dyDescent="0.3">
      <c r="A1596" s="731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4"/>
        <v>03,24</v>
      </c>
      <c r="L1596" s="82" t="s">
        <v>28</v>
      </c>
      <c r="M1596" s="82">
        <v>9241.08</v>
      </c>
      <c r="N1596" s="319">
        <v>0.41666666666666702</v>
      </c>
    </row>
    <row r="1597" spans="1:14" ht="19.5" hidden="1" thickBot="1" x14ac:dyDescent="0.3">
      <c r="A1597" s="731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4"/>
        <v>03,24</v>
      </c>
      <c r="L1597" s="90" t="s">
        <v>28</v>
      </c>
      <c r="M1597" s="90">
        <v>8594.85</v>
      </c>
      <c r="N1597" s="325">
        <v>0.41666666666666702</v>
      </c>
    </row>
    <row r="1598" spans="1:14" ht="19.5" hidden="1" thickBot="1" x14ac:dyDescent="0.3">
      <c r="A1598" s="732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4"/>
        <v>03,24</v>
      </c>
      <c r="L1598" s="48" t="s">
        <v>28</v>
      </c>
      <c r="M1598" s="48">
        <v>4678.51</v>
      </c>
      <c r="N1598" s="315">
        <v>0.45833333333333298</v>
      </c>
    </row>
    <row r="1599" spans="1:14" ht="19.5" hidden="1" thickBot="1" x14ac:dyDescent="0.3">
      <c r="A1599" s="732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4"/>
        <v>03,24</v>
      </c>
      <c r="L1599" s="71" t="s">
        <v>28</v>
      </c>
      <c r="M1599" s="71">
        <v>13087.56</v>
      </c>
      <c r="N1599" s="323">
        <v>0.45833333333333298</v>
      </c>
    </row>
    <row r="1600" spans="1:14" ht="19.5" hidden="1" thickBot="1" x14ac:dyDescent="0.3">
      <c r="A1600" s="731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4"/>
        <v>03,24</v>
      </c>
      <c r="L1600" s="82" t="s">
        <v>28</v>
      </c>
      <c r="M1600" s="82">
        <v>7241.04</v>
      </c>
      <c r="N1600" s="319">
        <v>0.5</v>
      </c>
    </row>
    <row r="1601" spans="1:14" ht="19.5" hidden="1" thickBot="1" x14ac:dyDescent="0.3">
      <c r="A1601" s="731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4"/>
        <v>03,24</v>
      </c>
      <c r="L1601" s="90" t="s">
        <v>28</v>
      </c>
      <c r="M1601" s="90">
        <v>10120.42</v>
      </c>
      <c r="N1601" s="325">
        <v>0.5</v>
      </c>
    </row>
    <row r="1602" spans="1:14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4"/>
        <v>03,24</v>
      </c>
      <c r="L1602" s="75" t="s">
        <v>28</v>
      </c>
      <c r="M1602" s="75">
        <v>16716.900000000001</v>
      </c>
      <c r="N1602" s="322">
        <v>0.54166666666666696</v>
      </c>
    </row>
    <row r="1603" spans="1:14" ht="18.75" hidden="1" customHeight="1" thickBot="1" x14ac:dyDescent="0.3">
      <c r="A1603" s="731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734" t="s">
        <v>72</v>
      </c>
      <c r="H1603" s="82" t="s">
        <v>396</v>
      </c>
      <c r="I1603" s="147" t="s">
        <v>396</v>
      </c>
      <c r="J1603" s="86"/>
      <c r="K1603" s="82" t="str">
        <f t="shared" ref="K1603:K1666" si="25">RIGHT(H1603,5)</f>
        <v>03,24</v>
      </c>
      <c r="L1603" s="82" t="s">
        <v>265</v>
      </c>
      <c r="M1603" s="82">
        <v>8009.5</v>
      </c>
      <c r="N1603" s="319">
        <v>0.33333333333333298</v>
      </c>
    </row>
    <row r="1604" spans="1:14" ht="19.5" hidden="1" thickBot="1" x14ac:dyDescent="0.3">
      <c r="A1604" s="731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734"/>
      <c r="H1604" s="90" t="s">
        <v>396</v>
      </c>
      <c r="I1604" s="172" t="s">
        <v>396</v>
      </c>
      <c r="J1604" s="173"/>
      <c r="K1604" s="90" t="str">
        <f t="shared" si="25"/>
        <v>03,24</v>
      </c>
      <c r="L1604" s="90" t="s">
        <v>265</v>
      </c>
      <c r="M1604" s="90">
        <v>6670.08</v>
      </c>
      <c r="N1604" s="325">
        <v>0.41666666666666702</v>
      </c>
    </row>
    <row r="1605" spans="1:14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5"/>
        <v>03,24</v>
      </c>
      <c r="L1605" s="75" t="s">
        <v>28</v>
      </c>
      <c r="M1605" s="75">
        <v>17670.12</v>
      </c>
      <c r="N1605" s="322">
        <v>0.5</v>
      </c>
    </row>
    <row r="1606" spans="1:14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5"/>
        <v>03,24</v>
      </c>
      <c r="L1606" s="40" t="s">
        <v>266</v>
      </c>
      <c r="M1606" s="40">
        <v>13376.36</v>
      </c>
      <c r="N1606" s="317">
        <v>0.33333333333333298</v>
      </c>
    </row>
    <row r="1607" spans="1:14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5"/>
        <v>03,24</v>
      </c>
      <c r="L1607" s="75" t="s">
        <v>266</v>
      </c>
      <c r="M1607" s="75">
        <v>10991.62</v>
      </c>
      <c r="N1607" s="322">
        <v>0.375</v>
      </c>
    </row>
    <row r="1608" spans="1:14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5"/>
        <v>03,24</v>
      </c>
      <c r="L1608" s="40" t="s">
        <v>266</v>
      </c>
      <c r="M1608" s="40">
        <v>17222.34</v>
      </c>
      <c r="N1608" s="317">
        <v>0.33333333333333298</v>
      </c>
    </row>
    <row r="1609" spans="1:14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5"/>
        <v>03,24</v>
      </c>
      <c r="L1609" s="75" t="s">
        <v>266</v>
      </c>
      <c r="M1609" s="75">
        <v>17450.490000000002</v>
      </c>
      <c r="N1609" s="322">
        <v>0.375</v>
      </c>
    </row>
    <row r="1610" spans="1:14" ht="19.5" hidden="1" thickBot="1" x14ac:dyDescent="0.3">
      <c r="A1610" s="731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5"/>
        <v>03,24</v>
      </c>
      <c r="L1610" s="82" t="s">
        <v>266</v>
      </c>
      <c r="M1610" s="82">
        <v>1830</v>
      </c>
      <c r="N1610" s="319">
        <v>0.41666666666666702</v>
      </c>
    </row>
    <row r="1611" spans="1:14" ht="19.5" hidden="1" thickBot="1" x14ac:dyDescent="0.3">
      <c r="A1611" s="731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5"/>
        <v>03,24</v>
      </c>
      <c r="L1611" s="98" t="s">
        <v>266</v>
      </c>
      <c r="M1611" s="98">
        <v>7180.68</v>
      </c>
      <c r="N1611" s="364">
        <v>0.41666666666666702</v>
      </c>
    </row>
    <row r="1612" spans="1:14" ht="19.5" hidden="1" thickBot="1" x14ac:dyDescent="0.3">
      <c r="A1612" s="731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5"/>
        <v>03,24</v>
      </c>
      <c r="L1612" s="90" t="s">
        <v>266</v>
      </c>
      <c r="M1612" s="90">
        <v>4453.5600000000004</v>
      </c>
      <c r="N1612" s="325">
        <v>0.41666666666666702</v>
      </c>
    </row>
    <row r="1613" spans="1:14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5"/>
        <v>03,24</v>
      </c>
      <c r="L1613" s="75" t="s">
        <v>28</v>
      </c>
      <c r="M1613" s="75">
        <v>17438.22</v>
      </c>
      <c r="N1613" s="322">
        <v>0.41666666666666702</v>
      </c>
    </row>
    <row r="1614" spans="1:14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5"/>
        <v>03,24</v>
      </c>
      <c r="L1614" s="40" t="s">
        <v>28</v>
      </c>
      <c r="M1614" s="40">
        <v>17730.099999999999</v>
      </c>
      <c r="N1614" s="317">
        <v>0.45833333333333298</v>
      </c>
    </row>
    <row r="1615" spans="1:14" ht="19.5" hidden="1" thickBot="1" x14ac:dyDescent="0.3">
      <c r="A1615" s="732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5"/>
        <v>03,24</v>
      </c>
      <c r="L1615" s="48" t="s">
        <v>28</v>
      </c>
      <c r="M1615" s="48">
        <v>4079.89</v>
      </c>
      <c r="N1615" s="315">
        <v>0.5</v>
      </c>
    </row>
    <row r="1616" spans="1:14" ht="19.5" hidden="1" thickBot="1" x14ac:dyDescent="0.3">
      <c r="A1616" s="732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5"/>
        <v>03,24</v>
      </c>
      <c r="L1616" s="23" t="s">
        <v>28</v>
      </c>
      <c r="M1616" s="23">
        <v>11774.72</v>
      </c>
      <c r="N1616" s="329">
        <v>0.5</v>
      </c>
    </row>
    <row r="1617" spans="1:14" ht="19.5" hidden="1" thickBot="1" x14ac:dyDescent="0.3">
      <c r="A1617" s="732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5"/>
        <v>03,24</v>
      </c>
      <c r="L1617" s="71" t="s">
        <v>28</v>
      </c>
      <c r="M1617" s="71">
        <v>1759.8</v>
      </c>
      <c r="N1617" s="323">
        <v>0.5</v>
      </c>
    </row>
    <row r="1618" spans="1:14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5"/>
        <v>03,24</v>
      </c>
      <c r="L1618" s="40" t="s">
        <v>266</v>
      </c>
      <c r="M1618" s="40">
        <v>12960.88</v>
      </c>
      <c r="N1618" s="317">
        <v>0.375</v>
      </c>
    </row>
    <row r="1619" spans="1:14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5"/>
        <v>03,24</v>
      </c>
      <c r="L1619" s="75" t="s">
        <v>266</v>
      </c>
      <c r="M1619" s="75">
        <v>9001.57</v>
      </c>
      <c r="N1619" s="322">
        <v>0.375</v>
      </c>
    </row>
    <row r="1620" spans="1:14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5"/>
        <v>03,24</v>
      </c>
      <c r="L1620" s="40" t="s">
        <v>266</v>
      </c>
      <c r="M1620" s="40">
        <v>1505.4</v>
      </c>
      <c r="N1620" s="317">
        <v>0.91666666666666696</v>
      </c>
    </row>
    <row r="1621" spans="1:14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5"/>
        <v>03,24</v>
      </c>
      <c r="L1621" s="75" t="s">
        <v>266</v>
      </c>
      <c r="M1621" s="75">
        <v>18119.099999999999</v>
      </c>
      <c r="N1621" s="322">
        <v>0.375</v>
      </c>
    </row>
    <row r="1622" spans="1:14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5"/>
        <v>03,24</v>
      </c>
      <c r="L1622" s="40" t="s">
        <v>266</v>
      </c>
      <c r="M1622" s="40">
        <v>18186.8</v>
      </c>
      <c r="N1622" s="317">
        <v>0.41666666666666702</v>
      </c>
    </row>
    <row r="1623" spans="1:14" ht="19.5" hidden="1" thickBot="1" x14ac:dyDescent="0.3">
      <c r="A1623" s="732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5"/>
        <v>03,24</v>
      </c>
      <c r="L1623" s="48" t="s">
        <v>266</v>
      </c>
      <c r="M1623" s="48">
        <v>4700.7</v>
      </c>
      <c r="N1623" s="315">
        <v>0.45833333333333298</v>
      </c>
    </row>
    <row r="1624" spans="1:14" ht="19.5" hidden="1" thickBot="1" x14ac:dyDescent="0.3">
      <c r="A1624" s="732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5"/>
        <v>03,24</v>
      </c>
      <c r="L1624" s="23" t="s">
        <v>266</v>
      </c>
      <c r="M1624" s="23">
        <v>502.56</v>
      </c>
      <c r="N1624" s="329">
        <v>0.45833333333333298</v>
      </c>
    </row>
    <row r="1625" spans="1:14" ht="19.5" hidden="1" thickBot="1" x14ac:dyDescent="0.3">
      <c r="A1625" s="732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5"/>
        <v>03,24</v>
      </c>
      <c r="L1625" s="23" t="s">
        <v>266</v>
      </c>
      <c r="M1625" s="23">
        <v>3174.66</v>
      </c>
      <c r="N1625" s="329">
        <v>0.45833333333333298</v>
      </c>
    </row>
    <row r="1626" spans="1:14" ht="19.5" hidden="1" thickBot="1" x14ac:dyDescent="0.3">
      <c r="A1626" s="732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5"/>
        <v>03,24</v>
      </c>
      <c r="L1626" s="23" t="s">
        <v>266</v>
      </c>
      <c r="M1626" s="23">
        <v>2906.5</v>
      </c>
      <c r="N1626" s="329">
        <v>0.45833333333333298</v>
      </c>
    </row>
    <row r="1627" spans="1:14" ht="19.5" hidden="1" thickBot="1" x14ac:dyDescent="0.3">
      <c r="A1627" s="732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5"/>
        <v>03,24</v>
      </c>
      <c r="L1627" s="23" t="s">
        <v>266</v>
      </c>
      <c r="M1627" s="23">
        <v>2985.5</v>
      </c>
      <c r="N1627" s="329">
        <v>0.45833333333333298</v>
      </c>
    </row>
    <row r="1628" spans="1:14" ht="19.5" hidden="1" thickBot="1" x14ac:dyDescent="0.3">
      <c r="A1628" s="732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5"/>
        <v>03,24</v>
      </c>
      <c r="L1628" s="71" t="s">
        <v>266</v>
      </c>
      <c r="M1628" s="71">
        <v>3648.1</v>
      </c>
      <c r="N1628" s="323">
        <v>0.45833333333333298</v>
      </c>
    </row>
    <row r="1629" spans="1:14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5"/>
        <v>03,24</v>
      </c>
      <c r="L1629" s="40" t="s">
        <v>266</v>
      </c>
      <c r="M1629" s="40">
        <v>13466.52</v>
      </c>
      <c r="N1629" s="317">
        <v>0.33333333333333298</v>
      </c>
    </row>
    <row r="1630" spans="1:14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5"/>
        <v>03,24</v>
      </c>
      <c r="L1630" s="75" t="s">
        <v>266</v>
      </c>
      <c r="M1630" s="75">
        <v>17116.96</v>
      </c>
      <c r="N1630" s="322">
        <v>0.33333333333333298</v>
      </c>
    </row>
    <row r="1631" spans="1:14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5"/>
        <v>03,24</v>
      </c>
      <c r="L1631" s="40" t="s">
        <v>28</v>
      </c>
      <c r="M1631" s="40">
        <v>17469.22</v>
      </c>
      <c r="N1631" s="317">
        <v>0.41666666666666702</v>
      </c>
    </row>
    <row r="1632" spans="1:14" ht="19.5" hidden="1" thickBot="1" x14ac:dyDescent="0.3">
      <c r="A1632" s="732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5"/>
        <v>03,24</v>
      </c>
      <c r="L1632" s="48" t="s">
        <v>266</v>
      </c>
      <c r="M1632" s="48">
        <v>13621.72</v>
      </c>
      <c r="N1632" s="315">
        <v>0.33333333333333298</v>
      </c>
    </row>
    <row r="1633" spans="1:14" ht="19.5" hidden="1" thickBot="1" x14ac:dyDescent="0.3">
      <c r="A1633" s="732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5"/>
        <v>03,24</v>
      </c>
      <c r="L1633" s="71" t="s">
        <v>266</v>
      </c>
      <c r="M1633" s="71">
        <v>3061.56</v>
      </c>
      <c r="N1633" s="323">
        <v>0.33333333333333298</v>
      </c>
    </row>
    <row r="1634" spans="1:14" ht="19.5" hidden="1" thickBot="1" x14ac:dyDescent="0.3">
      <c r="A1634" s="731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5"/>
        <v>03,24</v>
      </c>
      <c r="L1634" s="82" t="s">
        <v>266</v>
      </c>
      <c r="M1634" s="82">
        <v>1005</v>
      </c>
      <c r="N1634" s="319">
        <v>0.375</v>
      </c>
    </row>
    <row r="1635" spans="1:14" ht="19.5" hidden="1" thickBot="1" x14ac:dyDescent="0.3">
      <c r="A1635" s="731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5"/>
        <v>03,24</v>
      </c>
      <c r="L1635" s="90" t="s">
        <v>266</v>
      </c>
      <c r="M1635" s="90">
        <v>16670.3</v>
      </c>
      <c r="N1635" s="325">
        <v>0.375</v>
      </c>
    </row>
    <row r="1636" spans="1:14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5"/>
        <v>03,24</v>
      </c>
      <c r="L1636" s="75" t="s">
        <v>266</v>
      </c>
      <c r="M1636" s="75">
        <v>17652.61</v>
      </c>
      <c r="N1636" s="322">
        <v>0.41666666666666702</v>
      </c>
    </row>
    <row r="1637" spans="1:14" ht="19.5" hidden="1" thickBot="1" x14ac:dyDescent="0.3">
      <c r="A1637" s="731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5"/>
        <v>03,24</v>
      </c>
      <c r="L1637" s="82" t="s">
        <v>266</v>
      </c>
      <c r="M1637" s="82">
        <v>12111.86</v>
      </c>
      <c r="N1637" s="319">
        <v>0.45833333333333298</v>
      </c>
    </row>
    <row r="1638" spans="1:14" ht="19.5" hidden="1" thickBot="1" x14ac:dyDescent="0.3">
      <c r="A1638" s="731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5"/>
        <v>03,24</v>
      </c>
      <c r="L1638" s="90" t="s">
        <v>266</v>
      </c>
      <c r="M1638" s="90">
        <v>5616.06</v>
      </c>
      <c r="N1638" s="325">
        <v>0.45833333333333298</v>
      </c>
    </row>
    <row r="1639" spans="1:14" ht="19.5" hidden="1" thickBot="1" x14ac:dyDescent="0.3">
      <c r="A1639" s="732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5"/>
        <v>03,24</v>
      </c>
      <c r="L1639" s="48" t="s">
        <v>266</v>
      </c>
      <c r="M1639" s="48">
        <v>5548.8</v>
      </c>
      <c r="N1639" s="315">
        <v>0.5</v>
      </c>
    </row>
    <row r="1640" spans="1:14" ht="19.5" hidden="1" thickBot="1" x14ac:dyDescent="0.3">
      <c r="A1640" s="732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5"/>
        <v>03,24</v>
      </c>
      <c r="L1640" s="71" t="s">
        <v>266</v>
      </c>
      <c r="M1640" s="71">
        <v>12015</v>
      </c>
      <c r="N1640" s="323">
        <v>0.5</v>
      </c>
    </row>
    <row r="1641" spans="1:14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5"/>
        <v>03,24</v>
      </c>
      <c r="L1641" s="40" t="s">
        <v>266</v>
      </c>
      <c r="M1641" s="40">
        <v>17710.150000000001</v>
      </c>
      <c r="N1641" s="317">
        <v>0.54166666666666696</v>
      </c>
    </row>
    <row r="1642" spans="1:14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5"/>
        <v>03,24</v>
      </c>
      <c r="L1642" s="75" t="s">
        <v>266</v>
      </c>
      <c r="M1642" s="75">
        <v>13042.8</v>
      </c>
      <c r="N1642" s="322">
        <v>0.33333333333333298</v>
      </c>
    </row>
    <row r="1643" spans="1:14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5"/>
        <v>04,24</v>
      </c>
      <c r="L1643" s="40" t="s">
        <v>266</v>
      </c>
      <c r="M1643" s="40">
        <v>17470.919999999998</v>
      </c>
      <c r="N1643" s="317">
        <v>0.33333333333333298</v>
      </c>
    </row>
    <row r="1644" spans="1:14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5"/>
        <v>04,24</v>
      </c>
      <c r="L1644" s="75" t="s">
        <v>266</v>
      </c>
      <c r="M1644" s="75">
        <v>17227.23</v>
      </c>
      <c r="N1644" s="322">
        <v>0.375</v>
      </c>
    </row>
    <row r="1645" spans="1:14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5"/>
        <v>04,24</v>
      </c>
      <c r="L1645" s="40" t="s">
        <v>266</v>
      </c>
      <c r="M1645" s="40">
        <v>17706.34</v>
      </c>
      <c r="N1645" s="317">
        <v>0.41666666666666702</v>
      </c>
    </row>
    <row r="1646" spans="1:14" ht="19.5" hidden="1" thickBot="1" x14ac:dyDescent="0.3">
      <c r="A1646" s="732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5"/>
        <v>04,24</v>
      </c>
      <c r="L1646" s="48" t="s">
        <v>266</v>
      </c>
      <c r="M1646" s="48">
        <v>8227.34</v>
      </c>
      <c r="N1646" s="315">
        <v>0.45833333333333298</v>
      </c>
    </row>
    <row r="1647" spans="1:14" ht="19.5" hidden="1" thickBot="1" x14ac:dyDescent="0.3">
      <c r="A1647" s="732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5"/>
        <v>04,24</v>
      </c>
      <c r="L1647" s="23" t="s">
        <v>266</v>
      </c>
      <c r="M1647" s="23">
        <v>6524.97</v>
      </c>
      <c r="N1647" s="329">
        <v>0.45833333333333298</v>
      </c>
    </row>
    <row r="1648" spans="1:14" ht="19.5" hidden="1" thickBot="1" x14ac:dyDescent="0.3">
      <c r="A1648" s="732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5"/>
        <v>04,24</v>
      </c>
      <c r="L1648" s="71" t="s">
        <v>266</v>
      </c>
      <c r="M1648" s="71">
        <v>2705.76</v>
      </c>
      <c r="N1648" s="323">
        <v>0.45833333333333298</v>
      </c>
    </row>
    <row r="1649" spans="1:14" ht="19.5" hidden="1" thickBot="1" x14ac:dyDescent="0.3">
      <c r="A1649" s="731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5"/>
        <v>04,24</v>
      </c>
      <c r="L1649" s="82" t="s">
        <v>266</v>
      </c>
      <c r="M1649" s="82">
        <v>5528.72</v>
      </c>
      <c r="N1649" s="319">
        <v>0.33333333333333298</v>
      </c>
    </row>
    <row r="1650" spans="1:14" ht="19.5" hidden="1" thickBot="1" x14ac:dyDescent="0.3">
      <c r="A1650" s="731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5"/>
        <v>04,24</v>
      </c>
      <c r="L1650" s="90" t="s">
        <v>266</v>
      </c>
      <c r="M1650" s="90">
        <v>8028.16</v>
      </c>
      <c r="N1650" s="325">
        <v>0.33333333333333298</v>
      </c>
    </row>
    <row r="1651" spans="1:14" ht="18.75" hidden="1" customHeight="1" thickBot="1" x14ac:dyDescent="0.3">
      <c r="A1651" s="732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737" t="s">
        <v>411</v>
      </c>
      <c r="H1651" s="48" t="s">
        <v>406</v>
      </c>
      <c r="I1651" s="163" t="s">
        <v>408</v>
      </c>
      <c r="J1651" s="52"/>
      <c r="K1651" s="48" t="str">
        <f t="shared" si="25"/>
        <v>04,24</v>
      </c>
      <c r="L1651" s="48" t="s">
        <v>266</v>
      </c>
      <c r="M1651" s="48">
        <v>2516.02</v>
      </c>
      <c r="N1651" s="315">
        <v>0.375</v>
      </c>
    </row>
    <row r="1652" spans="1:14" ht="19.5" hidden="1" thickBot="1" x14ac:dyDescent="0.3">
      <c r="A1652" s="732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737"/>
      <c r="H1652" s="71" t="s">
        <v>406</v>
      </c>
      <c r="I1652" s="167" t="s">
        <v>408</v>
      </c>
      <c r="J1652" s="168"/>
      <c r="K1652" s="71" t="str">
        <f t="shared" si="25"/>
        <v>04,24</v>
      </c>
      <c r="L1652" s="71" t="s">
        <v>266</v>
      </c>
      <c r="M1652" s="71">
        <v>6430.74</v>
      </c>
      <c r="N1652" s="323">
        <v>0.375</v>
      </c>
    </row>
    <row r="1653" spans="1:14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5"/>
        <v>04,24</v>
      </c>
      <c r="L1653" s="40" t="s">
        <v>266</v>
      </c>
      <c r="M1653" s="40">
        <v>17677.52</v>
      </c>
      <c r="N1653" s="317">
        <v>0.5</v>
      </c>
    </row>
    <row r="1654" spans="1:14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5"/>
        <v>04,24</v>
      </c>
      <c r="L1654" s="75" t="s">
        <v>266</v>
      </c>
      <c r="M1654" s="75">
        <v>17955.34</v>
      </c>
      <c r="N1654" s="322">
        <v>0.375</v>
      </c>
    </row>
    <row r="1655" spans="1:14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5"/>
        <v>04,24</v>
      </c>
      <c r="L1655" s="40" t="s">
        <v>266</v>
      </c>
      <c r="M1655" s="40">
        <v>17975.12</v>
      </c>
      <c r="N1655" s="317">
        <v>0.41666666666666702</v>
      </c>
    </row>
    <row r="1656" spans="1:14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5"/>
        <v>04,24</v>
      </c>
      <c r="L1656" s="75" t="s">
        <v>266</v>
      </c>
      <c r="M1656" s="75">
        <v>17979</v>
      </c>
      <c r="N1656" s="322">
        <v>0.45833333333333298</v>
      </c>
    </row>
    <row r="1657" spans="1:14" ht="19.5" hidden="1" thickBot="1" x14ac:dyDescent="0.3">
      <c r="A1657" s="731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5"/>
        <v>04,24</v>
      </c>
      <c r="L1657" s="82" t="s">
        <v>266</v>
      </c>
      <c r="M1657" s="82">
        <v>2342.92</v>
      </c>
      <c r="N1657" s="319">
        <v>0.5</v>
      </c>
    </row>
    <row r="1658" spans="1:14" ht="19.5" hidden="1" thickBot="1" x14ac:dyDescent="0.3">
      <c r="A1658" s="731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5"/>
        <v>04,24</v>
      </c>
      <c r="L1658" s="98" t="s">
        <v>266</v>
      </c>
      <c r="M1658" s="98">
        <v>644.79999999999995</v>
      </c>
      <c r="N1658" s="364">
        <v>0.5</v>
      </c>
    </row>
    <row r="1659" spans="1:14" ht="19.5" hidden="1" thickBot="1" x14ac:dyDescent="0.3">
      <c r="A1659" s="731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5"/>
        <v>04,24</v>
      </c>
      <c r="L1659" s="98" t="s">
        <v>266</v>
      </c>
      <c r="M1659" s="98">
        <v>3160.44</v>
      </c>
      <c r="N1659" s="364">
        <v>0.5</v>
      </c>
    </row>
    <row r="1660" spans="1:14" ht="19.5" hidden="1" thickBot="1" x14ac:dyDescent="0.3">
      <c r="A1660" s="731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5"/>
        <v>04,24</v>
      </c>
      <c r="L1660" s="98" t="s">
        <v>266</v>
      </c>
      <c r="M1660" s="98">
        <v>2567.04</v>
      </c>
      <c r="N1660" s="364">
        <v>0.5</v>
      </c>
    </row>
    <row r="1661" spans="1:14" ht="19.5" hidden="1" thickBot="1" x14ac:dyDescent="0.3">
      <c r="A1661" s="731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5"/>
        <v>04,24</v>
      </c>
      <c r="L1661" s="98" t="s">
        <v>266</v>
      </c>
      <c r="M1661" s="98">
        <v>5975.4</v>
      </c>
      <c r="N1661" s="364">
        <v>0.5</v>
      </c>
    </row>
    <row r="1662" spans="1:14" ht="19.5" hidden="1" thickBot="1" x14ac:dyDescent="0.3">
      <c r="A1662" s="731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5"/>
        <v>04,24</v>
      </c>
      <c r="L1662" s="90" t="s">
        <v>266</v>
      </c>
      <c r="M1662" s="90">
        <v>3091.78</v>
      </c>
      <c r="N1662" s="325">
        <v>0.5</v>
      </c>
    </row>
    <row r="1663" spans="1:14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5"/>
        <v>04,24</v>
      </c>
      <c r="L1663" s="75" t="s">
        <v>265</v>
      </c>
      <c r="M1663" s="75">
        <v>13793.9</v>
      </c>
      <c r="N1663" s="322">
        <v>0.33333333333333298</v>
      </c>
    </row>
    <row r="1664" spans="1:14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5"/>
        <v>04,24</v>
      </c>
      <c r="L1664" s="40" t="s">
        <v>266</v>
      </c>
      <c r="M1664" s="40">
        <v>5937.58</v>
      </c>
      <c r="N1664" s="317">
        <v>0.41666666666666702</v>
      </c>
    </row>
    <row r="1665" spans="1:14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5"/>
        <v>04,24</v>
      </c>
      <c r="L1665" s="75" t="s">
        <v>266</v>
      </c>
      <c r="M1665" s="75">
        <v>17456.07</v>
      </c>
      <c r="N1665" s="322">
        <v>0.33333333333333298</v>
      </c>
    </row>
    <row r="1666" spans="1:14" ht="19.5" hidden="1" thickBot="1" x14ac:dyDescent="0.3">
      <c r="A1666" s="731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5"/>
        <v>04,24</v>
      </c>
      <c r="L1666" s="82" t="s">
        <v>266</v>
      </c>
      <c r="M1666" s="82">
        <v>14775.23</v>
      </c>
      <c r="N1666" s="319">
        <v>0.33333333333333298</v>
      </c>
    </row>
    <row r="1667" spans="1:14" ht="19.5" hidden="1" thickBot="1" x14ac:dyDescent="0.3">
      <c r="A1667" s="731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6">RIGHT(H1667,5)</f>
        <v>04,24</v>
      </c>
      <c r="L1667" s="90" t="s">
        <v>266</v>
      </c>
      <c r="M1667" s="90">
        <v>2677.86</v>
      </c>
      <c r="N1667" s="325">
        <v>0.33333333333333298</v>
      </c>
    </row>
    <row r="1668" spans="1:14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6"/>
        <v>04,24</v>
      </c>
      <c r="L1668" s="75" t="s">
        <v>28</v>
      </c>
      <c r="M1668" s="75">
        <v>17197.54</v>
      </c>
      <c r="N1668" s="322">
        <v>0.375</v>
      </c>
    </row>
    <row r="1669" spans="1:14" ht="113.2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6"/>
        <v>04,24</v>
      </c>
      <c r="L1669" s="40" t="s">
        <v>28</v>
      </c>
      <c r="M1669" s="40">
        <v>14204.28</v>
      </c>
      <c r="N1669" s="317">
        <v>0.41666666666666702</v>
      </c>
    </row>
    <row r="1670" spans="1:14" ht="19.5" hidden="1" thickBot="1" x14ac:dyDescent="0.3">
      <c r="A1670" s="732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6"/>
        <v>04,24</v>
      </c>
      <c r="L1670" s="48" t="s">
        <v>28</v>
      </c>
      <c r="M1670" s="48">
        <v>4975.5</v>
      </c>
      <c r="N1670" s="315">
        <v>0.45833333333333298</v>
      </c>
    </row>
    <row r="1671" spans="1:14" ht="19.5" hidden="1" thickBot="1" x14ac:dyDescent="0.3">
      <c r="A1671" s="732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6"/>
        <v>04,24</v>
      </c>
      <c r="L1671" s="23" t="s">
        <v>28</v>
      </c>
      <c r="M1671" s="23">
        <v>8627.7099999999991</v>
      </c>
      <c r="N1671" s="329">
        <v>0.45833333333333298</v>
      </c>
    </row>
    <row r="1672" spans="1:14" ht="19.5" hidden="1" thickBot="1" x14ac:dyDescent="0.3">
      <c r="A1672" s="732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6"/>
        <v>04,24</v>
      </c>
      <c r="L1672" s="71" t="s">
        <v>28</v>
      </c>
      <c r="M1672" s="71">
        <v>4099.4399999999996</v>
      </c>
      <c r="N1672" s="323">
        <v>0.45833333333333298</v>
      </c>
    </row>
    <row r="1673" spans="1:14" ht="18.75" hidden="1" customHeight="1" thickBot="1" x14ac:dyDescent="0.3">
      <c r="A1673" s="731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734" t="s">
        <v>72</v>
      </c>
      <c r="H1673" s="82" t="s">
        <v>417</v>
      </c>
      <c r="I1673" s="147" t="s">
        <v>417</v>
      </c>
      <c r="J1673" s="86"/>
      <c r="K1673" s="82" t="str">
        <f t="shared" si="26"/>
        <v>04,24</v>
      </c>
      <c r="L1673" s="82" t="s">
        <v>266</v>
      </c>
      <c r="M1673" s="82">
        <v>3514.8</v>
      </c>
      <c r="N1673" s="319">
        <v>0.33333333333333298</v>
      </c>
    </row>
    <row r="1674" spans="1:14" ht="19.5" hidden="1" thickBot="1" x14ac:dyDescent="0.3">
      <c r="A1674" s="731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734"/>
      <c r="H1674" s="90" t="s">
        <v>417</v>
      </c>
      <c r="I1674" s="172" t="s">
        <v>417</v>
      </c>
      <c r="J1674" s="173"/>
      <c r="K1674" s="90" t="str">
        <f t="shared" si="26"/>
        <v>04,24</v>
      </c>
      <c r="L1674" s="90" t="s">
        <v>266</v>
      </c>
      <c r="M1674" s="90">
        <v>11976</v>
      </c>
      <c r="N1674" s="325">
        <v>0.41666666666666702</v>
      </c>
    </row>
    <row r="1675" spans="1:14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6"/>
        <v>04,24</v>
      </c>
      <c r="L1675" s="75" t="s">
        <v>28</v>
      </c>
      <c r="M1675" s="75">
        <v>17604.240000000002</v>
      </c>
      <c r="N1675" s="322">
        <v>0.45833333333333298</v>
      </c>
    </row>
    <row r="1676" spans="1:14" ht="19.5" hidden="1" thickBot="1" x14ac:dyDescent="0.3">
      <c r="A1676" s="731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6"/>
        <v>04,24</v>
      </c>
      <c r="L1676" s="82" t="s">
        <v>266</v>
      </c>
      <c r="M1676" s="82">
        <v>13614.01</v>
      </c>
      <c r="N1676" s="319">
        <v>0.33333333333333298</v>
      </c>
    </row>
    <row r="1677" spans="1:14" ht="19.5" hidden="1" thickBot="1" x14ac:dyDescent="0.3">
      <c r="A1677" s="731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6"/>
        <v>04,24</v>
      </c>
      <c r="L1677" s="90" t="s">
        <v>266</v>
      </c>
      <c r="M1677" s="90">
        <v>3990</v>
      </c>
      <c r="N1677" s="325">
        <v>0.33333333333333298</v>
      </c>
    </row>
    <row r="1678" spans="1:14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6"/>
        <v>04,24</v>
      </c>
      <c r="L1678" s="75" t="s">
        <v>266</v>
      </c>
      <c r="M1678" s="75">
        <v>17720.89</v>
      </c>
      <c r="N1678" s="322">
        <v>0.375</v>
      </c>
    </row>
    <row r="1679" spans="1:14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6"/>
        <v>04,24</v>
      </c>
      <c r="L1679" s="40" t="s">
        <v>28</v>
      </c>
      <c r="M1679" s="40">
        <v>18134.52</v>
      </c>
      <c r="N1679" s="317">
        <v>0.41666666666666702</v>
      </c>
    </row>
    <row r="1680" spans="1:14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6"/>
        <v>04,24</v>
      </c>
      <c r="L1680" s="75" t="s">
        <v>28</v>
      </c>
      <c r="M1680" s="75">
        <v>17134.61</v>
      </c>
      <c r="N1680" s="322">
        <v>0.45833333333333298</v>
      </c>
    </row>
    <row r="1681" spans="1:14" ht="19.5" hidden="1" thickBot="1" x14ac:dyDescent="0.3">
      <c r="A1681" s="731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6"/>
        <v>04,24</v>
      </c>
      <c r="L1681" s="82" t="s">
        <v>28</v>
      </c>
      <c r="M1681" s="82">
        <v>3133.86</v>
      </c>
      <c r="N1681" s="319">
        <v>0.5</v>
      </c>
    </row>
    <row r="1682" spans="1:14" ht="19.5" hidden="1" thickBot="1" x14ac:dyDescent="0.3">
      <c r="A1682" s="731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6"/>
        <v>04,24</v>
      </c>
      <c r="L1682" s="98" t="s">
        <v>28</v>
      </c>
      <c r="M1682" s="98">
        <v>5925</v>
      </c>
      <c r="N1682" s="364">
        <v>0.5</v>
      </c>
    </row>
    <row r="1683" spans="1:14" ht="19.5" hidden="1" thickBot="1" x14ac:dyDescent="0.3">
      <c r="A1683" s="731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6"/>
        <v>04,24</v>
      </c>
      <c r="L1683" s="90" t="s">
        <v>28</v>
      </c>
      <c r="M1683" s="90">
        <v>8589.82</v>
      </c>
      <c r="N1683" s="325">
        <v>0.5</v>
      </c>
    </row>
    <row r="1684" spans="1:14" ht="19.5" hidden="1" thickBot="1" x14ac:dyDescent="0.3">
      <c r="A1684" s="732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6"/>
        <v>04,24</v>
      </c>
      <c r="L1684" s="48" t="s">
        <v>28</v>
      </c>
      <c r="M1684" s="48">
        <v>1821.54</v>
      </c>
      <c r="N1684" s="315">
        <v>0.54166666666666696</v>
      </c>
    </row>
    <row r="1685" spans="1:14" ht="19.5" hidden="1" thickBot="1" x14ac:dyDescent="0.3">
      <c r="A1685" s="732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6"/>
        <v>04,24</v>
      </c>
      <c r="L1685" s="23" t="s">
        <v>28</v>
      </c>
      <c r="M1685" s="23">
        <v>6935.4</v>
      </c>
      <c r="N1685" s="329">
        <v>0.54166666666666696</v>
      </c>
    </row>
    <row r="1686" spans="1:14" ht="19.5" hidden="1" thickBot="1" x14ac:dyDescent="0.3">
      <c r="A1686" s="732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6"/>
        <v>04,24</v>
      </c>
      <c r="L1686" s="71" t="s">
        <v>28</v>
      </c>
      <c r="M1686" s="71">
        <v>8820.9599999999991</v>
      </c>
      <c r="N1686" s="323">
        <v>0.54166666666666696</v>
      </c>
    </row>
    <row r="1687" spans="1:14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6"/>
        <v>04,24</v>
      </c>
      <c r="L1687" s="40" t="s">
        <v>266</v>
      </c>
      <c r="M1687" s="40">
        <v>17558.8</v>
      </c>
      <c r="N1687" s="317">
        <v>0.33333333333333298</v>
      </c>
    </row>
    <row r="1688" spans="1:14" ht="19.5" hidden="1" thickBot="1" x14ac:dyDescent="0.3">
      <c r="A1688" s="732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6"/>
        <v>04,24</v>
      </c>
      <c r="L1688" s="48" t="s">
        <v>28</v>
      </c>
      <c r="M1688" s="48">
        <v>1858.2</v>
      </c>
      <c r="N1688" s="315">
        <v>0.33333333333333298</v>
      </c>
    </row>
    <row r="1689" spans="1:14" ht="19.5" hidden="1" thickBot="1" x14ac:dyDescent="0.3">
      <c r="A1689" s="732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6"/>
        <v>04,24</v>
      </c>
      <c r="L1689" s="23" t="s">
        <v>28</v>
      </c>
      <c r="M1689" s="23">
        <v>1991.1</v>
      </c>
      <c r="N1689" s="329">
        <v>0.33333333333333298</v>
      </c>
    </row>
    <row r="1690" spans="1:14" ht="19.5" hidden="1" thickBot="1" x14ac:dyDescent="0.3">
      <c r="A1690" s="732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6"/>
        <v>04,24</v>
      </c>
      <c r="L1690" s="23" t="s">
        <v>28</v>
      </c>
      <c r="M1690" s="23">
        <v>2384.4</v>
      </c>
      <c r="N1690" s="329">
        <v>0.33333333333333298</v>
      </c>
    </row>
    <row r="1691" spans="1:14" ht="19.5" hidden="1" thickBot="1" x14ac:dyDescent="0.3">
      <c r="A1691" s="732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6"/>
        <v>04,24</v>
      </c>
      <c r="L1691" s="71" t="s">
        <v>28</v>
      </c>
      <c r="M1691" s="71">
        <v>6808.48</v>
      </c>
      <c r="N1691" s="323">
        <v>0.33333333333333298</v>
      </c>
    </row>
    <row r="1692" spans="1:14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6"/>
        <v>04,24</v>
      </c>
      <c r="L1692" s="40" t="s">
        <v>266</v>
      </c>
      <c r="M1692" s="40">
        <v>17305.2</v>
      </c>
      <c r="N1692" s="317">
        <v>0.375</v>
      </c>
    </row>
    <row r="1693" spans="1:14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6"/>
        <v>04,24</v>
      </c>
      <c r="L1693" s="75" t="s">
        <v>266</v>
      </c>
      <c r="M1693" s="75">
        <v>18525.599999999999</v>
      </c>
      <c r="N1693" s="322">
        <v>0.41666666666666702</v>
      </c>
    </row>
    <row r="1694" spans="1:14" ht="19.5" hidden="1" thickBot="1" x14ac:dyDescent="0.3">
      <c r="A1694" s="731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6"/>
        <v>04,24</v>
      </c>
      <c r="L1694" s="82" t="s">
        <v>266</v>
      </c>
      <c r="M1694" s="82">
        <v>3007.23</v>
      </c>
      <c r="N1694" s="319">
        <v>0.45833333333333298</v>
      </c>
    </row>
    <row r="1695" spans="1:14" ht="19.5" hidden="1" thickBot="1" x14ac:dyDescent="0.3">
      <c r="A1695" s="731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6"/>
        <v>04,24</v>
      </c>
      <c r="L1695" s="98" t="s">
        <v>266</v>
      </c>
      <c r="M1695" s="98">
        <v>1302</v>
      </c>
      <c r="N1695" s="364">
        <v>0.45833333333333298</v>
      </c>
    </row>
    <row r="1696" spans="1:14" ht="19.5" hidden="1" thickBot="1" x14ac:dyDescent="0.3">
      <c r="A1696" s="731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6"/>
        <v>04,24</v>
      </c>
      <c r="L1696" s="98" t="s">
        <v>266</v>
      </c>
      <c r="M1696" s="98">
        <v>5381.3</v>
      </c>
      <c r="N1696" s="364">
        <v>0.45833333333333298</v>
      </c>
    </row>
    <row r="1697" spans="1:14" ht="19.5" hidden="1" thickBot="1" x14ac:dyDescent="0.3">
      <c r="A1697" s="731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6"/>
        <v>04,24</v>
      </c>
      <c r="L1697" s="98" t="s">
        <v>266</v>
      </c>
      <c r="M1697" s="98">
        <v>3965.01</v>
      </c>
      <c r="N1697" s="364">
        <v>0.45833333333333298</v>
      </c>
    </row>
    <row r="1698" spans="1:14" ht="19.5" hidden="1" thickBot="1" x14ac:dyDescent="0.3">
      <c r="A1698" s="731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6"/>
        <v>04,24</v>
      </c>
      <c r="L1698" s="90" t="s">
        <v>266</v>
      </c>
      <c r="M1698" s="90">
        <v>3618</v>
      </c>
      <c r="N1698" s="325">
        <v>0.45833333333333298</v>
      </c>
    </row>
    <row r="1699" spans="1:14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6"/>
        <v>04,24</v>
      </c>
      <c r="L1699" s="75" t="s">
        <v>265</v>
      </c>
      <c r="M1699" s="75">
        <v>13213.68</v>
      </c>
      <c r="N1699" s="322">
        <v>0.33333333333333298</v>
      </c>
    </row>
    <row r="1700" spans="1:14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6"/>
        <v>04,24</v>
      </c>
      <c r="L1700" s="40" t="s">
        <v>266</v>
      </c>
      <c r="M1700" s="40">
        <v>17189.82</v>
      </c>
      <c r="N1700" s="317">
        <v>0.33333333333333298</v>
      </c>
    </row>
    <row r="1701" spans="1:14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6"/>
        <v>04,24</v>
      </c>
      <c r="L1701" s="75" t="s">
        <v>266</v>
      </c>
      <c r="M1701" s="75">
        <v>18009.48</v>
      </c>
      <c r="N1701" s="322">
        <v>0.375</v>
      </c>
    </row>
    <row r="1702" spans="1:14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6"/>
        <v>04,24</v>
      </c>
      <c r="L1702" s="40" t="s">
        <v>266</v>
      </c>
      <c r="M1702" s="40">
        <v>17721.88</v>
      </c>
      <c r="N1702" s="317">
        <v>0.41666666666666702</v>
      </c>
    </row>
    <row r="1703" spans="1:14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6"/>
        <v>04,24</v>
      </c>
      <c r="L1703" s="75" t="s">
        <v>266</v>
      </c>
      <c r="M1703" s="75">
        <v>17622.650000000001</v>
      </c>
      <c r="N1703" s="322">
        <v>0.33333333333333298</v>
      </c>
    </row>
    <row r="1704" spans="1:14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6"/>
        <v>04,24</v>
      </c>
      <c r="L1704" s="40" t="s">
        <v>266</v>
      </c>
      <c r="M1704" s="40">
        <v>17575.939999999999</v>
      </c>
      <c r="N1704" s="317">
        <v>0.375</v>
      </c>
    </row>
    <row r="1705" spans="1:14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6"/>
        <v>04,24</v>
      </c>
      <c r="L1705" s="75" t="s">
        <v>266</v>
      </c>
      <c r="M1705" s="75">
        <v>17352.91</v>
      </c>
      <c r="N1705" s="322">
        <v>0.41666666666666702</v>
      </c>
    </row>
    <row r="1706" spans="1:14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6"/>
        <v>04,24</v>
      </c>
      <c r="L1706" s="40" t="s">
        <v>266</v>
      </c>
      <c r="M1706" s="40">
        <v>17397.46</v>
      </c>
      <c r="N1706" s="317">
        <v>0.45833333333333298</v>
      </c>
    </row>
    <row r="1707" spans="1:14" ht="19.5" hidden="1" thickBot="1" x14ac:dyDescent="0.3">
      <c r="A1707" s="732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6"/>
        <v>04,24</v>
      </c>
      <c r="L1707" s="48" t="s">
        <v>266</v>
      </c>
      <c r="M1707" s="48">
        <v>14904.16</v>
      </c>
      <c r="N1707" s="315">
        <v>0.5</v>
      </c>
    </row>
    <row r="1708" spans="1:14" ht="19.5" hidden="1" thickBot="1" x14ac:dyDescent="0.3">
      <c r="A1708" s="732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6"/>
        <v>04,24</v>
      </c>
      <c r="L1708" s="71" t="s">
        <v>266</v>
      </c>
      <c r="M1708" s="71">
        <v>2400</v>
      </c>
      <c r="N1708" s="323">
        <v>0.5</v>
      </c>
    </row>
    <row r="1709" spans="1:14" ht="19.5" hidden="1" thickBot="1" x14ac:dyDescent="0.3">
      <c r="A1709" s="731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6"/>
        <v>04,24</v>
      </c>
      <c r="L1709" s="82" t="s">
        <v>266</v>
      </c>
      <c r="M1709" s="82">
        <v>829.32</v>
      </c>
      <c r="N1709" s="319">
        <v>0.54166666666666696</v>
      </c>
    </row>
    <row r="1710" spans="1:14" ht="19.5" hidden="1" thickBot="1" x14ac:dyDescent="0.3">
      <c r="A1710" s="731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6"/>
        <v>04,24</v>
      </c>
      <c r="L1710" s="98" t="s">
        <v>266</v>
      </c>
      <c r="M1710" s="98">
        <v>9118.2000000000007</v>
      </c>
      <c r="N1710" s="364">
        <v>0.54166666666666696</v>
      </c>
    </row>
    <row r="1711" spans="1:14" ht="19.5" hidden="1" thickBot="1" x14ac:dyDescent="0.3">
      <c r="A1711" s="731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6"/>
        <v>04,24</v>
      </c>
      <c r="L1711" s="90" t="s">
        <v>266</v>
      </c>
      <c r="M1711" s="90">
        <v>7042.32</v>
      </c>
      <c r="N1711" s="325">
        <v>0.54166666666666696</v>
      </c>
    </row>
    <row r="1712" spans="1:14" ht="18.75" hidden="1" customHeight="1" thickBot="1" x14ac:dyDescent="0.3">
      <c r="A1712" s="732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737" t="s">
        <v>72</v>
      </c>
      <c r="H1712" s="48" t="s">
        <v>425</v>
      </c>
      <c r="I1712" s="163" t="s">
        <v>425</v>
      </c>
      <c r="J1712" s="52"/>
      <c r="K1712" s="48" t="str">
        <f t="shared" si="26"/>
        <v>04,24</v>
      </c>
      <c r="L1712" s="48" t="s">
        <v>265</v>
      </c>
      <c r="M1712" s="48">
        <v>11024.38</v>
      </c>
      <c r="N1712" s="315">
        <v>0.33333333333333298</v>
      </c>
    </row>
    <row r="1713" spans="1:14" ht="19.5" hidden="1" thickBot="1" x14ac:dyDescent="0.3">
      <c r="A1713" s="732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737"/>
      <c r="H1713" s="71" t="s">
        <v>425</v>
      </c>
      <c r="I1713" s="167" t="s">
        <v>426</v>
      </c>
      <c r="J1713" s="168"/>
      <c r="K1713" s="71" t="str">
        <f t="shared" si="26"/>
        <v>04,24</v>
      </c>
      <c r="L1713" s="71" t="s">
        <v>266</v>
      </c>
      <c r="M1713" s="71">
        <v>3600</v>
      </c>
      <c r="N1713" s="323">
        <v>0.41666666666666702</v>
      </c>
    </row>
    <row r="1714" spans="1:14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6"/>
        <v>04,24</v>
      </c>
      <c r="L1714" s="40" t="s">
        <v>266</v>
      </c>
      <c r="M1714" s="40">
        <v>17564</v>
      </c>
      <c r="N1714" s="317">
        <v>0.45833333333333298</v>
      </c>
    </row>
    <row r="1715" spans="1:14" ht="19.5" hidden="1" thickBot="1" x14ac:dyDescent="0.3">
      <c r="A1715" s="732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6"/>
        <v>04,24</v>
      </c>
      <c r="L1715" s="48" t="s">
        <v>266</v>
      </c>
      <c r="M1715" s="48">
        <v>7625.4</v>
      </c>
      <c r="N1715" s="315">
        <v>0.33333333333333298</v>
      </c>
    </row>
    <row r="1716" spans="1:14" ht="19.5" hidden="1" thickBot="1" x14ac:dyDescent="0.3">
      <c r="A1716" s="732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6"/>
        <v>04,24</v>
      </c>
      <c r="L1716" s="71" t="s">
        <v>266</v>
      </c>
      <c r="M1716" s="71">
        <v>10450.74</v>
      </c>
      <c r="N1716" s="323">
        <v>0.33333333333333298</v>
      </c>
    </row>
    <row r="1717" spans="1:14" ht="19.5" hidden="1" thickBot="1" x14ac:dyDescent="0.3">
      <c r="A1717" s="731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6"/>
        <v>04,24</v>
      </c>
      <c r="L1717" s="82" t="s">
        <v>266</v>
      </c>
      <c r="M1717" s="82">
        <v>6350</v>
      </c>
      <c r="N1717" s="319">
        <v>0.375</v>
      </c>
    </row>
    <row r="1718" spans="1:14" ht="19.5" hidden="1" thickBot="1" x14ac:dyDescent="0.3">
      <c r="A1718" s="731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6"/>
        <v>04,24</v>
      </c>
      <c r="L1718" s="90" t="s">
        <v>266</v>
      </c>
      <c r="M1718" s="90">
        <v>10980.96</v>
      </c>
      <c r="N1718" s="325">
        <v>0.375</v>
      </c>
    </row>
    <row r="1719" spans="1:14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6"/>
        <v>04,24</v>
      </c>
      <c r="L1719" s="75" t="s">
        <v>266</v>
      </c>
      <c r="M1719" s="75">
        <v>17350.88</v>
      </c>
      <c r="N1719" s="322">
        <v>0.41666666666666702</v>
      </c>
    </row>
    <row r="1720" spans="1:14" ht="19.5" hidden="1" thickBot="1" x14ac:dyDescent="0.3">
      <c r="A1720" s="731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6"/>
        <v>04,24</v>
      </c>
      <c r="L1720" s="82" t="s">
        <v>266</v>
      </c>
      <c r="M1720" s="82">
        <v>3963.48</v>
      </c>
      <c r="N1720" s="319">
        <v>0.45833333333333298</v>
      </c>
    </row>
    <row r="1721" spans="1:14" ht="19.5" hidden="1" thickBot="1" x14ac:dyDescent="0.3">
      <c r="A1721" s="731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6"/>
        <v>04,24</v>
      </c>
      <c r="L1721" s="98" t="s">
        <v>266</v>
      </c>
      <c r="M1721" s="98">
        <v>2515.6799999999998</v>
      </c>
      <c r="N1721" s="364">
        <v>0.45833333333333298</v>
      </c>
    </row>
    <row r="1722" spans="1:14" ht="19.5" hidden="1" thickBot="1" x14ac:dyDescent="0.3">
      <c r="A1722" s="731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6"/>
        <v>04,24</v>
      </c>
      <c r="L1722" s="90" t="s">
        <v>266</v>
      </c>
      <c r="M1722" s="90">
        <v>10730.84</v>
      </c>
      <c r="N1722" s="325">
        <v>0.45833333333333298</v>
      </c>
    </row>
    <row r="1723" spans="1:14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7">RIGHT(I1723,5)</f>
        <v>04,24</v>
      </c>
      <c r="L1723" s="75" t="s">
        <v>266</v>
      </c>
      <c r="M1723" s="75">
        <v>16800.02</v>
      </c>
      <c r="N1723" s="322">
        <v>0.33333333333333298</v>
      </c>
    </row>
    <row r="1724" spans="1:14" ht="19.5" hidden="1" thickBot="1" x14ac:dyDescent="0.3">
      <c r="A1724" s="731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7"/>
        <v>04,24</v>
      </c>
      <c r="L1724" s="82" t="s">
        <v>28</v>
      </c>
      <c r="M1724" s="82">
        <v>8812.24</v>
      </c>
      <c r="N1724" s="319">
        <v>0.33333333333333298</v>
      </c>
    </row>
    <row r="1725" spans="1:14" ht="19.5" hidden="1" thickBot="1" x14ac:dyDescent="0.3">
      <c r="A1725" s="731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7"/>
        <v>04,24</v>
      </c>
      <c r="L1725" s="90" t="s">
        <v>28</v>
      </c>
      <c r="M1725" s="90">
        <v>4614.16</v>
      </c>
      <c r="N1725" s="325">
        <v>0.33333333333333298</v>
      </c>
    </row>
    <row r="1726" spans="1:14" ht="19.5" hidden="1" thickBot="1" x14ac:dyDescent="0.3">
      <c r="A1726" s="732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7"/>
        <v>04,24</v>
      </c>
      <c r="L1726" s="48" t="s">
        <v>28</v>
      </c>
      <c r="M1726" s="48">
        <v>9619</v>
      </c>
      <c r="N1726" s="315">
        <v>0.375</v>
      </c>
    </row>
    <row r="1727" spans="1:14" ht="19.5" hidden="1" thickBot="1" x14ac:dyDescent="0.3">
      <c r="A1727" s="732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7"/>
        <v>04,24</v>
      </c>
      <c r="L1727" s="71" t="s">
        <v>28</v>
      </c>
      <c r="M1727" s="71">
        <v>3722.96</v>
      </c>
      <c r="N1727" s="323">
        <v>0.375</v>
      </c>
    </row>
    <row r="1728" spans="1:14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7"/>
        <v>04,24</v>
      </c>
      <c r="L1728" s="40" t="s">
        <v>266</v>
      </c>
      <c r="M1728" s="40">
        <v>18050.240000000002</v>
      </c>
      <c r="N1728" s="317">
        <v>0.5</v>
      </c>
    </row>
    <row r="1729" spans="1:14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7"/>
        <v>04,24</v>
      </c>
      <c r="L1729" s="75" t="s">
        <v>266</v>
      </c>
      <c r="M1729" s="75">
        <v>18078.599999999999</v>
      </c>
      <c r="N1729" s="322">
        <v>0.375</v>
      </c>
    </row>
    <row r="1730" spans="1:14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7"/>
        <v>04,24</v>
      </c>
      <c r="L1730" s="40" t="s">
        <v>266</v>
      </c>
      <c r="M1730" s="40">
        <v>18148.62</v>
      </c>
      <c r="N1730" s="317">
        <v>0.41666666666666702</v>
      </c>
    </row>
    <row r="1731" spans="1:14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7"/>
        <v>04,24</v>
      </c>
      <c r="L1731" s="75" t="s">
        <v>266</v>
      </c>
      <c r="M1731" s="75">
        <v>18011.400000000001</v>
      </c>
      <c r="N1731" s="322">
        <v>0.45833333333333298</v>
      </c>
    </row>
    <row r="1732" spans="1:14" ht="19.5" hidden="1" thickBot="1" x14ac:dyDescent="0.3">
      <c r="A1732" s="731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7"/>
        <v>04,24</v>
      </c>
      <c r="L1732" s="82" t="s">
        <v>266</v>
      </c>
      <c r="M1732" s="82">
        <v>3625.95</v>
      </c>
      <c r="N1732" s="319">
        <v>0.5</v>
      </c>
    </row>
    <row r="1733" spans="1:14" ht="19.5" hidden="1" thickBot="1" x14ac:dyDescent="0.3">
      <c r="A1733" s="731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7"/>
        <v>04,24</v>
      </c>
      <c r="L1733" s="98" t="s">
        <v>266</v>
      </c>
      <c r="M1733" s="98">
        <v>3058.42</v>
      </c>
      <c r="N1733" s="364">
        <v>0.5</v>
      </c>
    </row>
    <row r="1734" spans="1:14" ht="19.5" hidden="1" thickBot="1" x14ac:dyDescent="0.3">
      <c r="A1734" s="731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7"/>
        <v>04,24</v>
      </c>
      <c r="L1734" s="98" t="s">
        <v>266</v>
      </c>
      <c r="M1734" s="98">
        <v>8019.6</v>
      </c>
      <c r="N1734" s="364">
        <v>0.5</v>
      </c>
    </row>
    <row r="1735" spans="1:14" ht="19.5" hidden="1" thickBot="1" x14ac:dyDescent="0.3">
      <c r="A1735" s="731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7"/>
        <v>04,24</v>
      </c>
      <c r="L1735" s="90" t="s">
        <v>266</v>
      </c>
      <c r="M1735" s="90">
        <v>2884.69</v>
      </c>
      <c r="N1735" s="325">
        <v>0.5</v>
      </c>
    </row>
    <row r="1736" spans="1:14" ht="19.5" hidden="1" thickBot="1" x14ac:dyDescent="0.3">
      <c r="A1736" s="111">
        <f t="shared" ref="A1736:A1742" si="28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7"/>
        <v>04,24</v>
      </c>
      <c r="L1736" s="75" t="s">
        <v>266</v>
      </c>
      <c r="M1736" s="75">
        <v>13202.28</v>
      </c>
      <c r="N1736" s="322">
        <v>0.33333333333333298</v>
      </c>
    </row>
    <row r="1737" spans="1:14" ht="19.5" hidden="1" thickBot="1" x14ac:dyDescent="0.3">
      <c r="A1737" s="110">
        <f t="shared" si="28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7"/>
        <v>04,24</v>
      </c>
      <c r="L1737" s="40" t="s">
        <v>266</v>
      </c>
      <c r="M1737" s="40">
        <v>17738.37</v>
      </c>
      <c r="N1737" s="317">
        <v>0.33333333333333298</v>
      </c>
    </row>
    <row r="1738" spans="1:14" ht="38.25" hidden="1" thickBot="1" x14ac:dyDescent="0.3">
      <c r="A1738" s="111">
        <f t="shared" si="28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7"/>
        <v>04,24</v>
      </c>
      <c r="L1738" s="75" t="s">
        <v>266</v>
      </c>
      <c r="M1738" s="75">
        <v>18134.16</v>
      </c>
      <c r="N1738" s="322">
        <v>0.41666666666666702</v>
      </c>
    </row>
    <row r="1739" spans="1:14" ht="57" hidden="1" thickBot="1" x14ac:dyDescent="0.3">
      <c r="A1739" s="110">
        <f t="shared" si="28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7"/>
        <v>04,24</v>
      </c>
      <c r="L1739" s="40" t="s">
        <v>266</v>
      </c>
      <c r="M1739" s="40">
        <v>17214.48</v>
      </c>
      <c r="N1739" s="317">
        <v>0.45833333333333298</v>
      </c>
    </row>
    <row r="1740" spans="1:14" ht="19.5" hidden="1" thickBot="1" x14ac:dyDescent="0.3">
      <c r="A1740" s="111">
        <f t="shared" si="28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7"/>
        <v>04,24</v>
      </c>
      <c r="L1740" s="75" t="s">
        <v>266</v>
      </c>
      <c r="M1740" s="75">
        <v>17665.560000000001</v>
      </c>
      <c r="N1740" s="322">
        <v>0.33333333333333298</v>
      </c>
    </row>
    <row r="1741" spans="1:14" ht="19.5" hidden="1" thickBot="1" x14ac:dyDescent="0.3">
      <c r="A1741" s="110">
        <f t="shared" si="28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7"/>
        <v>04,24</v>
      </c>
      <c r="L1741" s="40" t="s">
        <v>28</v>
      </c>
      <c r="M1741" s="40">
        <v>17188.830000000002</v>
      </c>
      <c r="N1741" s="317">
        <v>0.375</v>
      </c>
    </row>
    <row r="1742" spans="1:14" ht="19.5" hidden="1" thickBot="1" x14ac:dyDescent="0.3">
      <c r="A1742" s="732">
        <f t="shared" si="28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7"/>
        <v>04,24</v>
      </c>
      <c r="L1742" s="48" t="s">
        <v>28</v>
      </c>
      <c r="M1742" s="48">
        <v>11142.32</v>
      </c>
      <c r="N1742" s="315">
        <v>0.41666666666666702</v>
      </c>
    </row>
    <row r="1743" spans="1:14" ht="19.5" hidden="1" thickBot="1" x14ac:dyDescent="0.3">
      <c r="A1743" s="732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7"/>
        <v>04,24</v>
      </c>
      <c r="L1743" s="71" t="s">
        <v>28</v>
      </c>
      <c r="M1743" s="71">
        <v>6015.96</v>
      </c>
      <c r="N1743" s="323">
        <v>0.41666666666666702</v>
      </c>
    </row>
    <row r="1744" spans="1:14" ht="19.5" hidden="1" thickBot="1" x14ac:dyDescent="0.3">
      <c r="A1744" s="731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7"/>
        <v>04,24</v>
      </c>
      <c r="L1744" s="82" t="s">
        <v>28</v>
      </c>
      <c r="M1744" s="82">
        <v>14757.29</v>
      </c>
      <c r="N1744" s="319">
        <v>0.45833333333333298</v>
      </c>
    </row>
    <row r="1745" spans="1:14" ht="19.5" hidden="1" thickBot="1" x14ac:dyDescent="0.3">
      <c r="A1745" s="731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7"/>
        <v>04,24</v>
      </c>
      <c r="L1745" s="90" t="s">
        <v>28</v>
      </c>
      <c r="M1745" s="90">
        <v>2610</v>
      </c>
      <c r="N1745" s="325">
        <v>0.45833333333333298</v>
      </c>
    </row>
    <row r="1746" spans="1:14" ht="19.5" hidden="1" thickBot="1" x14ac:dyDescent="0.3">
      <c r="A1746" s="732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7"/>
        <v>04,24</v>
      </c>
      <c r="L1746" s="48" t="s">
        <v>28</v>
      </c>
      <c r="M1746" s="48">
        <v>1410</v>
      </c>
      <c r="N1746" s="315">
        <v>0.5</v>
      </c>
    </row>
    <row r="1747" spans="1:14" ht="19.5" hidden="1" thickBot="1" x14ac:dyDescent="0.3">
      <c r="A1747" s="732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7"/>
        <v>04,24</v>
      </c>
      <c r="L1747" s="71" t="s">
        <v>28</v>
      </c>
      <c r="M1747" s="71">
        <v>15895.54</v>
      </c>
      <c r="N1747" s="323">
        <v>0.5</v>
      </c>
    </row>
    <row r="1748" spans="1:14" ht="19.5" hidden="1" thickBot="1" x14ac:dyDescent="0.3">
      <c r="A1748" s="731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7"/>
        <v>04,24</v>
      </c>
      <c r="L1748" s="82" t="s">
        <v>28</v>
      </c>
      <c r="M1748" s="82">
        <v>10719.52</v>
      </c>
      <c r="N1748" s="319">
        <v>0.54166666666666696</v>
      </c>
    </row>
    <row r="1749" spans="1:14" ht="19.5" hidden="1" thickBot="1" x14ac:dyDescent="0.3">
      <c r="A1749" s="731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7"/>
        <v>04,24</v>
      </c>
      <c r="L1749" s="90" t="s">
        <v>28</v>
      </c>
      <c r="M1749" s="90">
        <v>6894.08</v>
      </c>
      <c r="N1749" s="325">
        <v>0.54166666666666696</v>
      </c>
    </row>
    <row r="1750" spans="1:14" ht="19.5" hidden="1" customHeight="1" thickBot="1" x14ac:dyDescent="0.3">
      <c r="A1750" s="732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737" t="s">
        <v>72</v>
      </c>
      <c r="H1750" s="48" t="s">
        <v>432</v>
      </c>
      <c r="I1750" s="163" t="s">
        <v>432</v>
      </c>
      <c r="J1750" s="52"/>
      <c r="K1750" s="48" t="str">
        <f t="shared" si="27"/>
        <v>04,24</v>
      </c>
      <c r="L1750" s="48" t="s">
        <v>266</v>
      </c>
      <c r="M1750" s="48">
        <v>5848.1</v>
      </c>
      <c r="N1750" s="315">
        <v>0.33333333333333298</v>
      </c>
    </row>
    <row r="1751" spans="1:14" ht="19.5" hidden="1" thickBot="1" x14ac:dyDescent="0.3">
      <c r="A1751" s="732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737"/>
      <c r="H1751" s="23" t="s">
        <v>432</v>
      </c>
      <c r="I1751" s="180" t="s">
        <v>432</v>
      </c>
      <c r="J1751" s="387" t="s">
        <v>76</v>
      </c>
      <c r="K1751" s="23" t="str">
        <f t="shared" si="27"/>
        <v>04,24</v>
      </c>
      <c r="L1751" s="23" t="s">
        <v>266</v>
      </c>
      <c r="M1751" s="23">
        <v>144</v>
      </c>
      <c r="N1751" s="329">
        <v>0.33333333333333298</v>
      </c>
    </row>
    <row r="1752" spans="1:14" ht="19.5" hidden="1" thickBot="1" x14ac:dyDescent="0.3">
      <c r="A1752" s="732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737"/>
      <c r="H1752" s="71" t="s">
        <v>432</v>
      </c>
      <c r="I1752" s="167" t="s">
        <v>432</v>
      </c>
      <c r="J1752" s="168"/>
      <c r="K1752" s="71" t="str">
        <f t="shared" si="27"/>
        <v>04,24</v>
      </c>
      <c r="L1752" s="71" t="s">
        <v>266</v>
      </c>
      <c r="M1752" s="71">
        <v>8101.9</v>
      </c>
      <c r="N1752" s="323">
        <v>0.41666666666666702</v>
      </c>
    </row>
    <row r="1753" spans="1:14" ht="19.5" hidden="1" thickBot="1" x14ac:dyDescent="0.3">
      <c r="A1753" s="731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7"/>
        <v>04,24</v>
      </c>
      <c r="L1753" s="82" t="s">
        <v>266</v>
      </c>
      <c r="M1753" s="82">
        <v>5848.36</v>
      </c>
      <c r="N1753" s="319">
        <v>0.33333333333333298</v>
      </c>
    </row>
    <row r="1754" spans="1:14" ht="19.5" hidden="1" thickBot="1" x14ac:dyDescent="0.3">
      <c r="A1754" s="731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7"/>
        <v>04,24</v>
      </c>
      <c r="L1754" s="90" t="s">
        <v>266</v>
      </c>
      <c r="M1754" s="90">
        <v>11742.01</v>
      </c>
      <c r="N1754" s="325">
        <v>0.33333333333333298</v>
      </c>
    </row>
    <row r="1755" spans="1:14" ht="19.5" hidden="1" thickBot="1" x14ac:dyDescent="0.3">
      <c r="A1755" s="732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7"/>
        <v>04,24</v>
      </c>
      <c r="L1755" s="48" t="s">
        <v>28</v>
      </c>
      <c r="M1755" s="48">
        <v>4173.76</v>
      </c>
      <c r="N1755" s="315">
        <v>0.375</v>
      </c>
    </row>
    <row r="1756" spans="1:14" ht="19.5" hidden="1" thickBot="1" x14ac:dyDescent="0.3">
      <c r="A1756" s="732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7"/>
        <v>04,24</v>
      </c>
      <c r="L1756" s="23" t="s">
        <v>28</v>
      </c>
      <c r="M1756" s="23">
        <v>3430.48</v>
      </c>
      <c r="N1756" s="329">
        <v>0.375</v>
      </c>
    </row>
    <row r="1757" spans="1:14" ht="19.5" hidden="1" thickBot="1" x14ac:dyDescent="0.3">
      <c r="A1757" s="732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7"/>
        <v>04,24</v>
      </c>
      <c r="L1757" s="71" t="s">
        <v>28</v>
      </c>
      <c r="M1757" s="71">
        <v>9920.64</v>
      </c>
      <c r="N1757" s="323">
        <v>0.375</v>
      </c>
    </row>
    <row r="1758" spans="1:14" ht="19.5" hidden="1" thickBot="1" x14ac:dyDescent="0.3">
      <c r="A1758" s="731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7"/>
        <v>04,24</v>
      </c>
      <c r="L1758" s="82" t="s">
        <v>28</v>
      </c>
      <c r="M1758" s="82">
        <v>1518.6</v>
      </c>
      <c r="N1758" s="319">
        <v>0.41666666666666702</v>
      </c>
    </row>
    <row r="1759" spans="1:14" ht="19.5" hidden="1" thickBot="1" x14ac:dyDescent="0.3">
      <c r="A1759" s="731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7"/>
        <v>04,24</v>
      </c>
      <c r="L1759" s="90" t="s">
        <v>28</v>
      </c>
      <c r="M1759" s="90">
        <v>16273.14</v>
      </c>
      <c r="N1759" s="325">
        <v>0.41666666666666702</v>
      </c>
    </row>
    <row r="1760" spans="1:14" ht="19.5" hidden="1" thickBot="1" x14ac:dyDescent="0.3">
      <c r="A1760" s="732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7"/>
        <v>04,24</v>
      </c>
      <c r="L1760" s="48" t="s">
        <v>28</v>
      </c>
      <c r="M1760" s="48">
        <v>12074.22</v>
      </c>
      <c r="N1760" s="315">
        <v>0.45833333333333298</v>
      </c>
    </row>
    <row r="1761" spans="1:14" ht="19.5" hidden="1" thickBot="1" x14ac:dyDescent="0.3">
      <c r="A1761" s="732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7"/>
        <v>04,24</v>
      </c>
      <c r="L1761" s="71" t="s">
        <v>28</v>
      </c>
      <c r="M1761" s="71">
        <v>5392.86</v>
      </c>
      <c r="N1761" s="323">
        <v>0.45833333333333298</v>
      </c>
    </row>
    <row r="1762" spans="1:14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7"/>
        <v>04,24</v>
      </c>
      <c r="L1762" s="40" t="s">
        <v>266</v>
      </c>
      <c r="M1762" s="40">
        <v>17717.939999999999</v>
      </c>
      <c r="N1762" s="317">
        <v>0.33333333333333298</v>
      </c>
    </row>
    <row r="1763" spans="1:14" ht="19.5" hidden="1" thickBot="1" x14ac:dyDescent="0.3">
      <c r="A1763" s="732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7"/>
        <v>04,24</v>
      </c>
      <c r="L1763" s="48" t="s">
        <v>28</v>
      </c>
      <c r="M1763" s="48">
        <v>4814.08</v>
      </c>
      <c r="N1763" s="315">
        <v>0.33333333333333298</v>
      </c>
    </row>
    <row r="1764" spans="1:14" ht="19.5" hidden="1" thickBot="1" x14ac:dyDescent="0.3">
      <c r="A1764" s="732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7"/>
        <v>04,24</v>
      </c>
      <c r="L1764" s="71" t="s">
        <v>28</v>
      </c>
      <c r="M1764" s="71">
        <v>8152.38</v>
      </c>
      <c r="N1764" s="323">
        <v>0.33333333333333298</v>
      </c>
    </row>
    <row r="1765" spans="1:14" ht="38.25" hidden="1" customHeight="1" thickBot="1" x14ac:dyDescent="0.3">
      <c r="A1765" s="731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734" t="s">
        <v>437</v>
      </c>
      <c r="H1765" s="82" t="s">
        <v>433</v>
      </c>
      <c r="I1765" s="147" t="s">
        <v>433</v>
      </c>
      <c r="J1765" s="86"/>
      <c r="K1765" s="82" t="str">
        <f t="shared" si="27"/>
        <v>04,24</v>
      </c>
      <c r="L1765" s="82" t="s">
        <v>28</v>
      </c>
      <c r="M1765" s="82">
        <v>4708.3</v>
      </c>
      <c r="N1765" s="319">
        <v>0.375</v>
      </c>
    </row>
    <row r="1766" spans="1:14" ht="38.25" hidden="1" customHeight="1" thickBot="1" x14ac:dyDescent="0.3">
      <c r="A1766" s="731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734"/>
      <c r="H1766" s="90" t="s">
        <v>433</v>
      </c>
      <c r="I1766" s="172" t="s">
        <v>433</v>
      </c>
      <c r="J1766" s="173"/>
      <c r="K1766" s="90" t="str">
        <f t="shared" si="27"/>
        <v>04,24</v>
      </c>
      <c r="L1766" s="90" t="s">
        <v>28</v>
      </c>
      <c r="M1766" s="90">
        <v>8526.1</v>
      </c>
      <c r="N1766" s="325">
        <v>0.375</v>
      </c>
    </row>
    <row r="1767" spans="1:14" ht="19.5" hidden="1" thickBot="1" x14ac:dyDescent="0.3">
      <c r="A1767" s="111">
        <f t="shared" ref="A1767:A1772" si="29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7"/>
        <v>04,24</v>
      </c>
      <c r="L1767" s="75" t="s">
        <v>266</v>
      </c>
      <c r="M1767" s="75">
        <v>4555.2</v>
      </c>
      <c r="N1767" s="322">
        <v>0.91666666666666696</v>
      </c>
    </row>
    <row r="1768" spans="1:14" ht="19.5" hidden="1" thickBot="1" x14ac:dyDescent="0.3">
      <c r="A1768" s="110">
        <f t="shared" si="29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7"/>
        <v>04,24</v>
      </c>
      <c r="L1768" s="40" t="s">
        <v>266</v>
      </c>
      <c r="M1768" s="40">
        <v>7046.4</v>
      </c>
      <c r="N1768" s="317">
        <v>0.33333333333333298</v>
      </c>
    </row>
    <row r="1769" spans="1:14" ht="19.5" hidden="1" thickBot="1" x14ac:dyDescent="0.3">
      <c r="A1769" s="111">
        <f t="shared" si="29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7"/>
        <v>04,24</v>
      </c>
      <c r="L1769" s="75" t="s">
        <v>266</v>
      </c>
      <c r="M1769" s="75">
        <v>18142.3</v>
      </c>
      <c r="N1769" s="322">
        <v>0.375</v>
      </c>
    </row>
    <row r="1770" spans="1:14" ht="19.5" hidden="1" thickBot="1" x14ac:dyDescent="0.3">
      <c r="A1770" s="110">
        <f t="shared" si="29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7"/>
        <v>04,24</v>
      </c>
      <c r="L1770" s="40" t="s">
        <v>266</v>
      </c>
      <c r="M1770" s="40">
        <v>18005.060000000001</v>
      </c>
      <c r="N1770" s="317">
        <v>0.41666666666666702</v>
      </c>
    </row>
    <row r="1771" spans="1:14" ht="19.5" hidden="1" thickBot="1" x14ac:dyDescent="0.3">
      <c r="A1771" s="111">
        <f t="shared" si="29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7"/>
        <v>04,24</v>
      </c>
      <c r="L1771" s="75" t="s">
        <v>266</v>
      </c>
      <c r="M1771" s="75">
        <v>17945.400000000001</v>
      </c>
      <c r="N1771" s="322">
        <v>0.45833333333333298</v>
      </c>
    </row>
    <row r="1772" spans="1:14" ht="19.5" hidden="1" thickBot="1" x14ac:dyDescent="0.3">
      <c r="A1772" s="110">
        <f t="shared" si="29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7"/>
        <v>04,24</v>
      </c>
      <c r="L1772" s="40" t="s">
        <v>266</v>
      </c>
      <c r="M1772" s="40">
        <v>18156.900000000001</v>
      </c>
      <c r="N1772" s="317">
        <v>0.5</v>
      </c>
    </row>
    <row r="1773" spans="1:14" ht="19.5" hidden="1" thickBot="1" x14ac:dyDescent="0.3">
      <c r="A1773" s="732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7"/>
        <v>04,24</v>
      </c>
      <c r="L1773" s="48" t="s">
        <v>266</v>
      </c>
      <c r="M1773" s="48">
        <v>3896.4</v>
      </c>
      <c r="N1773" s="315">
        <v>0.54166666666666696</v>
      </c>
    </row>
    <row r="1774" spans="1:14" ht="19.5" hidden="1" thickBot="1" x14ac:dyDescent="0.3">
      <c r="A1774" s="732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7"/>
        <v>04,24</v>
      </c>
      <c r="L1774" s="23" t="s">
        <v>266</v>
      </c>
      <c r="M1774" s="23">
        <v>1125</v>
      </c>
      <c r="N1774" s="329">
        <v>0.54166666666666696</v>
      </c>
    </row>
    <row r="1775" spans="1:14" ht="19.5" hidden="1" thickBot="1" x14ac:dyDescent="0.3">
      <c r="A1775" s="732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7"/>
        <v>04,24</v>
      </c>
      <c r="L1775" s="23" t="s">
        <v>266</v>
      </c>
      <c r="M1775" s="23">
        <v>4171.04</v>
      </c>
      <c r="N1775" s="329">
        <v>0.54166666666666696</v>
      </c>
    </row>
    <row r="1776" spans="1:14" ht="19.5" hidden="1" thickBot="1" x14ac:dyDescent="0.3">
      <c r="A1776" s="732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7"/>
        <v>04,24</v>
      </c>
      <c r="L1776" s="23" t="s">
        <v>266</v>
      </c>
      <c r="M1776" s="23">
        <v>2618.6999999999998</v>
      </c>
      <c r="N1776" s="329">
        <v>0.54166666666666696</v>
      </c>
    </row>
    <row r="1777" spans="1:14" ht="19.5" hidden="1" thickBot="1" x14ac:dyDescent="0.3">
      <c r="A1777" s="732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7"/>
        <v>04,24</v>
      </c>
      <c r="L1777" s="23" t="s">
        <v>266</v>
      </c>
      <c r="M1777" s="23">
        <v>1304.76</v>
      </c>
      <c r="N1777" s="329">
        <v>0.54166666666666696</v>
      </c>
    </row>
    <row r="1778" spans="1:14" ht="19.5" hidden="1" thickBot="1" x14ac:dyDescent="0.3">
      <c r="A1778" s="732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7"/>
        <v>04,24</v>
      </c>
      <c r="L1778" s="71" t="s">
        <v>266</v>
      </c>
      <c r="M1778" s="71">
        <v>4840.04</v>
      </c>
      <c r="N1778" s="323">
        <v>0.54166666666666696</v>
      </c>
    </row>
    <row r="1779" spans="1:14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7"/>
        <v>04,24</v>
      </c>
      <c r="L1779" s="40" t="s">
        <v>265</v>
      </c>
      <c r="M1779" s="40">
        <v>13084.66</v>
      </c>
      <c r="N1779" s="317">
        <v>0.33333333333333298</v>
      </c>
    </row>
    <row r="1780" spans="1:14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7"/>
        <v>04,24</v>
      </c>
      <c r="L1780" s="75" t="s">
        <v>265</v>
      </c>
      <c r="M1780" s="75">
        <v>17184.02</v>
      </c>
      <c r="N1780" s="322">
        <v>0.33333333333333298</v>
      </c>
    </row>
    <row r="1781" spans="1:14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7"/>
        <v>04,24</v>
      </c>
      <c r="L1781" s="40" t="s">
        <v>265</v>
      </c>
      <c r="M1781" s="40">
        <v>17249.72</v>
      </c>
      <c r="N1781" s="317">
        <v>0.33333333333333298</v>
      </c>
    </row>
    <row r="1782" spans="1:14" ht="19.5" hidden="1" thickBot="1" x14ac:dyDescent="0.3">
      <c r="A1782" s="732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7"/>
        <v>04,24</v>
      </c>
      <c r="L1782" s="48" t="s">
        <v>28</v>
      </c>
      <c r="M1782" s="48">
        <v>1815</v>
      </c>
      <c r="N1782" s="315">
        <v>0.375</v>
      </c>
    </row>
    <row r="1783" spans="1:14" ht="19.5" hidden="1" thickBot="1" x14ac:dyDescent="0.3">
      <c r="A1783" s="732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7"/>
        <v>04,24</v>
      </c>
      <c r="L1783" s="71" t="s">
        <v>28</v>
      </c>
      <c r="M1783" s="71">
        <v>15801.74</v>
      </c>
      <c r="N1783" s="323">
        <v>0.375</v>
      </c>
    </row>
    <row r="1784" spans="1:14" ht="19.5" hidden="1" thickBot="1" x14ac:dyDescent="0.3">
      <c r="A1784" s="731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7"/>
        <v>04,24</v>
      </c>
      <c r="L1784" s="82" t="s">
        <v>28</v>
      </c>
      <c r="M1784" s="82">
        <v>12228.62</v>
      </c>
      <c r="N1784" s="319">
        <v>0.41666666666666702</v>
      </c>
    </row>
    <row r="1785" spans="1:14" ht="19.5" hidden="1" thickBot="1" x14ac:dyDescent="0.3">
      <c r="A1785" s="731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7"/>
        <v>04,24</v>
      </c>
      <c r="L1785" s="90" t="s">
        <v>28</v>
      </c>
      <c r="M1785" s="90">
        <v>5392.86</v>
      </c>
      <c r="N1785" s="325">
        <v>0.41666666666666702</v>
      </c>
    </row>
    <row r="1786" spans="1:14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7"/>
        <v>04,24</v>
      </c>
      <c r="L1786" s="75" t="s">
        <v>28</v>
      </c>
      <c r="M1786" s="75">
        <v>17743.63</v>
      </c>
      <c r="N1786" s="322">
        <v>0.45833333333333298</v>
      </c>
    </row>
    <row r="1787" spans="1:14" ht="19.5" hidden="1" thickBot="1" x14ac:dyDescent="0.3">
      <c r="A1787" s="731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0">RIGHT(I1787,5)</f>
        <v>04,24</v>
      </c>
      <c r="L1787" s="82" t="s">
        <v>28</v>
      </c>
      <c r="M1787" s="82">
        <v>10118.51</v>
      </c>
      <c r="N1787" s="319">
        <v>0.5</v>
      </c>
    </row>
    <row r="1788" spans="1:14" ht="19.5" hidden="1" thickBot="1" x14ac:dyDescent="0.3">
      <c r="A1788" s="731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0"/>
        <v>04,24</v>
      </c>
      <c r="L1788" s="98" t="s">
        <v>28</v>
      </c>
      <c r="M1788" s="98">
        <v>2411.2800000000002</v>
      </c>
      <c r="N1788" s="364">
        <v>0.5</v>
      </c>
    </row>
    <row r="1789" spans="1:14" ht="19.5" hidden="1" thickBot="1" x14ac:dyDescent="0.3">
      <c r="A1789" s="731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0"/>
        <v>04,24</v>
      </c>
      <c r="L1789" s="90" t="s">
        <v>28</v>
      </c>
      <c r="M1789" s="90">
        <v>4732.2</v>
      </c>
      <c r="N1789" s="325">
        <v>0.5</v>
      </c>
    </row>
    <row r="1790" spans="1:14" ht="19.5" hidden="1" thickBot="1" x14ac:dyDescent="0.3">
      <c r="A1790" s="111">
        <f t="shared" ref="A1790:A1795" si="31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0"/>
        <v>04,24</v>
      </c>
      <c r="L1790" s="75" t="s">
        <v>28</v>
      </c>
      <c r="M1790" s="75">
        <v>17651.16</v>
      </c>
      <c r="N1790" s="322">
        <v>0.54166666666666696</v>
      </c>
    </row>
    <row r="1791" spans="1:14" ht="19.5" hidden="1" thickBot="1" x14ac:dyDescent="0.3">
      <c r="A1791" s="110">
        <f t="shared" si="31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0"/>
        <v>04,24</v>
      </c>
      <c r="L1791" s="40" t="s">
        <v>265</v>
      </c>
      <c r="M1791" s="40">
        <v>13060.76</v>
      </c>
      <c r="N1791" s="317">
        <v>0.375</v>
      </c>
    </row>
    <row r="1792" spans="1:14" ht="38.25" hidden="1" thickBot="1" x14ac:dyDescent="0.3">
      <c r="A1792" s="111">
        <f t="shared" si="31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0"/>
        <v>04,24</v>
      </c>
      <c r="L1792" s="75" t="s">
        <v>266</v>
      </c>
      <c r="M1792" s="75">
        <v>16570.09</v>
      </c>
      <c r="N1792" s="322">
        <v>0.41666666666666702</v>
      </c>
    </row>
    <row r="1793" spans="1:14" ht="19.5" hidden="1" thickBot="1" x14ac:dyDescent="0.3">
      <c r="A1793" s="110">
        <f t="shared" si="31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0"/>
        <v>04,24</v>
      </c>
      <c r="L1793" s="40" t="s">
        <v>265</v>
      </c>
      <c r="M1793" s="40">
        <v>17307</v>
      </c>
      <c r="N1793" s="317">
        <v>0.33333333333333298</v>
      </c>
    </row>
    <row r="1794" spans="1:14" ht="38.25" hidden="1" thickBot="1" x14ac:dyDescent="0.3">
      <c r="A1794" s="111">
        <f t="shared" si="31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0"/>
        <v>04,24</v>
      </c>
      <c r="L1794" s="75" t="s">
        <v>28</v>
      </c>
      <c r="M1794" s="75">
        <v>17520.48</v>
      </c>
      <c r="N1794" s="322">
        <v>0.375</v>
      </c>
    </row>
    <row r="1795" spans="1:14" ht="19.5" hidden="1" thickBot="1" x14ac:dyDescent="0.3">
      <c r="A1795" s="731">
        <f t="shared" si="31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0"/>
        <v>04,24</v>
      </c>
      <c r="L1795" s="82" t="s">
        <v>28</v>
      </c>
      <c r="M1795" s="82">
        <v>5254.39</v>
      </c>
      <c r="N1795" s="319">
        <v>0.41666666666666702</v>
      </c>
    </row>
    <row r="1796" spans="1:14" ht="19.5" hidden="1" thickBot="1" x14ac:dyDescent="0.3">
      <c r="A1796" s="731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0"/>
        <v>04,24</v>
      </c>
      <c r="L1796" s="90" t="s">
        <v>28</v>
      </c>
      <c r="M1796" s="90">
        <v>12447.96</v>
      </c>
      <c r="N1796" s="325">
        <v>0.41666666666666702</v>
      </c>
    </row>
    <row r="1797" spans="1:14" ht="19.5" hidden="1" thickBot="1" x14ac:dyDescent="0.3">
      <c r="A1797" s="111">
        <f t="shared" ref="A1797:A1802" si="32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0"/>
        <v>04,24</v>
      </c>
      <c r="L1797" s="75" t="s">
        <v>28</v>
      </c>
      <c r="M1797" s="75">
        <v>17246.73</v>
      </c>
      <c r="N1797" s="322">
        <v>0.45833333333333298</v>
      </c>
    </row>
    <row r="1798" spans="1:14" ht="19.5" hidden="1" thickBot="1" x14ac:dyDescent="0.3">
      <c r="A1798" s="110">
        <f t="shared" si="32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0"/>
        <v>05,24</v>
      </c>
      <c r="L1798" s="40" t="s">
        <v>28</v>
      </c>
      <c r="M1798" s="40">
        <v>17180.8</v>
      </c>
      <c r="N1798" s="317">
        <v>0.5</v>
      </c>
    </row>
    <row r="1799" spans="1:14" ht="19.5" hidden="1" thickBot="1" x14ac:dyDescent="0.3">
      <c r="A1799" s="111">
        <f t="shared" si="32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0"/>
        <v>04,24</v>
      </c>
      <c r="L1799" s="75" t="s">
        <v>28</v>
      </c>
      <c r="M1799" s="75">
        <v>17183.22</v>
      </c>
      <c r="N1799" s="322">
        <v>0.54166666666666696</v>
      </c>
    </row>
    <row r="1800" spans="1:14" ht="19.5" hidden="1" thickBot="1" x14ac:dyDescent="0.3">
      <c r="A1800" s="110">
        <f t="shared" si="32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0"/>
        <v>04,24</v>
      </c>
      <c r="L1800" s="40" t="s">
        <v>28</v>
      </c>
      <c r="M1800" s="40">
        <v>17077.68</v>
      </c>
      <c r="N1800" s="317">
        <v>0.41666666666666702</v>
      </c>
    </row>
    <row r="1801" spans="1:14" ht="19.5" hidden="1" thickBot="1" x14ac:dyDescent="0.3">
      <c r="A1801" s="111">
        <f t="shared" si="32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0"/>
        <v>04,24</v>
      </c>
      <c r="L1801" s="75" t="s">
        <v>28</v>
      </c>
      <c r="M1801" s="75">
        <v>13772.12</v>
      </c>
      <c r="N1801" s="322">
        <v>0.33333333333333298</v>
      </c>
    </row>
    <row r="1802" spans="1:14" ht="19.5" hidden="1" thickBot="1" x14ac:dyDescent="0.3">
      <c r="A1802" s="731">
        <f t="shared" si="32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0"/>
        <v>04,24</v>
      </c>
      <c r="L1802" s="82" t="s">
        <v>28</v>
      </c>
      <c r="M1802" s="82">
        <v>8512.14</v>
      </c>
      <c r="N1802" s="319">
        <v>0.375</v>
      </c>
    </row>
    <row r="1803" spans="1:14" ht="19.5" hidden="1" thickBot="1" x14ac:dyDescent="0.3">
      <c r="A1803" s="731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0"/>
        <v>04,24</v>
      </c>
      <c r="L1803" s="98" t="s">
        <v>28</v>
      </c>
      <c r="M1803" s="98">
        <v>1485.66</v>
      </c>
      <c r="N1803" s="364">
        <v>0.375</v>
      </c>
    </row>
    <row r="1804" spans="1:14" ht="19.5" hidden="1" thickBot="1" x14ac:dyDescent="0.3">
      <c r="A1804" s="731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0"/>
        <v>04,24</v>
      </c>
      <c r="L1804" s="90" t="s">
        <v>28</v>
      </c>
      <c r="M1804" s="90">
        <v>3444.72</v>
      </c>
      <c r="N1804" s="325">
        <v>0.375</v>
      </c>
    </row>
    <row r="1805" spans="1:14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0"/>
        <v>05,24</v>
      </c>
      <c r="L1805" s="75" t="s">
        <v>266</v>
      </c>
      <c r="M1805" s="75">
        <v>17932.29</v>
      </c>
      <c r="N1805" s="322">
        <v>4.1666666666666699E-2</v>
      </c>
    </row>
    <row r="1806" spans="1:14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0"/>
        <v>05,24</v>
      </c>
      <c r="L1806" s="40" t="s">
        <v>266</v>
      </c>
      <c r="M1806" s="40">
        <v>18139.099999999999</v>
      </c>
      <c r="N1806" s="317">
        <v>0.375</v>
      </c>
    </row>
    <row r="1807" spans="1:14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0"/>
        <v>05,24</v>
      </c>
      <c r="L1807" s="75" t="s">
        <v>266</v>
      </c>
      <c r="M1807" s="75">
        <v>18001.2</v>
      </c>
      <c r="N1807" s="322">
        <v>0.41666666666666702</v>
      </c>
    </row>
    <row r="1808" spans="1:14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0"/>
        <v>05,24</v>
      </c>
      <c r="L1808" s="40" t="s">
        <v>266</v>
      </c>
      <c r="M1808" s="40">
        <v>18024.599999999999</v>
      </c>
      <c r="N1808" s="317">
        <v>0.45833333333333298</v>
      </c>
    </row>
    <row r="1809" spans="1:14" ht="19.5" hidden="1" thickBot="1" x14ac:dyDescent="0.3">
      <c r="A1809" s="732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0"/>
        <v>05,24</v>
      </c>
      <c r="L1809" s="48" t="s">
        <v>266</v>
      </c>
      <c r="M1809" s="48">
        <v>1500</v>
      </c>
      <c r="N1809" s="315">
        <v>0.5</v>
      </c>
    </row>
    <row r="1810" spans="1:14" ht="19.5" hidden="1" thickBot="1" x14ac:dyDescent="0.3">
      <c r="A1810" s="732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0"/>
        <v>05,24</v>
      </c>
      <c r="L1810" s="23" t="s">
        <v>266</v>
      </c>
      <c r="M1810" s="23">
        <v>4028.1</v>
      </c>
      <c r="N1810" s="329">
        <v>0.5</v>
      </c>
    </row>
    <row r="1811" spans="1:14" ht="19.5" hidden="1" thickBot="1" x14ac:dyDescent="0.3">
      <c r="A1811" s="732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0"/>
        <v>05,24</v>
      </c>
      <c r="L1811" s="23" t="s">
        <v>266</v>
      </c>
      <c r="M1811" s="23">
        <v>1761.04</v>
      </c>
      <c r="N1811" s="329">
        <v>0.5</v>
      </c>
    </row>
    <row r="1812" spans="1:14" ht="19.5" hidden="1" thickBot="1" x14ac:dyDescent="0.3">
      <c r="A1812" s="732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0"/>
        <v>05,24</v>
      </c>
      <c r="L1812" s="23" t="s">
        <v>266</v>
      </c>
      <c r="M1812" s="23">
        <v>3909.66</v>
      </c>
      <c r="N1812" s="329">
        <v>0.5</v>
      </c>
    </row>
    <row r="1813" spans="1:14" ht="19.5" hidden="1" thickBot="1" x14ac:dyDescent="0.3">
      <c r="A1813" s="732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0"/>
        <v>05,24</v>
      </c>
      <c r="L1813" s="23" t="s">
        <v>266</v>
      </c>
      <c r="M1813" s="23">
        <v>2958.66</v>
      </c>
      <c r="N1813" s="329">
        <v>0.5</v>
      </c>
    </row>
    <row r="1814" spans="1:14" ht="19.5" hidden="1" thickBot="1" x14ac:dyDescent="0.3">
      <c r="A1814" s="732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0"/>
        <v>05,24</v>
      </c>
      <c r="L1814" s="71" t="s">
        <v>266</v>
      </c>
      <c r="M1814" s="71">
        <v>3294.16</v>
      </c>
      <c r="N1814" s="323">
        <v>0.5</v>
      </c>
    </row>
    <row r="1815" spans="1:14" ht="19.5" hidden="1" thickBot="1" x14ac:dyDescent="0.3">
      <c r="A1815" s="110">
        <f t="shared" ref="A1815:A1821" si="33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0"/>
        <v>05,24</v>
      </c>
      <c r="L1815" s="40" t="s">
        <v>265</v>
      </c>
      <c r="M1815" s="40">
        <v>4020</v>
      </c>
      <c r="N1815" s="317">
        <v>0.54166666666666696</v>
      </c>
    </row>
    <row r="1816" spans="1:14" ht="19.5" hidden="1" thickBot="1" x14ac:dyDescent="0.3">
      <c r="A1816" s="111">
        <f t="shared" si="33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0"/>
        <v>05,24</v>
      </c>
      <c r="L1816" s="75" t="s">
        <v>265</v>
      </c>
      <c r="M1816" s="75">
        <v>13031</v>
      </c>
      <c r="N1816" s="322">
        <v>0.33333333333333298</v>
      </c>
    </row>
    <row r="1817" spans="1:14" ht="19.5" hidden="1" thickBot="1" x14ac:dyDescent="0.3">
      <c r="A1817" s="110">
        <f t="shared" si="33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0"/>
        <v>05,24</v>
      </c>
      <c r="L1817" s="40" t="s">
        <v>265</v>
      </c>
      <c r="M1817" s="40">
        <v>17237.580000000002</v>
      </c>
      <c r="N1817" s="317">
        <v>0.33333333333333298</v>
      </c>
    </row>
    <row r="1818" spans="1:14" ht="19.5" hidden="1" thickBot="1" x14ac:dyDescent="0.3">
      <c r="A1818" s="111">
        <f t="shared" si="33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0"/>
        <v>05,24</v>
      </c>
      <c r="L1818" s="75" t="s">
        <v>265</v>
      </c>
      <c r="M1818" s="75">
        <v>17624.97</v>
      </c>
      <c r="N1818" s="322">
        <v>0.33333333333333298</v>
      </c>
    </row>
    <row r="1819" spans="1:14" ht="19.5" hidden="1" thickBot="1" x14ac:dyDescent="0.3">
      <c r="A1819" s="110">
        <f t="shared" si="33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0"/>
        <v>05,24</v>
      </c>
      <c r="L1819" s="40" t="s">
        <v>28</v>
      </c>
      <c r="M1819" s="40">
        <v>17527.669999999998</v>
      </c>
      <c r="N1819" s="317">
        <v>0.375</v>
      </c>
    </row>
    <row r="1820" spans="1:14" ht="19.5" hidden="1" thickBot="1" x14ac:dyDescent="0.3">
      <c r="A1820" s="111">
        <f t="shared" si="33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0"/>
        <v>05,24</v>
      </c>
      <c r="L1820" s="75" t="s">
        <v>28</v>
      </c>
      <c r="M1820" s="75">
        <v>17462.810000000001</v>
      </c>
      <c r="N1820" s="322">
        <v>0.41666666666666702</v>
      </c>
    </row>
    <row r="1821" spans="1:14" ht="19.5" hidden="1" thickBot="1" x14ac:dyDescent="0.3">
      <c r="A1821" s="731">
        <f t="shared" si="33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0"/>
        <v>05,24</v>
      </c>
      <c r="L1821" s="82" t="s">
        <v>28</v>
      </c>
      <c r="M1821" s="82">
        <v>13639.73</v>
      </c>
      <c r="N1821" s="319">
        <v>0.45833333333333298</v>
      </c>
    </row>
    <row r="1822" spans="1:14" ht="19.5" hidden="1" thickBot="1" x14ac:dyDescent="0.3">
      <c r="A1822" s="731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0"/>
        <v>05,24</v>
      </c>
      <c r="L1822" s="90" t="s">
        <v>28</v>
      </c>
      <c r="M1822" s="90">
        <v>3832.2</v>
      </c>
      <c r="N1822" s="325">
        <v>0.45833333333333298</v>
      </c>
    </row>
    <row r="1823" spans="1:14" ht="19.5" hidden="1" thickBot="1" x14ac:dyDescent="0.3">
      <c r="A1823" s="732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0"/>
        <v>05,24</v>
      </c>
      <c r="L1823" s="48" t="s">
        <v>28</v>
      </c>
      <c r="M1823" s="48">
        <v>5687.64</v>
      </c>
      <c r="N1823" s="315">
        <v>0.5</v>
      </c>
    </row>
    <row r="1824" spans="1:14" ht="19.5" hidden="1" thickBot="1" x14ac:dyDescent="0.3">
      <c r="A1824" s="732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0"/>
        <v>05,24</v>
      </c>
      <c r="L1824" s="23" t="s">
        <v>28</v>
      </c>
      <c r="M1824" s="23">
        <v>3937.8</v>
      </c>
      <c r="N1824" s="329">
        <v>0.5</v>
      </c>
    </row>
    <row r="1825" spans="1:14" ht="19.5" hidden="1" thickBot="1" x14ac:dyDescent="0.3">
      <c r="A1825" s="732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0"/>
        <v>05,24</v>
      </c>
      <c r="L1825" s="71" t="s">
        <v>28</v>
      </c>
      <c r="M1825" s="71">
        <v>7815</v>
      </c>
      <c r="N1825" s="323">
        <v>0.5</v>
      </c>
    </row>
    <row r="1826" spans="1:14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0"/>
        <v>05,24</v>
      </c>
      <c r="L1826" s="40" t="s">
        <v>28</v>
      </c>
      <c r="M1826" s="40">
        <v>17509.16</v>
      </c>
      <c r="N1826" s="317">
        <v>0.54166666666666696</v>
      </c>
    </row>
    <row r="1827" spans="1:14" ht="18.75" hidden="1" customHeight="1" thickBot="1" x14ac:dyDescent="0.3">
      <c r="A1827" s="732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737" t="s">
        <v>72</v>
      </c>
      <c r="H1827" s="48" t="s">
        <v>448</v>
      </c>
      <c r="I1827" s="163" t="s">
        <v>448</v>
      </c>
      <c r="J1827" s="52"/>
      <c r="K1827" s="48" t="str">
        <f t="shared" si="30"/>
        <v>05,24</v>
      </c>
      <c r="L1827" s="48" t="s">
        <v>265</v>
      </c>
      <c r="M1827" s="48">
        <v>1964.7</v>
      </c>
      <c r="N1827" s="315">
        <v>0.33333333333333298</v>
      </c>
    </row>
    <row r="1828" spans="1:14" ht="19.5" hidden="1" thickBot="1" x14ac:dyDescent="0.3">
      <c r="A1828" s="732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737"/>
      <c r="H1828" s="71" t="s">
        <v>448</v>
      </c>
      <c r="I1828" s="167" t="s">
        <v>448</v>
      </c>
      <c r="J1828" s="168"/>
      <c r="K1828" s="71" t="str">
        <f t="shared" si="30"/>
        <v>05,24</v>
      </c>
      <c r="L1828" s="71" t="s">
        <v>265</v>
      </c>
      <c r="M1828" s="71">
        <v>13869.75</v>
      </c>
      <c r="N1828" s="323">
        <v>0.41666666666666702</v>
      </c>
    </row>
    <row r="1829" spans="1:14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0"/>
        <v>05,24</v>
      </c>
      <c r="L1829" s="40" t="s">
        <v>28</v>
      </c>
      <c r="M1829" s="40">
        <v>17659.32</v>
      </c>
      <c r="N1829" s="317">
        <v>0.45833333333333298</v>
      </c>
    </row>
    <row r="1830" spans="1:14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0"/>
        <v>05,24</v>
      </c>
      <c r="L1830" s="75" t="s">
        <v>266</v>
      </c>
      <c r="M1830" s="75">
        <v>17841.55</v>
      </c>
      <c r="N1830" s="322">
        <v>0.5</v>
      </c>
    </row>
    <row r="1831" spans="1:14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0"/>
        <v>05,24</v>
      </c>
      <c r="L1831" s="40" t="s">
        <v>28</v>
      </c>
      <c r="M1831" s="40">
        <v>17836.14</v>
      </c>
      <c r="N1831" s="317">
        <v>0.54166666666666696</v>
      </c>
    </row>
    <row r="1832" spans="1:14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0"/>
        <v>05,24</v>
      </c>
      <c r="L1832" s="75" t="s">
        <v>265</v>
      </c>
      <c r="M1832" s="75">
        <v>17621.66</v>
      </c>
      <c r="N1832" s="322">
        <v>0.33333333333333298</v>
      </c>
    </row>
    <row r="1833" spans="1:14" ht="19.5" hidden="1" thickBot="1" x14ac:dyDescent="0.3">
      <c r="A1833" s="731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0"/>
        <v>05,24</v>
      </c>
      <c r="L1833" s="82" t="s">
        <v>28</v>
      </c>
      <c r="M1833" s="82">
        <v>2432.66</v>
      </c>
      <c r="N1833" s="319">
        <v>0.375</v>
      </c>
    </row>
    <row r="1834" spans="1:14" ht="19.5" hidden="1" thickBot="1" x14ac:dyDescent="0.3">
      <c r="A1834" s="731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0"/>
        <v>05,24</v>
      </c>
      <c r="L1834" s="98" t="s">
        <v>28</v>
      </c>
      <c r="M1834" s="98">
        <v>4875.04</v>
      </c>
      <c r="N1834" s="364">
        <v>0.375</v>
      </c>
    </row>
    <row r="1835" spans="1:14" ht="19.5" hidden="1" thickBot="1" x14ac:dyDescent="0.3">
      <c r="A1835" s="731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0"/>
        <v>05,24</v>
      </c>
      <c r="L1835" s="90" t="s">
        <v>28</v>
      </c>
      <c r="M1835" s="90">
        <v>10265.34</v>
      </c>
      <c r="N1835" s="325">
        <v>0.375</v>
      </c>
    </row>
    <row r="1836" spans="1:14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0"/>
        <v>05,24</v>
      </c>
      <c r="L1836" s="75" t="s">
        <v>28</v>
      </c>
      <c r="M1836" s="75">
        <v>17333.64</v>
      </c>
      <c r="N1836" s="322">
        <v>0.41666666666666702</v>
      </c>
    </row>
    <row r="1837" spans="1:14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0"/>
        <v>05,24</v>
      </c>
      <c r="L1837" s="40" t="s">
        <v>265</v>
      </c>
      <c r="M1837" s="40">
        <v>17528.150000000001</v>
      </c>
      <c r="N1837" s="317">
        <v>0.33333333333333298</v>
      </c>
    </row>
    <row r="1838" spans="1:14" ht="19.5" hidden="1" thickBot="1" x14ac:dyDescent="0.3">
      <c r="A1838" s="732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0"/>
        <v>05,24</v>
      </c>
      <c r="L1838" s="48" t="s">
        <v>28</v>
      </c>
      <c r="M1838" s="48">
        <v>11456.93</v>
      </c>
      <c r="N1838" s="315">
        <v>0.41666666666666702</v>
      </c>
    </row>
    <row r="1839" spans="1:14" ht="19.5" hidden="1" thickBot="1" x14ac:dyDescent="0.3">
      <c r="A1839" s="732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0"/>
        <v>05,24</v>
      </c>
      <c r="L1839" s="71" t="s">
        <v>28</v>
      </c>
      <c r="M1839" s="71">
        <v>5715</v>
      </c>
      <c r="N1839" s="323">
        <v>0.41666666666666702</v>
      </c>
    </row>
    <row r="1840" spans="1:14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0"/>
        <v>05,24</v>
      </c>
      <c r="L1840" s="40" t="s">
        <v>28</v>
      </c>
      <c r="M1840" s="40">
        <v>13013.96</v>
      </c>
      <c r="N1840" s="317">
        <v>0.33333333333333298</v>
      </c>
    </row>
    <row r="1841" spans="1:14" ht="19.5" hidden="1" thickBot="1" x14ac:dyDescent="0.3">
      <c r="A1841" s="732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0"/>
        <v>05,24</v>
      </c>
      <c r="L1841" s="48" t="s">
        <v>28</v>
      </c>
      <c r="M1841" s="48">
        <v>6834.48</v>
      </c>
      <c r="N1841" s="315">
        <v>0.375</v>
      </c>
    </row>
    <row r="1842" spans="1:14" ht="19.5" hidden="1" thickBot="1" x14ac:dyDescent="0.3">
      <c r="A1842" s="732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0"/>
        <v>05,24</v>
      </c>
      <c r="L1842" s="23" t="s">
        <v>28</v>
      </c>
      <c r="M1842" s="23">
        <v>2239.42</v>
      </c>
      <c r="N1842" s="329">
        <v>0.375</v>
      </c>
    </row>
    <row r="1843" spans="1:14" ht="19.5" hidden="1" thickBot="1" x14ac:dyDescent="0.3">
      <c r="A1843" s="732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0"/>
        <v>05,24</v>
      </c>
      <c r="L1843" s="71" t="s">
        <v>28</v>
      </c>
      <c r="M1843" s="71">
        <v>4018.48</v>
      </c>
      <c r="N1843" s="323">
        <v>0.375</v>
      </c>
    </row>
    <row r="1844" spans="1:14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0"/>
        <v>05,24</v>
      </c>
      <c r="L1844" s="40" t="s">
        <v>266</v>
      </c>
      <c r="M1844" s="40">
        <v>6115.78</v>
      </c>
      <c r="N1844" s="317">
        <v>0.5</v>
      </c>
    </row>
    <row r="1845" spans="1:14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0"/>
        <v>05,24</v>
      </c>
      <c r="L1845" s="75" t="s">
        <v>266</v>
      </c>
      <c r="M1845" s="75">
        <v>18051.759999999998</v>
      </c>
      <c r="N1845" s="322">
        <v>0.375</v>
      </c>
    </row>
    <row r="1846" spans="1:14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0"/>
        <v>05,24</v>
      </c>
      <c r="L1846" s="40" t="s">
        <v>266</v>
      </c>
      <c r="M1846" s="40">
        <v>18071.32</v>
      </c>
      <c r="N1846" s="317">
        <v>0.41666666666666702</v>
      </c>
    </row>
    <row r="1847" spans="1:14" ht="19.5" hidden="1" thickBot="1" x14ac:dyDescent="0.3">
      <c r="A1847" s="732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0"/>
        <v>05,24</v>
      </c>
      <c r="L1847" s="48" t="s">
        <v>266</v>
      </c>
      <c r="M1847" s="48">
        <v>5027.1000000000004</v>
      </c>
      <c r="N1847" s="315">
        <v>0.45833333333333298</v>
      </c>
    </row>
    <row r="1848" spans="1:14" ht="19.5" hidden="1" thickBot="1" x14ac:dyDescent="0.3">
      <c r="A1848" s="732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0"/>
        <v>05,24</v>
      </c>
      <c r="L1848" s="23" t="s">
        <v>266</v>
      </c>
      <c r="M1848" s="23">
        <v>1017.4</v>
      </c>
      <c r="N1848" s="329">
        <v>0.45833333333333298</v>
      </c>
    </row>
    <row r="1849" spans="1:14" ht="19.5" hidden="1" thickBot="1" x14ac:dyDescent="0.3">
      <c r="A1849" s="732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0"/>
        <v>05,24</v>
      </c>
      <c r="L1849" s="23" t="s">
        <v>266</v>
      </c>
      <c r="M1849" s="23">
        <v>2071.04</v>
      </c>
      <c r="N1849" s="329">
        <v>0.45833333333333298</v>
      </c>
    </row>
    <row r="1850" spans="1:14" ht="19.5" hidden="1" thickBot="1" x14ac:dyDescent="0.3">
      <c r="A1850" s="732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0"/>
        <v>05,24</v>
      </c>
      <c r="L1850" s="23" t="s">
        <v>266</v>
      </c>
      <c r="M1850" s="23">
        <v>2576.58</v>
      </c>
      <c r="N1850" s="329">
        <v>0.45833333333333298</v>
      </c>
    </row>
    <row r="1851" spans="1:14" ht="19.5" hidden="1" thickBot="1" x14ac:dyDescent="0.3">
      <c r="A1851" s="732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4">RIGHT(I1851,5)</f>
        <v>05,24</v>
      </c>
      <c r="L1851" s="23" t="s">
        <v>266</v>
      </c>
      <c r="M1851" s="23">
        <v>5508.6</v>
      </c>
      <c r="N1851" s="329">
        <v>0.45833333333333298</v>
      </c>
    </row>
    <row r="1852" spans="1:14" ht="19.5" hidden="1" thickBot="1" x14ac:dyDescent="0.3">
      <c r="A1852" s="732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4"/>
        <v>05,24</v>
      </c>
      <c r="L1852" s="71" t="s">
        <v>266</v>
      </c>
      <c r="M1852" s="71">
        <v>1742.76</v>
      </c>
      <c r="N1852" s="323">
        <v>0.45833333333333298</v>
      </c>
    </row>
    <row r="1853" spans="1:14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4"/>
        <v>05,24</v>
      </c>
      <c r="L1853" s="40" t="s">
        <v>265</v>
      </c>
      <c r="M1853" s="40">
        <v>13050.38</v>
      </c>
      <c r="N1853" s="317">
        <v>0.33333333333333298</v>
      </c>
    </row>
    <row r="1854" spans="1:14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4"/>
        <v>05,24</v>
      </c>
      <c r="L1854" s="75" t="s">
        <v>265</v>
      </c>
      <c r="M1854" s="75">
        <v>17255.36</v>
      </c>
      <c r="N1854" s="322">
        <v>0.33333333333333298</v>
      </c>
    </row>
    <row r="1855" spans="1:14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4"/>
        <v>05,24</v>
      </c>
      <c r="L1855" s="40" t="s">
        <v>265</v>
      </c>
      <c r="M1855" s="40">
        <v>17371.689999999999</v>
      </c>
      <c r="N1855" s="317">
        <v>0.33333333333333298</v>
      </c>
    </row>
    <row r="1856" spans="1:14" ht="19.5" hidden="1" thickBot="1" x14ac:dyDescent="0.3">
      <c r="A1856" s="732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4"/>
        <v>05,24</v>
      </c>
      <c r="L1856" s="48" t="s">
        <v>28</v>
      </c>
      <c r="M1856" s="48">
        <v>6883.31</v>
      </c>
      <c r="N1856" s="315">
        <v>0.375</v>
      </c>
    </row>
    <row r="1857" spans="1:14" ht="19.5" hidden="1" thickBot="1" x14ac:dyDescent="0.3">
      <c r="A1857" s="732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4"/>
        <v>05,24</v>
      </c>
      <c r="L1857" s="23" t="s">
        <v>28</v>
      </c>
      <c r="M1857" s="23">
        <v>8739.2999999999993</v>
      </c>
      <c r="N1857" s="329">
        <v>0.375</v>
      </c>
    </row>
    <row r="1858" spans="1:14" ht="19.5" hidden="1" thickBot="1" x14ac:dyDescent="0.3">
      <c r="A1858" s="732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4"/>
        <v>05,24</v>
      </c>
      <c r="L1858" s="71" t="s">
        <v>28</v>
      </c>
      <c r="M1858" s="71">
        <v>1681.05</v>
      </c>
      <c r="N1858" s="323">
        <v>0.375</v>
      </c>
    </row>
    <row r="1859" spans="1:14" ht="19.5" hidden="1" thickBot="1" x14ac:dyDescent="0.3">
      <c r="A1859" s="731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4"/>
        <v>05,24</v>
      </c>
      <c r="L1859" s="82" t="s">
        <v>28</v>
      </c>
      <c r="M1859" s="82">
        <v>4213.41</v>
      </c>
      <c r="N1859" s="319">
        <v>0.41666666666666702</v>
      </c>
    </row>
    <row r="1860" spans="1:14" ht="19.5" hidden="1" thickBot="1" x14ac:dyDescent="0.3">
      <c r="A1860" s="731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4"/>
        <v>05,24</v>
      </c>
      <c r="L1860" s="90" t="s">
        <v>28</v>
      </c>
      <c r="M1860" s="90">
        <v>13096.8</v>
      </c>
      <c r="N1860" s="325">
        <v>0.41666666666666702</v>
      </c>
    </row>
    <row r="1861" spans="1:14" ht="19.5" hidden="1" customHeight="1" thickBot="1" x14ac:dyDescent="0.3">
      <c r="A1861" s="732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737" t="s">
        <v>72</v>
      </c>
      <c r="H1861" s="48" t="s">
        <v>454</v>
      </c>
      <c r="I1861" s="163" t="s">
        <v>454</v>
      </c>
      <c r="J1861" s="52"/>
      <c r="K1861" s="48" t="str">
        <f t="shared" si="34"/>
        <v>05,24</v>
      </c>
      <c r="L1861" s="48" t="s">
        <v>265</v>
      </c>
      <c r="M1861" s="48">
        <v>4587.9799999999996</v>
      </c>
      <c r="N1861" s="315">
        <v>0.33333333333333298</v>
      </c>
    </row>
    <row r="1862" spans="1:14" ht="19.5" hidden="1" thickBot="1" x14ac:dyDescent="0.3">
      <c r="A1862" s="732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737"/>
      <c r="H1862" s="71" t="s">
        <v>454</v>
      </c>
      <c r="I1862" s="167" t="s">
        <v>454</v>
      </c>
      <c r="J1862" s="168"/>
      <c r="K1862" s="71" t="str">
        <f t="shared" si="34"/>
        <v>05,24</v>
      </c>
      <c r="L1862" s="71" t="s">
        <v>265</v>
      </c>
      <c r="M1862" s="71">
        <v>10640.8</v>
      </c>
      <c r="N1862" s="323">
        <v>0.41666666666666702</v>
      </c>
    </row>
    <row r="1863" spans="1:14" ht="19.5" hidden="1" thickBot="1" x14ac:dyDescent="0.3">
      <c r="A1863" s="731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4"/>
        <v>05,24</v>
      </c>
      <c r="L1863" s="82" t="s">
        <v>265</v>
      </c>
      <c r="M1863" s="82">
        <v>6109.2</v>
      </c>
      <c r="N1863" s="319">
        <v>0.33333333333333298</v>
      </c>
    </row>
    <row r="1864" spans="1:14" ht="19.5" hidden="1" thickBot="1" x14ac:dyDescent="0.3">
      <c r="A1864" s="731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4"/>
        <v>05,24</v>
      </c>
      <c r="L1864" s="90" t="s">
        <v>265</v>
      </c>
      <c r="M1864" s="90">
        <v>11089.56</v>
      </c>
      <c r="N1864" s="325">
        <v>0.33333333333333298</v>
      </c>
    </row>
    <row r="1865" spans="1:14" ht="19.5" hidden="1" thickBot="1" x14ac:dyDescent="0.3">
      <c r="A1865" s="732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4"/>
        <v>05,24</v>
      </c>
      <c r="L1865" s="48" t="s">
        <v>28</v>
      </c>
      <c r="M1865" s="48">
        <v>5369.72</v>
      </c>
      <c r="N1865" s="315">
        <v>0.375</v>
      </c>
    </row>
    <row r="1866" spans="1:14" ht="19.5" hidden="1" thickBot="1" x14ac:dyDescent="0.3">
      <c r="A1866" s="732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4"/>
        <v>05,24</v>
      </c>
      <c r="L1866" s="71" t="s">
        <v>28</v>
      </c>
      <c r="M1866" s="71">
        <v>11957.3</v>
      </c>
      <c r="N1866" s="323">
        <v>0.375</v>
      </c>
    </row>
    <row r="1867" spans="1:14" ht="19.5" hidden="1" thickBot="1" x14ac:dyDescent="0.3">
      <c r="A1867" s="731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4"/>
        <v>05,24</v>
      </c>
      <c r="L1867" s="82" t="s">
        <v>28</v>
      </c>
      <c r="M1867" s="82">
        <v>4227.3999999999996</v>
      </c>
      <c r="N1867" s="319">
        <v>0.41666666666666702</v>
      </c>
    </row>
    <row r="1868" spans="1:14" ht="19.5" hidden="1" thickBot="1" x14ac:dyDescent="0.3">
      <c r="A1868" s="731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4"/>
        <v>05,24</v>
      </c>
      <c r="L1868" s="98" t="s">
        <v>28</v>
      </c>
      <c r="M1868" s="98">
        <v>3261.6</v>
      </c>
      <c r="N1868" s="364">
        <v>0.41666666666666702</v>
      </c>
    </row>
    <row r="1869" spans="1:14" ht="19.5" hidden="1" thickBot="1" x14ac:dyDescent="0.3">
      <c r="A1869" s="731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4"/>
        <v>05,24</v>
      </c>
      <c r="L1869" s="90" t="s">
        <v>28</v>
      </c>
      <c r="M1869" s="90">
        <v>10044.48</v>
      </c>
      <c r="N1869" s="325">
        <v>0.41666666666666702</v>
      </c>
    </row>
    <row r="1870" spans="1:14" ht="19.5" hidden="1" thickBot="1" x14ac:dyDescent="0.3">
      <c r="A1870" s="732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4"/>
        <v>05,24</v>
      </c>
      <c r="L1870" s="48" t="s">
        <v>28</v>
      </c>
      <c r="M1870" s="48">
        <v>1666.7</v>
      </c>
      <c r="N1870" s="315">
        <v>0.375</v>
      </c>
    </row>
    <row r="1871" spans="1:14" ht="19.5" hidden="1" thickBot="1" x14ac:dyDescent="0.3">
      <c r="A1871" s="732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4"/>
        <v>05,24</v>
      </c>
      <c r="L1871" s="23" t="s">
        <v>28</v>
      </c>
      <c r="M1871" s="23">
        <v>478.28</v>
      </c>
      <c r="N1871" s="329">
        <v>0.375</v>
      </c>
    </row>
    <row r="1872" spans="1:14" ht="19.5" hidden="1" thickBot="1" x14ac:dyDescent="0.3">
      <c r="A1872" s="732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4"/>
        <v>05,24</v>
      </c>
      <c r="L1872" s="23" t="s">
        <v>28</v>
      </c>
      <c r="M1872" s="23">
        <v>4834.0200000000004</v>
      </c>
      <c r="N1872" s="329">
        <v>0.375</v>
      </c>
    </row>
    <row r="1873" spans="1:14" ht="19.5" hidden="1" thickBot="1" x14ac:dyDescent="0.3">
      <c r="A1873" s="732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4"/>
        <v>05,24</v>
      </c>
      <c r="L1873" s="71" t="s">
        <v>28</v>
      </c>
      <c r="M1873" s="71">
        <v>3923.6</v>
      </c>
      <c r="N1873" s="323">
        <v>0.375</v>
      </c>
    </row>
    <row r="1874" spans="1:14" ht="19.5" hidden="1" thickBot="1" x14ac:dyDescent="0.3">
      <c r="A1874" s="110">
        <f t="shared" ref="A1874:A1879" si="35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4"/>
        <v>05,24</v>
      </c>
      <c r="L1874" s="40" t="s">
        <v>265</v>
      </c>
      <c r="M1874" s="40">
        <v>17320.04</v>
      </c>
      <c r="N1874" s="317">
        <v>0.33333333333333298</v>
      </c>
    </row>
    <row r="1875" spans="1:14" ht="19.5" hidden="1" thickBot="1" x14ac:dyDescent="0.3">
      <c r="A1875" s="111">
        <f t="shared" si="35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4"/>
        <v>05,24</v>
      </c>
      <c r="L1875" s="75" t="s">
        <v>266</v>
      </c>
      <c r="M1875" s="75">
        <v>16092.34</v>
      </c>
      <c r="N1875" s="322">
        <v>0.5</v>
      </c>
    </row>
    <row r="1876" spans="1:14" ht="19.5" hidden="1" thickBot="1" x14ac:dyDescent="0.3">
      <c r="A1876" s="110">
        <f t="shared" si="35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4"/>
        <v>05,24</v>
      </c>
      <c r="L1876" s="40" t="s">
        <v>266</v>
      </c>
      <c r="M1876" s="40">
        <v>18119.099999999999</v>
      </c>
      <c r="N1876" s="317">
        <v>0.375</v>
      </c>
    </row>
    <row r="1877" spans="1:14" ht="19.5" hidden="1" thickBot="1" x14ac:dyDescent="0.3">
      <c r="A1877" s="111">
        <f t="shared" si="35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4"/>
        <v>05,24</v>
      </c>
      <c r="L1877" s="75" t="s">
        <v>266</v>
      </c>
      <c r="M1877" s="75">
        <v>18131.46</v>
      </c>
      <c r="N1877" s="322">
        <v>0.41666666666666702</v>
      </c>
    </row>
    <row r="1878" spans="1:14" ht="19.5" hidden="1" thickBot="1" x14ac:dyDescent="0.3">
      <c r="A1878" s="110">
        <f t="shared" si="35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4"/>
        <v>05,24</v>
      </c>
      <c r="L1878" s="40" t="s">
        <v>266</v>
      </c>
      <c r="M1878" s="40">
        <v>18110.86</v>
      </c>
      <c r="N1878" s="317">
        <v>0.45833333333333298</v>
      </c>
    </row>
    <row r="1879" spans="1:14" ht="19.5" hidden="1" thickBot="1" x14ac:dyDescent="0.3">
      <c r="A1879" s="732">
        <f t="shared" si="35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4"/>
        <v>05,24</v>
      </c>
      <c r="L1879" s="48" t="s">
        <v>266</v>
      </c>
      <c r="M1879" s="48">
        <v>4736.32</v>
      </c>
      <c r="N1879" s="315">
        <v>0.5</v>
      </c>
    </row>
    <row r="1880" spans="1:14" ht="19.5" hidden="1" thickBot="1" x14ac:dyDescent="0.3">
      <c r="A1880" s="732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4"/>
        <v>05,24</v>
      </c>
      <c r="L1880" s="23" t="s">
        <v>266</v>
      </c>
      <c r="M1880" s="23">
        <v>2079.84</v>
      </c>
      <c r="N1880" s="329">
        <v>0.5</v>
      </c>
    </row>
    <row r="1881" spans="1:14" ht="19.5" hidden="1" thickBot="1" x14ac:dyDescent="0.3">
      <c r="A1881" s="732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4"/>
        <v>05,24</v>
      </c>
      <c r="L1881" s="23" t="s">
        <v>266</v>
      </c>
      <c r="M1881" s="23">
        <v>2515.52</v>
      </c>
      <c r="N1881" s="329">
        <v>0.5</v>
      </c>
    </row>
    <row r="1882" spans="1:14" ht="19.5" hidden="1" thickBot="1" x14ac:dyDescent="0.3">
      <c r="A1882" s="732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4"/>
        <v>05,24</v>
      </c>
      <c r="L1882" s="23" t="s">
        <v>266</v>
      </c>
      <c r="M1882" s="23">
        <v>6300</v>
      </c>
      <c r="N1882" s="329">
        <v>0.5</v>
      </c>
    </row>
    <row r="1883" spans="1:14" ht="19.5" hidden="1" thickBot="1" x14ac:dyDescent="0.3">
      <c r="A1883" s="732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4"/>
        <v>05,24</v>
      </c>
      <c r="L1883" s="71" t="s">
        <v>266</v>
      </c>
      <c r="M1883" s="71">
        <v>2327.9499999999998</v>
      </c>
      <c r="N1883" s="323">
        <v>0.5</v>
      </c>
    </row>
    <row r="1884" spans="1:14" ht="19.5" hidden="1" thickBot="1" x14ac:dyDescent="0.3">
      <c r="A1884" s="110">
        <f t="shared" ref="A1884:A1889" si="36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4"/>
        <v>05,24</v>
      </c>
      <c r="L1884" s="40" t="s">
        <v>265</v>
      </c>
      <c r="M1884" s="40">
        <v>13008.9</v>
      </c>
      <c r="N1884" s="317">
        <v>0.33333333333333298</v>
      </c>
    </row>
    <row r="1885" spans="1:14" ht="19.5" hidden="1" thickBot="1" x14ac:dyDescent="0.3">
      <c r="A1885" s="111">
        <f t="shared" si="36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4"/>
        <v>05,24</v>
      </c>
      <c r="L1885" s="75" t="s">
        <v>265</v>
      </c>
      <c r="M1885" s="75">
        <v>16670.740000000002</v>
      </c>
      <c r="N1885" s="322">
        <v>0.33333333333333298</v>
      </c>
    </row>
    <row r="1886" spans="1:14" ht="19.5" hidden="1" thickBot="1" x14ac:dyDescent="0.3">
      <c r="A1886" s="110">
        <f t="shared" si="36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4"/>
        <v>05,24</v>
      </c>
      <c r="L1886" s="40" t="s">
        <v>265</v>
      </c>
      <c r="M1886" s="40">
        <v>17178.16</v>
      </c>
      <c r="N1886" s="317">
        <v>0.33333333333333298</v>
      </c>
    </row>
    <row r="1887" spans="1:14" ht="38.25" hidden="1" thickBot="1" x14ac:dyDescent="0.3">
      <c r="A1887" s="111">
        <f t="shared" si="36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4"/>
        <v>05,24</v>
      </c>
      <c r="L1887" s="75" t="s">
        <v>28</v>
      </c>
      <c r="M1887" s="75">
        <v>17794.38</v>
      </c>
      <c r="N1887" s="322">
        <v>0.375</v>
      </c>
    </row>
    <row r="1888" spans="1:14" ht="38.25" hidden="1" thickBot="1" x14ac:dyDescent="0.3">
      <c r="A1888" s="110">
        <f t="shared" si="36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4"/>
        <v>05,24</v>
      </c>
      <c r="L1888" s="40" t="s">
        <v>28</v>
      </c>
      <c r="M1888" s="40">
        <v>16024.56</v>
      </c>
      <c r="N1888" s="317">
        <v>0.41666666666666702</v>
      </c>
    </row>
    <row r="1889" spans="1:14" ht="19.5" hidden="1" thickBot="1" x14ac:dyDescent="0.3">
      <c r="A1889" s="732">
        <f t="shared" si="36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4"/>
        <v>05,24</v>
      </c>
      <c r="L1889" s="48" t="s">
        <v>28</v>
      </c>
      <c r="M1889" s="48">
        <v>1412.08</v>
      </c>
      <c r="N1889" s="315">
        <v>0.45833333333333298</v>
      </c>
    </row>
    <row r="1890" spans="1:14" ht="19.5" hidden="1" thickBot="1" x14ac:dyDescent="0.3">
      <c r="A1890" s="732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4"/>
        <v>05,24</v>
      </c>
      <c r="L1890" s="23" t="s">
        <v>28</v>
      </c>
      <c r="M1890" s="23">
        <v>8350.06</v>
      </c>
      <c r="N1890" s="329">
        <v>0.45833333333333298</v>
      </c>
    </row>
    <row r="1891" spans="1:14" ht="19.5" hidden="1" thickBot="1" x14ac:dyDescent="0.3">
      <c r="A1891" s="732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4"/>
        <v>05,24</v>
      </c>
      <c r="L1891" s="71" t="s">
        <v>28</v>
      </c>
      <c r="M1891" s="71">
        <v>7104</v>
      </c>
      <c r="N1891" s="323">
        <v>0.45833333333333298</v>
      </c>
    </row>
    <row r="1892" spans="1:14" ht="19.5" hidden="1" thickBot="1" x14ac:dyDescent="0.3">
      <c r="A1892" s="731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4"/>
        <v>05,24</v>
      </c>
      <c r="L1892" s="82" t="s">
        <v>28</v>
      </c>
      <c r="M1892" s="82">
        <v>12277.38</v>
      </c>
      <c r="N1892" s="319">
        <v>0.5</v>
      </c>
    </row>
    <row r="1893" spans="1:14" ht="19.5" hidden="1" thickBot="1" x14ac:dyDescent="0.3">
      <c r="A1893" s="731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4"/>
        <v>05,24</v>
      </c>
      <c r="L1893" s="90" t="s">
        <v>28</v>
      </c>
      <c r="M1893" s="90">
        <v>4584.8</v>
      </c>
      <c r="N1893" s="325">
        <v>0.5</v>
      </c>
    </row>
    <row r="1894" spans="1:14" ht="18.75" hidden="1" customHeight="1" thickBot="1" x14ac:dyDescent="0.3">
      <c r="A1894" s="732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737" t="s">
        <v>72</v>
      </c>
      <c r="H1894" s="48" t="s">
        <v>462</v>
      </c>
      <c r="I1894" s="163" t="s">
        <v>462</v>
      </c>
      <c r="J1894" s="52"/>
      <c r="K1894" s="48" t="str">
        <f t="shared" si="34"/>
        <v>05,24</v>
      </c>
      <c r="L1894" s="48" t="s">
        <v>265</v>
      </c>
      <c r="M1894" s="48">
        <v>7585.6</v>
      </c>
      <c r="N1894" s="315">
        <v>0.33333333333333298</v>
      </c>
    </row>
    <row r="1895" spans="1:14" ht="19.5" hidden="1" thickBot="1" x14ac:dyDescent="0.3">
      <c r="A1895" s="732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737"/>
      <c r="H1895" s="71" t="s">
        <v>462</v>
      </c>
      <c r="I1895" s="167" t="s">
        <v>461</v>
      </c>
      <c r="J1895" s="168"/>
      <c r="K1895" s="71" t="str">
        <f t="shared" si="34"/>
        <v>05,24</v>
      </c>
      <c r="L1895" s="71" t="s">
        <v>265</v>
      </c>
      <c r="M1895" s="71">
        <v>6583.6</v>
      </c>
      <c r="N1895" s="323">
        <v>0.41666666666666702</v>
      </c>
    </row>
    <row r="1896" spans="1:14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4"/>
        <v>05,24</v>
      </c>
      <c r="L1896" s="40" t="s">
        <v>265</v>
      </c>
      <c r="M1896" s="40">
        <v>9150</v>
      </c>
      <c r="N1896" s="317">
        <v>0.5</v>
      </c>
    </row>
    <row r="1897" spans="1:14" ht="19.5" hidden="1" thickBot="1" x14ac:dyDescent="0.3">
      <c r="A1897" s="732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4"/>
        <v>05,24</v>
      </c>
      <c r="L1897" s="48" t="s">
        <v>265</v>
      </c>
      <c r="M1897" s="48">
        <v>5120.9799999999996</v>
      </c>
      <c r="N1897" s="315">
        <v>0.33333333333333298</v>
      </c>
    </row>
    <row r="1898" spans="1:14" ht="19.5" hidden="1" thickBot="1" x14ac:dyDescent="0.3">
      <c r="A1898" s="732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4"/>
        <v>05,24</v>
      </c>
      <c r="L1898" s="71" t="s">
        <v>265</v>
      </c>
      <c r="M1898" s="71">
        <v>12476.24</v>
      </c>
      <c r="N1898" s="323">
        <v>0.33333333333333298</v>
      </c>
    </row>
    <row r="1899" spans="1:14" ht="19.5" hidden="1" thickBot="1" x14ac:dyDescent="0.3">
      <c r="A1899" s="731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4"/>
        <v>05,24</v>
      </c>
      <c r="L1899" s="82" t="s">
        <v>28</v>
      </c>
      <c r="M1899" s="82">
        <v>1944.73</v>
      </c>
      <c r="N1899" s="319">
        <v>0.375</v>
      </c>
    </row>
    <row r="1900" spans="1:14" ht="19.5" hidden="1" thickBot="1" x14ac:dyDescent="0.3">
      <c r="A1900" s="731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4"/>
        <v>05,24</v>
      </c>
      <c r="L1900" s="98" t="s">
        <v>28</v>
      </c>
      <c r="M1900" s="98">
        <v>2524.8000000000002</v>
      </c>
      <c r="N1900" s="364">
        <v>0.375</v>
      </c>
    </row>
    <row r="1901" spans="1:14" ht="19.5" hidden="1" thickBot="1" x14ac:dyDescent="0.3">
      <c r="A1901" s="731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4"/>
        <v>05,24</v>
      </c>
      <c r="L1901" s="98" t="s">
        <v>28</v>
      </c>
      <c r="M1901" s="98">
        <v>6658.16</v>
      </c>
      <c r="N1901" s="364">
        <v>0.375</v>
      </c>
    </row>
    <row r="1902" spans="1:14" ht="19.5" hidden="1" thickBot="1" x14ac:dyDescent="0.3">
      <c r="A1902" s="731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4"/>
        <v>05,24</v>
      </c>
      <c r="L1902" s="90" t="s">
        <v>28</v>
      </c>
      <c r="M1902" s="90">
        <v>6312.6</v>
      </c>
      <c r="N1902" s="325">
        <v>0.375</v>
      </c>
    </row>
    <row r="1903" spans="1:14" ht="19.5" hidden="1" thickBot="1" x14ac:dyDescent="0.3">
      <c r="A1903" s="732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4"/>
        <v>05,24</v>
      </c>
      <c r="L1903" s="48" t="s">
        <v>28</v>
      </c>
      <c r="M1903" s="48">
        <v>11238.44</v>
      </c>
      <c r="N1903" s="315">
        <v>0.41666666666666702</v>
      </c>
    </row>
    <row r="1904" spans="1:14" ht="19.5" hidden="1" thickBot="1" x14ac:dyDescent="0.3">
      <c r="A1904" s="732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4"/>
        <v>05,24</v>
      </c>
      <c r="L1904" s="71" t="s">
        <v>28</v>
      </c>
      <c r="M1904" s="71">
        <v>6201.5</v>
      </c>
      <c r="N1904" s="323">
        <v>0.41666666666666702</v>
      </c>
    </row>
    <row r="1905" spans="1:14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4"/>
        <v>05,24</v>
      </c>
      <c r="L1905" s="40" t="s">
        <v>265</v>
      </c>
      <c r="M1905" s="40">
        <v>17212.47</v>
      </c>
      <c r="N1905" s="317">
        <v>0.33333333333333298</v>
      </c>
    </row>
    <row r="1906" spans="1:14" ht="19.5" hidden="1" thickBot="1" x14ac:dyDescent="0.3">
      <c r="A1906" s="732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4"/>
        <v>05,24</v>
      </c>
      <c r="L1906" s="48" t="s">
        <v>28</v>
      </c>
      <c r="M1906" s="48">
        <v>11159.7</v>
      </c>
      <c r="N1906" s="315">
        <v>0.375</v>
      </c>
    </row>
    <row r="1907" spans="1:14" ht="19.5" hidden="1" thickBot="1" x14ac:dyDescent="0.3">
      <c r="A1907" s="732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4"/>
        <v>05,24</v>
      </c>
      <c r="L1907" s="71" t="s">
        <v>28</v>
      </c>
      <c r="M1907" s="71">
        <v>6163.2</v>
      </c>
      <c r="N1907" s="323">
        <v>0.375</v>
      </c>
    </row>
    <row r="1908" spans="1:14" ht="19.5" hidden="1" thickBot="1" x14ac:dyDescent="0.3">
      <c r="A1908" s="731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4"/>
        <v>05,24</v>
      </c>
      <c r="L1908" s="82" t="s">
        <v>28</v>
      </c>
      <c r="M1908" s="82">
        <v>4294.0600000000004</v>
      </c>
      <c r="N1908" s="319">
        <v>0.33333333333333298</v>
      </c>
    </row>
    <row r="1909" spans="1:14" ht="19.5" hidden="1" thickBot="1" x14ac:dyDescent="0.3">
      <c r="A1909" s="731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4"/>
        <v>05,24</v>
      </c>
      <c r="L1909" s="98" t="s">
        <v>28</v>
      </c>
      <c r="M1909" s="98">
        <v>4617.0600000000004</v>
      </c>
      <c r="N1909" s="364">
        <v>0.33333333333333298</v>
      </c>
    </row>
    <row r="1910" spans="1:14" ht="19.5" hidden="1" thickBot="1" x14ac:dyDescent="0.3">
      <c r="A1910" s="731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4"/>
        <v>05,24</v>
      </c>
      <c r="L1910" s="90" t="s">
        <v>28</v>
      </c>
      <c r="M1910" s="90">
        <v>4351.92</v>
      </c>
      <c r="N1910" s="325">
        <v>0.33333333333333298</v>
      </c>
    </row>
    <row r="1911" spans="1:14" ht="19.5" hidden="1" thickBot="1" x14ac:dyDescent="0.3">
      <c r="A1911" s="732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4"/>
        <v>05,24</v>
      </c>
      <c r="L1911" s="48" t="s">
        <v>28</v>
      </c>
      <c r="M1911" s="48">
        <v>800</v>
      </c>
      <c r="N1911" s="315">
        <v>0.375</v>
      </c>
    </row>
    <row r="1912" spans="1:14" ht="19.5" hidden="1" thickBot="1" x14ac:dyDescent="0.3">
      <c r="A1912" s="732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4"/>
        <v>05,24</v>
      </c>
      <c r="L1912" s="71" t="s">
        <v>28</v>
      </c>
      <c r="M1912" s="71">
        <v>12551.62</v>
      </c>
      <c r="N1912" s="323">
        <v>0.375</v>
      </c>
    </row>
    <row r="1913" spans="1:14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4"/>
        <v>05,24</v>
      </c>
      <c r="L1913" s="40" t="s">
        <v>266</v>
      </c>
      <c r="M1913" s="40">
        <v>18087.2</v>
      </c>
      <c r="N1913" s="317">
        <v>0.375</v>
      </c>
    </row>
    <row r="1914" spans="1:14" ht="19.5" hidden="1" thickBot="1" x14ac:dyDescent="0.3">
      <c r="A1914" s="732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4"/>
        <v>05,24</v>
      </c>
      <c r="L1914" s="48" t="s">
        <v>266</v>
      </c>
      <c r="M1914" s="48">
        <v>4676.25</v>
      </c>
      <c r="N1914" s="315">
        <v>0.41666666666666702</v>
      </c>
    </row>
    <row r="1915" spans="1:14" ht="19.5" hidden="1" thickBot="1" x14ac:dyDescent="0.3">
      <c r="A1915" s="732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7">RIGHT(I1915,5)</f>
        <v>05,24</v>
      </c>
      <c r="L1915" s="23" t="s">
        <v>266</v>
      </c>
      <c r="M1915" s="56">
        <v>1193.5999999999999</v>
      </c>
      <c r="N1915" s="329">
        <v>0.41666666666666702</v>
      </c>
    </row>
    <row r="1916" spans="1:14" ht="19.5" hidden="1" thickBot="1" x14ac:dyDescent="0.3">
      <c r="A1916" s="732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7"/>
        <v>05,24</v>
      </c>
      <c r="L1916" s="23" t="s">
        <v>266</v>
      </c>
      <c r="M1916" s="56">
        <v>4720.04</v>
      </c>
      <c r="N1916" s="329">
        <v>0.41666666666666702</v>
      </c>
    </row>
    <row r="1917" spans="1:14" ht="19.5" hidden="1" thickBot="1" x14ac:dyDescent="0.3">
      <c r="A1917" s="732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7"/>
        <v>05,24</v>
      </c>
      <c r="L1917" s="71" t="s">
        <v>266</v>
      </c>
      <c r="M1917" s="31">
        <v>6417.34</v>
      </c>
      <c r="N1917" s="323">
        <v>0.41666666666666702</v>
      </c>
    </row>
    <row r="1918" spans="1:14" ht="18.75" hidden="1" customHeight="1" thickBot="1" x14ac:dyDescent="0.3">
      <c r="A1918" s="731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734" t="s">
        <v>467</v>
      </c>
      <c r="H1918" s="82" t="s">
        <v>465</v>
      </c>
      <c r="I1918" s="147" t="s">
        <v>466</v>
      </c>
      <c r="J1918" s="86"/>
      <c r="K1918" s="82" t="str">
        <f t="shared" si="37"/>
        <v>05,24</v>
      </c>
      <c r="L1918" s="82" t="s">
        <v>266</v>
      </c>
      <c r="M1918" s="82">
        <v>3534.2</v>
      </c>
      <c r="N1918" s="319">
        <v>0.45833333333333298</v>
      </c>
    </row>
    <row r="1919" spans="1:14" ht="19.5" hidden="1" thickBot="1" x14ac:dyDescent="0.3">
      <c r="A1919" s="731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734"/>
      <c r="H1919" s="90" t="s">
        <v>465</v>
      </c>
      <c r="I1919" s="148" t="s">
        <v>466</v>
      </c>
      <c r="J1919" s="94"/>
      <c r="K1919" s="90" t="str">
        <f t="shared" si="37"/>
        <v>05,24</v>
      </c>
      <c r="L1919" s="90" t="s">
        <v>266</v>
      </c>
      <c r="M1919" s="107">
        <v>4520.3999999999996</v>
      </c>
      <c r="N1919" s="321">
        <v>0.45833333333333298</v>
      </c>
    </row>
    <row r="1920" spans="1:14" ht="19.5" hidden="1" thickBot="1" x14ac:dyDescent="0.3">
      <c r="A1920" s="111">
        <f t="shared" ref="A1920:A1926" si="38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7"/>
        <v>05,24</v>
      </c>
      <c r="L1920" s="75" t="s">
        <v>265</v>
      </c>
      <c r="M1920" s="75">
        <v>10615.8</v>
      </c>
      <c r="N1920" s="322">
        <v>0.5</v>
      </c>
    </row>
    <row r="1921" spans="1:14" ht="19.5" hidden="1" thickBot="1" x14ac:dyDescent="0.3">
      <c r="A1921" s="110">
        <f t="shared" si="38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7"/>
        <v>05,24</v>
      </c>
      <c r="L1921" s="40" t="s">
        <v>265</v>
      </c>
      <c r="M1921" s="40">
        <v>14000.14</v>
      </c>
      <c r="N1921" s="317">
        <v>0.33333333333333298</v>
      </c>
    </row>
    <row r="1922" spans="1:14" ht="75.75" hidden="1" thickBot="1" x14ac:dyDescent="0.3">
      <c r="A1922" s="111">
        <f t="shared" si="38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7"/>
        <v>05,24</v>
      </c>
      <c r="L1922" s="75" t="s">
        <v>266</v>
      </c>
      <c r="M1922" s="75">
        <v>9000.9</v>
      </c>
      <c r="N1922" s="322">
        <v>0.375</v>
      </c>
    </row>
    <row r="1923" spans="1:14" ht="19.5" hidden="1" thickBot="1" x14ac:dyDescent="0.3">
      <c r="A1923" s="110">
        <f t="shared" si="38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7"/>
        <v>05,24</v>
      </c>
      <c r="L1923" s="40" t="s">
        <v>265</v>
      </c>
      <c r="M1923" s="40">
        <v>16197.8</v>
      </c>
      <c r="N1923" s="317">
        <v>0.33333333333333298</v>
      </c>
    </row>
    <row r="1924" spans="1:14" ht="57" hidden="1" thickBot="1" x14ac:dyDescent="0.3">
      <c r="A1924" s="111">
        <f t="shared" si="38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7"/>
        <v>05,24</v>
      </c>
      <c r="L1924" s="75" t="s">
        <v>266</v>
      </c>
      <c r="M1924" s="75">
        <v>17474.599999999999</v>
      </c>
      <c r="N1924" s="322">
        <v>0.41666666666666702</v>
      </c>
    </row>
    <row r="1925" spans="1:14" ht="38.25" hidden="1" thickBot="1" x14ac:dyDescent="0.3">
      <c r="A1925" s="110">
        <f t="shared" si="38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7"/>
        <v>05,24</v>
      </c>
      <c r="L1925" s="40" t="s">
        <v>266</v>
      </c>
      <c r="M1925" s="40">
        <v>17459.34</v>
      </c>
      <c r="N1925" s="317">
        <v>0.45833333333333298</v>
      </c>
    </row>
    <row r="1926" spans="1:14" ht="19.5" hidden="1" thickBot="1" x14ac:dyDescent="0.3">
      <c r="A1926" s="732">
        <f t="shared" si="38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7"/>
        <v>05,24</v>
      </c>
      <c r="L1926" s="48" t="s">
        <v>265</v>
      </c>
      <c r="M1926" s="48">
        <v>13212.74</v>
      </c>
      <c r="N1926" s="315">
        <v>0.33333333333333298</v>
      </c>
    </row>
    <row r="1927" spans="1:14" ht="19.5" hidden="1" thickBot="1" x14ac:dyDescent="0.3">
      <c r="A1927" s="732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7"/>
        <v>05,24</v>
      </c>
      <c r="L1927" s="71" t="s">
        <v>265</v>
      </c>
      <c r="M1927" s="31">
        <v>4020</v>
      </c>
      <c r="N1927" s="323">
        <v>0.33333333333333298</v>
      </c>
    </row>
    <row r="1928" spans="1:14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7"/>
        <v>05,24</v>
      </c>
      <c r="L1928" s="40" t="s">
        <v>28</v>
      </c>
      <c r="M1928" s="40">
        <v>17563.68</v>
      </c>
      <c r="N1928" s="317">
        <v>0.375</v>
      </c>
    </row>
    <row r="1929" spans="1:14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7"/>
        <v>05,24</v>
      </c>
      <c r="L1929" s="75" t="s">
        <v>28</v>
      </c>
      <c r="M1929" s="75">
        <v>17293.02</v>
      </c>
      <c r="N1929" s="322">
        <v>0.41666666666666702</v>
      </c>
    </row>
    <row r="1930" spans="1:14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7"/>
        <v>05,24</v>
      </c>
      <c r="L1930" s="40" t="s">
        <v>28</v>
      </c>
      <c r="M1930" s="40">
        <v>17230.060000000001</v>
      </c>
      <c r="N1930" s="317">
        <v>0.45833333333333298</v>
      </c>
    </row>
    <row r="1931" spans="1:14" ht="19.5" hidden="1" thickBot="1" x14ac:dyDescent="0.3">
      <c r="A1931" s="732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7"/>
        <v>05,24</v>
      </c>
      <c r="L1931" s="48" t="s">
        <v>28</v>
      </c>
      <c r="M1931" s="48">
        <v>10146.08</v>
      </c>
      <c r="N1931" s="315">
        <v>0.5</v>
      </c>
    </row>
    <row r="1932" spans="1:14" ht="19.5" hidden="1" thickBot="1" x14ac:dyDescent="0.3">
      <c r="A1932" s="732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7"/>
        <v>05,24</v>
      </c>
      <c r="L1932" s="31" t="s">
        <v>28</v>
      </c>
      <c r="M1932" s="31">
        <v>7027.8</v>
      </c>
      <c r="N1932" s="316">
        <v>0.5</v>
      </c>
    </row>
    <row r="1933" spans="1:14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7"/>
        <v>05,24</v>
      </c>
      <c r="L1933" s="40" t="s">
        <v>28</v>
      </c>
      <c r="M1933" s="40">
        <v>17683.5</v>
      </c>
      <c r="N1933" s="317">
        <v>0.54166666666666696</v>
      </c>
    </row>
    <row r="1934" spans="1:14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7"/>
        <v>05,24</v>
      </c>
      <c r="L1934" s="75" t="s">
        <v>265</v>
      </c>
      <c r="M1934" s="75">
        <v>14014.2</v>
      </c>
      <c r="N1934" s="322">
        <v>0.33333333333333298</v>
      </c>
    </row>
    <row r="1935" spans="1:14" ht="19.5" hidden="1" thickBot="1" x14ac:dyDescent="0.3">
      <c r="A1935" s="731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7"/>
        <v>05,24</v>
      </c>
      <c r="L1935" s="82" t="s">
        <v>28</v>
      </c>
      <c r="M1935" s="82">
        <v>8333.4</v>
      </c>
      <c r="N1935" s="319">
        <v>0.375</v>
      </c>
    </row>
    <row r="1936" spans="1:14" ht="19.5" hidden="1" thickBot="1" x14ac:dyDescent="0.3">
      <c r="A1936" s="731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7"/>
        <v>05,24</v>
      </c>
      <c r="L1936" s="90" t="s">
        <v>28</v>
      </c>
      <c r="M1936" s="90">
        <v>8850.06</v>
      </c>
      <c r="N1936" s="325">
        <v>0.375</v>
      </c>
    </row>
    <row r="1937" spans="1:14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7"/>
        <v>05,24</v>
      </c>
      <c r="L1937" s="75" t="s">
        <v>265</v>
      </c>
      <c r="M1937" s="75">
        <v>17187.22</v>
      </c>
      <c r="N1937" s="322">
        <v>0.33333333333333298</v>
      </c>
    </row>
    <row r="1938" spans="1:14" ht="19.5" hidden="1" thickBot="1" x14ac:dyDescent="0.3">
      <c r="A1938" s="731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7"/>
        <v>05,24</v>
      </c>
      <c r="L1938" s="82" t="s">
        <v>28</v>
      </c>
      <c r="M1938" s="82">
        <v>5375.9</v>
      </c>
      <c r="N1938" s="319">
        <v>0.375</v>
      </c>
    </row>
    <row r="1939" spans="1:14" ht="19.5" hidden="1" thickBot="1" x14ac:dyDescent="0.3">
      <c r="A1939" s="731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7"/>
        <v>05,24</v>
      </c>
      <c r="L1939" s="90" t="s">
        <v>28</v>
      </c>
      <c r="M1939" s="107">
        <v>12147.38</v>
      </c>
      <c r="N1939" s="325">
        <v>0.375</v>
      </c>
    </row>
    <row r="1940" spans="1:14" ht="19.5" hidden="1" thickBot="1" x14ac:dyDescent="0.3">
      <c r="A1940" s="732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7"/>
        <v>05,24</v>
      </c>
      <c r="L1940" s="48" t="s">
        <v>28</v>
      </c>
      <c r="M1940" s="48">
        <v>14614.55</v>
      </c>
      <c r="N1940" s="315">
        <v>0.41666666666666702</v>
      </c>
    </row>
    <row r="1941" spans="1:14" ht="19.5" hidden="1" thickBot="1" x14ac:dyDescent="0.3">
      <c r="A1941" s="732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7"/>
        <v>05,24</v>
      </c>
      <c r="L1941" s="71" t="s">
        <v>28</v>
      </c>
      <c r="M1941" s="31">
        <v>2730.72</v>
      </c>
      <c r="N1941" s="316">
        <v>0.41666666666666702</v>
      </c>
    </row>
    <row r="1942" spans="1:14" ht="19.5" hidden="1" thickBot="1" x14ac:dyDescent="0.3">
      <c r="A1942" s="731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7"/>
        <v>05,24</v>
      </c>
      <c r="L1942" s="82" t="s">
        <v>28</v>
      </c>
      <c r="M1942" s="82">
        <v>4587.01</v>
      </c>
      <c r="N1942" s="319">
        <v>0.45833333333333298</v>
      </c>
    </row>
    <row r="1943" spans="1:14" ht="19.5" hidden="1" thickBot="1" x14ac:dyDescent="0.3">
      <c r="A1943" s="731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7"/>
        <v>05,24</v>
      </c>
      <c r="L1943" s="90" t="s">
        <v>28</v>
      </c>
      <c r="M1943" s="107">
        <v>12747.9</v>
      </c>
      <c r="N1943" s="321">
        <v>0.45833333333333298</v>
      </c>
    </row>
    <row r="1944" spans="1:14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7"/>
        <v>05,24</v>
      </c>
      <c r="L1944" s="75" t="s">
        <v>28</v>
      </c>
      <c r="M1944" s="75">
        <v>13861.58</v>
      </c>
      <c r="N1944" s="322">
        <v>0.33333333333333298</v>
      </c>
    </row>
    <row r="1945" spans="1:14" ht="19.5" hidden="1" thickBot="1" x14ac:dyDescent="0.3">
      <c r="A1945" s="731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7"/>
        <v>05,24</v>
      </c>
      <c r="L1945" s="82" t="s">
        <v>28</v>
      </c>
      <c r="M1945" s="82">
        <v>6039.6</v>
      </c>
      <c r="N1945" s="319">
        <v>0.375</v>
      </c>
    </row>
    <row r="1946" spans="1:14" ht="19.5" hidden="1" thickBot="1" x14ac:dyDescent="0.3">
      <c r="A1946" s="731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7"/>
        <v>05,24</v>
      </c>
      <c r="L1946" s="98" t="s">
        <v>28</v>
      </c>
      <c r="M1946" s="109">
        <v>2689.9</v>
      </c>
      <c r="N1946" s="320">
        <v>0.375</v>
      </c>
    </row>
    <row r="1947" spans="1:14" ht="19.5" hidden="1" thickBot="1" x14ac:dyDescent="0.3">
      <c r="A1947" s="731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7"/>
        <v>05,24</v>
      </c>
      <c r="L1947" s="90" t="s">
        <v>28</v>
      </c>
      <c r="M1947" s="107">
        <v>4205.6400000000003</v>
      </c>
      <c r="N1947" s="321">
        <v>0.375</v>
      </c>
    </row>
    <row r="1948" spans="1:14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7"/>
        <v>05,24</v>
      </c>
      <c r="L1948" s="75" t="s">
        <v>265</v>
      </c>
      <c r="M1948" s="75">
        <v>17196.36</v>
      </c>
      <c r="N1948" s="322">
        <v>0.33333333333333298</v>
      </c>
    </row>
    <row r="1949" spans="1:14" ht="19.5" hidden="1" thickBot="1" x14ac:dyDescent="0.3">
      <c r="A1949" s="731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7"/>
        <v>05,24</v>
      </c>
      <c r="L1949" s="82" t="s">
        <v>28</v>
      </c>
      <c r="M1949" s="82">
        <v>8543.64</v>
      </c>
      <c r="N1949" s="319">
        <v>0.375</v>
      </c>
    </row>
    <row r="1950" spans="1:14" ht="19.5" hidden="1" thickBot="1" x14ac:dyDescent="0.3">
      <c r="A1950" s="731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7"/>
        <v>05,24</v>
      </c>
      <c r="L1950" s="107" t="s">
        <v>28</v>
      </c>
      <c r="M1950" s="107">
        <v>8691.83</v>
      </c>
      <c r="N1950" s="321">
        <v>0.375</v>
      </c>
    </row>
    <row r="1951" spans="1:14" ht="57" hidden="1" thickBot="1" x14ac:dyDescent="0.3">
      <c r="A1951" s="732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7"/>
        <v>05,24</v>
      </c>
      <c r="L1951" s="48" t="s">
        <v>265</v>
      </c>
      <c r="M1951" s="48">
        <v>4518.8999999999996</v>
      </c>
      <c r="N1951" s="315">
        <v>0.41666666666666702</v>
      </c>
    </row>
    <row r="1952" spans="1:14" ht="19.5" hidden="1" thickBot="1" x14ac:dyDescent="0.3">
      <c r="A1952" s="732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7"/>
        <v>05,24</v>
      </c>
      <c r="L1952" s="293" t="s">
        <v>265</v>
      </c>
      <c r="M1952" s="293">
        <v>12309.7</v>
      </c>
      <c r="N1952" s="389">
        <v>0.41666666666666702</v>
      </c>
    </row>
    <row r="1953" spans="1:14" ht="19.5" hidden="1" thickBot="1" x14ac:dyDescent="0.3">
      <c r="A1953" s="732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7"/>
        <v>05,24</v>
      </c>
      <c r="L1953" s="31" t="s">
        <v>265</v>
      </c>
      <c r="M1953" s="31">
        <v>510</v>
      </c>
      <c r="N1953" s="316">
        <v>0.41666666666666702</v>
      </c>
    </row>
    <row r="1954" spans="1:14" ht="19.5" hidden="1" thickBot="1" x14ac:dyDescent="0.3">
      <c r="A1954" s="731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7"/>
        <v>05,24</v>
      </c>
      <c r="L1954" s="82" t="s">
        <v>28</v>
      </c>
      <c r="M1954" s="82">
        <v>9001.48</v>
      </c>
      <c r="N1954" s="319">
        <v>0.375</v>
      </c>
    </row>
    <row r="1955" spans="1:14" ht="19.5" hidden="1" thickBot="1" x14ac:dyDescent="0.3">
      <c r="A1955" s="731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7"/>
        <v>05,24</v>
      </c>
      <c r="L1955" s="107" t="s">
        <v>28</v>
      </c>
      <c r="M1955" s="107">
        <v>4804.04</v>
      </c>
      <c r="N1955" s="321">
        <v>0.375</v>
      </c>
    </row>
    <row r="1956" spans="1:14" ht="19.5" hidden="1" thickBot="1" x14ac:dyDescent="0.3">
      <c r="A1956" s="111">
        <f t="shared" ref="A1956:A1961" si="39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7"/>
        <v>05,24</v>
      </c>
      <c r="L1956" s="75" t="s">
        <v>266</v>
      </c>
      <c r="M1956" s="75">
        <v>18009.88</v>
      </c>
      <c r="N1956" s="322">
        <v>0.5</v>
      </c>
    </row>
    <row r="1957" spans="1:14" ht="19.5" hidden="1" thickBot="1" x14ac:dyDescent="0.3">
      <c r="A1957" s="110">
        <f t="shared" si="39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7"/>
        <v>05,24</v>
      </c>
      <c r="L1957" s="40" t="s">
        <v>265</v>
      </c>
      <c r="M1957" s="40">
        <v>6045</v>
      </c>
      <c r="N1957" s="317">
        <v>0.33333333333333298</v>
      </c>
    </row>
    <row r="1958" spans="1:14" ht="19.5" hidden="1" thickBot="1" x14ac:dyDescent="0.3">
      <c r="A1958" s="111">
        <f t="shared" si="39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7"/>
        <v>05,24</v>
      </c>
      <c r="L1958" s="75" t="s">
        <v>266</v>
      </c>
      <c r="M1958" s="75">
        <v>18091.98</v>
      </c>
      <c r="N1958" s="322">
        <v>0.375</v>
      </c>
    </row>
    <row r="1959" spans="1:14" ht="19.5" hidden="1" thickBot="1" x14ac:dyDescent="0.3">
      <c r="A1959" s="110">
        <f t="shared" si="39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7"/>
        <v>05,24</v>
      </c>
      <c r="L1959" s="40" t="s">
        <v>266</v>
      </c>
      <c r="M1959" s="40">
        <v>17986.8</v>
      </c>
      <c r="N1959" s="317">
        <v>0.41666666666666702</v>
      </c>
    </row>
    <row r="1960" spans="1:14" ht="19.5" hidden="1" thickBot="1" x14ac:dyDescent="0.3">
      <c r="A1960" s="111">
        <f t="shared" si="39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7"/>
        <v>05,24</v>
      </c>
      <c r="L1960" s="75" t="s">
        <v>266</v>
      </c>
      <c r="M1960" s="75">
        <v>18027.599999999999</v>
      </c>
      <c r="N1960" s="322">
        <v>0.45833333333333298</v>
      </c>
    </row>
    <row r="1961" spans="1:14" ht="19.5" hidden="1" thickBot="1" x14ac:dyDescent="0.3">
      <c r="A1961" s="731">
        <f t="shared" si="39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7"/>
        <v>05,25</v>
      </c>
      <c r="L1961" s="82" t="s">
        <v>266</v>
      </c>
      <c r="M1961" s="82">
        <v>4629</v>
      </c>
      <c r="N1961" s="319">
        <v>0.5</v>
      </c>
    </row>
    <row r="1962" spans="1:14" ht="19.5" hidden="1" thickBot="1" x14ac:dyDescent="0.3">
      <c r="A1962" s="731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7"/>
        <v>05,24</v>
      </c>
      <c r="L1962" s="98" t="s">
        <v>266</v>
      </c>
      <c r="M1962" s="98">
        <v>2025.3</v>
      </c>
      <c r="N1962" s="364">
        <v>0.5</v>
      </c>
    </row>
    <row r="1963" spans="1:14" ht="19.5" hidden="1" thickBot="1" x14ac:dyDescent="0.3">
      <c r="A1963" s="731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7"/>
        <v>05,24</v>
      </c>
      <c r="L1963" s="98" t="s">
        <v>266</v>
      </c>
      <c r="M1963" s="98">
        <v>5014.58</v>
      </c>
      <c r="N1963" s="364">
        <v>0.5</v>
      </c>
    </row>
    <row r="1964" spans="1:14" ht="19.5" hidden="1" thickBot="1" x14ac:dyDescent="0.3">
      <c r="A1964" s="731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7"/>
        <v>05,24</v>
      </c>
      <c r="L1964" s="98" t="s">
        <v>266</v>
      </c>
      <c r="M1964" s="98">
        <v>2010</v>
      </c>
      <c r="N1964" s="364">
        <v>0.5</v>
      </c>
    </row>
    <row r="1965" spans="1:14" ht="19.5" hidden="1" thickBot="1" x14ac:dyDescent="0.3">
      <c r="A1965" s="731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7"/>
        <v>05,24</v>
      </c>
      <c r="L1965" s="90" t="s">
        <v>266</v>
      </c>
      <c r="M1965" s="90">
        <v>3955.88</v>
      </c>
      <c r="N1965" s="325">
        <v>0.5</v>
      </c>
    </row>
    <row r="1966" spans="1:14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7"/>
        <v>05,24</v>
      </c>
      <c r="L1966" s="395" t="s">
        <v>266</v>
      </c>
      <c r="M1966" s="395">
        <v>18450.419999999998</v>
      </c>
      <c r="N1966" s="399">
        <v>0.83333333333333304</v>
      </c>
    </row>
    <row r="1967" spans="1:14" ht="19.5" hidden="1" thickBot="1" x14ac:dyDescent="0.3">
      <c r="A1967" s="110">
        <f t="shared" ref="A1967:A1975" si="40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7"/>
        <v>05,24</v>
      </c>
      <c r="L1967" s="40" t="s">
        <v>266</v>
      </c>
      <c r="M1967" s="40">
        <v>14028.24</v>
      </c>
      <c r="N1967" s="317">
        <v>0.33333333333333298</v>
      </c>
    </row>
    <row r="1968" spans="1:14" ht="19.5" hidden="1" thickBot="1" x14ac:dyDescent="0.3">
      <c r="A1968" s="111">
        <f t="shared" si="40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7"/>
        <v>05,24</v>
      </c>
      <c r="L1968" s="75" t="s">
        <v>265</v>
      </c>
      <c r="M1968" s="75">
        <v>16355.38</v>
      </c>
      <c r="N1968" s="322">
        <v>0.33333333333333298</v>
      </c>
    </row>
    <row r="1969" spans="1:14" ht="19.5" hidden="1" thickBot="1" x14ac:dyDescent="0.3">
      <c r="A1969" s="110">
        <f t="shared" si="40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7"/>
        <v>05,24</v>
      </c>
      <c r="L1969" s="40" t="s">
        <v>265</v>
      </c>
      <c r="M1969" s="40">
        <v>17186.02</v>
      </c>
      <c r="N1969" s="317">
        <v>0.375</v>
      </c>
    </row>
    <row r="1970" spans="1:14" ht="38.25" hidden="1" thickBot="1" x14ac:dyDescent="0.3">
      <c r="A1970" s="111">
        <f t="shared" si="40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7"/>
        <v>05,24</v>
      </c>
      <c r="L1970" s="75" t="s">
        <v>266</v>
      </c>
      <c r="M1970" s="75">
        <v>17391.87</v>
      </c>
      <c r="N1970" s="322">
        <v>0.41666666666666702</v>
      </c>
    </row>
    <row r="1971" spans="1:14" ht="38.25" hidden="1" thickBot="1" x14ac:dyDescent="0.3">
      <c r="A1971" s="390">
        <f t="shared" si="40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7"/>
        <v>05,24</v>
      </c>
      <c r="L1971" s="395" t="s">
        <v>266</v>
      </c>
      <c r="M1971" s="395">
        <v>15773.12</v>
      </c>
      <c r="N1971" s="399">
        <v>0.45833333333333298</v>
      </c>
    </row>
    <row r="1972" spans="1:14" ht="38.25" hidden="1" thickBot="1" x14ac:dyDescent="0.3">
      <c r="A1972" s="390">
        <f t="shared" si="40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7"/>
        <v>06,24</v>
      </c>
      <c r="L1972" s="395" t="s">
        <v>266</v>
      </c>
      <c r="M1972" s="395">
        <v>15841.4</v>
      </c>
      <c r="N1972" s="399">
        <v>0.5</v>
      </c>
    </row>
    <row r="1973" spans="1:14" ht="38.25" hidden="1" thickBot="1" x14ac:dyDescent="0.3">
      <c r="A1973" s="390">
        <f t="shared" si="40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7"/>
        <v>05,24</v>
      </c>
      <c r="L1973" s="395" t="s">
        <v>266</v>
      </c>
      <c r="M1973" s="395">
        <v>16427.580000000002</v>
      </c>
      <c r="N1973" s="399">
        <v>0.54166666666666696</v>
      </c>
    </row>
    <row r="1974" spans="1:14" ht="19.5" hidden="1" thickBot="1" x14ac:dyDescent="0.3">
      <c r="A1974" s="111">
        <f t="shared" si="40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7"/>
        <v>06,24</v>
      </c>
      <c r="L1974" s="75" t="s">
        <v>266</v>
      </c>
      <c r="M1974" s="75">
        <v>13341.74</v>
      </c>
      <c r="N1974" s="322">
        <v>0.33333333333333298</v>
      </c>
    </row>
    <row r="1975" spans="1:14" ht="19.5" hidden="1" thickBot="1" x14ac:dyDescent="0.3">
      <c r="A1975" s="731">
        <f t="shared" si="40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7"/>
        <v>06,24</v>
      </c>
      <c r="L1975" s="82" t="s">
        <v>266</v>
      </c>
      <c r="M1975" s="82">
        <v>5432.4</v>
      </c>
      <c r="N1975" s="319">
        <v>0.33333333333333298</v>
      </c>
    </row>
    <row r="1976" spans="1:14" ht="19.5" hidden="1" thickBot="1" x14ac:dyDescent="0.3">
      <c r="A1976" s="731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7"/>
        <v>06,24</v>
      </c>
      <c r="L1976" s="90" t="s">
        <v>266</v>
      </c>
      <c r="M1976" s="90">
        <v>11965.72</v>
      </c>
      <c r="N1976" s="325">
        <v>0.33333333333333298</v>
      </c>
    </row>
    <row r="1977" spans="1:14" ht="19.5" hidden="1" thickBot="1" x14ac:dyDescent="0.3">
      <c r="A1977" s="732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7"/>
        <v>06,24</v>
      </c>
      <c r="L1977" s="48" t="s">
        <v>266</v>
      </c>
      <c r="M1977" s="48">
        <v>1905</v>
      </c>
      <c r="N1977" s="315">
        <v>0.375</v>
      </c>
    </row>
    <row r="1978" spans="1:14" ht="19.5" hidden="1" thickBot="1" x14ac:dyDescent="0.3">
      <c r="A1978" s="732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7"/>
        <v>06,24</v>
      </c>
      <c r="L1978" s="71" t="s">
        <v>266</v>
      </c>
      <c r="M1978" s="71">
        <v>15483.95</v>
      </c>
      <c r="N1978" s="323">
        <v>0.375</v>
      </c>
    </row>
    <row r="1979" spans="1:14" ht="19.5" hidden="1" thickBot="1" x14ac:dyDescent="0.3">
      <c r="A1979" s="731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1">RIGHT(I1979,5)</f>
        <v>06,24</v>
      </c>
      <c r="L1979" s="82" t="s">
        <v>266</v>
      </c>
      <c r="M1979" s="82">
        <v>9106.73</v>
      </c>
      <c r="N1979" s="319">
        <v>0.41666666666666702</v>
      </c>
    </row>
    <row r="1980" spans="1:14" ht="19.5" hidden="1" thickBot="1" x14ac:dyDescent="0.3">
      <c r="A1980" s="731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1"/>
        <v>06,24</v>
      </c>
      <c r="L1980" s="90" t="s">
        <v>266</v>
      </c>
      <c r="M1980" s="90">
        <v>8403.7999999999993</v>
      </c>
      <c r="N1980" s="325">
        <v>0.41666666666666702</v>
      </c>
    </row>
    <row r="1981" spans="1:14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1"/>
        <v>06,24</v>
      </c>
      <c r="L1981" s="75" t="s">
        <v>266</v>
      </c>
      <c r="M1981" s="75">
        <v>17215.04</v>
      </c>
      <c r="N1981" s="322">
        <v>0.33333333333333298</v>
      </c>
    </row>
    <row r="1982" spans="1:14" ht="19.5" hidden="1" thickBot="1" x14ac:dyDescent="0.3">
      <c r="A1982" s="731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1"/>
        <v>06,24</v>
      </c>
      <c r="L1982" s="82" t="s">
        <v>266</v>
      </c>
      <c r="M1982" s="82">
        <v>4254</v>
      </c>
      <c r="N1982" s="319">
        <v>0.375</v>
      </c>
    </row>
    <row r="1983" spans="1:14" ht="19.5" hidden="1" thickBot="1" x14ac:dyDescent="0.3">
      <c r="A1983" s="731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1"/>
        <v>06,24</v>
      </c>
      <c r="L1983" s="90" t="s">
        <v>266</v>
      </c>
      <c r="M1983" s="90">
        <v>12981.04</v>
      </c>
      <c r="N1983" s="325">
        <v>0.375</v>
      </c>
    </row>
    <row r="1984" spans="1:14" ht="19.5" hidden="1" thickBot="1" x14ac:dyDescent="0.3">
      <c r="A1984" s="732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1"/>
        <v>06,24</v>
      </c>
      <c r="L1984" s="48" t="s">
        <v>266</v>
      </c>
      <c r="M1984" s="48">
        <v>14928.95</v>
      </c>
      <c r="N1984" s="315">
        <v>0.41666666666666702</v>
      </c>
    </row>
    <row r="1985" spans="1:14" ht="19.5" hidden="1" thickBot="1" x14ac:dyDescent="0.3">
      <c r="A1985" s="732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1"/>
        <v>06,24</v>
      </c>
      <c r="L1985" s="71" t="s">
        <v>266</v>
      </c>
      <c r="M1985" s="71">
        <v>2515.92</v>
      </c>
      <c r="N1985" s="323">
        <v>0.41666666666666702</v>
      </c>
    </row>
    <row r="1986" spans="1:14" ht="19.5" hidden="1" thickBot="1" x14ac:dyDescent="0.3">
      <c r="A1986" s="731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1"/>
        <v>06,24</v>
      </c>
      <c r="L1986" s="82" t="s">
        <v>266</v>
      </c>
      <c r="M1986" s="82">
        <v>4051.39</v>
      </c>
      <c r="N1986" s="319">
        <v>0.45833333333333298</v>
      </c>
    </row>
    <row r="1987" spans="1:14" ht="19.5" hidden="1" thickBot="1" x14ac:dyDescent="0.3">
      <c r="A1987" s="731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1"/>
        <v>06,24</v>
      </c>
      <c r="L1987" s="98" t="s">
        <v>266</v>
      </c>
      <c r="M1987" s="98">
        <v>9732.86</v>
      </c>
      <c r="N1987" s="364">
        <v>0.45833333333333298</v>
      </c>
    </row>
    <row r="1988" spans="1:14" ht="19.5" hidden="1" thickBot="1" x14ac:dyDescent="0.3">
      <c r="A1988" s="731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1"/>
        <v>06,24</v>
      </c>
      <c r="L1988" s="90" t="s">
        <v>266</v>
      </c>
      <c r="M1988" s="90">
        <v>3926.88</v>
      </c>
      <c r="N1988" s="325">
        <v>0.45833333333333298</v>
      </c>
    </row>
    <row r="1989" spans="1:14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1"/>
        <v>06,24</v>
      </c>
      <c r="L1989" s="75" t="s">
        <v>266</v>
      </c>
      <c r="M1989" s="75">
        <v>17212.7</v>
      </c>
      <c r="N1989" s="322">
        <v>0.375</v>
      </c>
    </row>
    <row r="1990" spans="1:14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1"/>
        <v>06,24</v>
      </c>
      <c r="L1990" s="40" t="s">
        <v>266</v>
      </c>
      <c r="M1990" s="40">
        <v>13053.3</v>
      </c>
      <c r="N1990" s="317">
        <v>0.33333333333333298</v>
      </c>
    </row>
    <row r="1991" spans="1:14" ht="19.5" hidden="1" thickBot="1" x14ac:dyDescent="0.3">
      <c r="A1991" s="735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1"/>
        <v>06,24</v>
      </c>
      <c r="L1991" s="48" t="s">
        <v>266</v>
      </c>
      <c r="M1991" s="48">
        <v>6309.02</v>
      </c>
      <c r="N1991" s="315">
        <v>0.375</v>
      </c>
    </row>
    <row r="1992" spans="1:14" ht="19.5" hidden="1" thickBot="1" x14ac:dyDescent="0.3">
      <c r="A1992" s="735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1"/>
        <v>06,24</v>
      </c>
      <c r="L1992" s="23" t="s">
        <v>266</v>
      </c>
      <c r="M1992" s="23">
        <v>2290.14</v>
      </c>
      <c r="N1992" s="329">
        <v>0.375</v>
      </c>
    </row>
    <row r="1993" spans="1:14" ht="19.5" hidden="1" thickBot="1" x14ac:dyDescent="0.3">
      <c r="A1993" s="735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1"/>
        <v>06,24</v>
      </c>
      <c r="L1993" s="71" t="s">
        <v>266</v>
      </c>
      <c r="M1993" s="71">
        <v>4367.3999999999996</v>
      </c>
      <c r="N1993" s="323">
        <v>0.375</v>
      </c>
    </row>
    <row r="1994" spans="1:14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1"/>
        <v>06,24</v>
      </c>
      <c r="L1994" s="40" t="s">
        <v>28</v>
      </c>
      <c r="M1994" s="40">
        <v>10613.74</v>
      </c>
      <c r="N1994" s="317">
        <v>0.375</v>
      </c>
    </row>
    <row r="1995" spans="1:14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1"/>
        <v>06,24</v>
      </c>
      <c r="L1995" s="75" t="s">
        <v>266</v>
      </c>
      <c r="M1995" s="75">
        <v>17988.259999999998</v>
      </c>
      <c r="N1995" s="322">
        <v>0.375</v>
      </c>
    </row>
    <row r="1996" spans="1:14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1"/>
        <v>06,24</v>
      </c>
      <c r="L1996" s="40" t="s">
        <v>266</v>
      </c>
      <c r="M1996" s="40">
        <v>18045.38</v>
      </c>
      <c r="N1996" s="317">
        <v>0.41666666666666702</v>
      </c>
    </row>
    <row r="1997" spans="1:14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1"/>
        <v>06,24</v>
      </c>
      <c r="L1997" s="75" t="s">
        <v>266</v>
      </c>
      <c r="M1997" s="75">
        <v>17817.599999999999</v>
      </c>
      <c r="N1997" s="322">
        <v>0.45833333333333298</v>
      </c>
    </row>
    <row r="1998" spans="1:14" ht="19.5" hidden="1" thickBot="1" x14ac:dyDescent="0.3">
      <c r="A1998" s="731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1"/>
        <v>06,24</v>
      </c>
      <c r="L1998" s="82" t="s">
        <v>266</v>
      </c>
      <c r="M1998" s="82">
        <v>4771.83</v>
      </c>
      <c r="N1998" s="319">
        <v>0.5</v>
      </c>
    </row>
    <row r="1999" spans="1:14" ht="19.5" hidden="1" thickBot="1" x14ac:dyDescent="0.3">
      <c r="A1999" s="731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1"/>
        <v>06,24</v>
      </c>
      <c r="L1999" s="98" t="s">
        <v>266</v>
      </c>
      <c r="M1999" s="98">
        <v>2801.9</v>
      </c>
      <c r="N1999" s="364">
        <v>0.5</v>
      </c>
    </row>
    <row r="2000" spans="1:14" ht="19.5" hidden="1" thickBot="1" x14ac:dyDescent="0.3">
      <c r="A2000" s="731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1"/>
        <v>06,24</v>
      </c>
      <c r="L2000" s="98" t="s">
        <v>266</v>
      </c>
      <c r="M2000" s="98">
        <v>4310.7</v>
      </c>
      <c r="N2000" s="364">
        <v>0.5</v>
      </c>
    </row>
    <row r="2001" spans="1:14" ht="19.5" hidden="1" thickBot="1" x14ac:dyDescent="0.3">
      <c r="A2001" s="731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1"/>
        <v>06,24</v>
      </c>
      <c r="L2001" s="90" t="s">
        <v>266</v>
      </c>
      <c r="M2001" s="90">
        <v>4884.55</v>
      </c>
      <c r="N2001" s="325">
        <v>0.5</v>
      </c>
    </row>
    <row r="2002" spans="1:14" ht="19.5" hidden="1" customHeight="1" thickBot="1" x14ac:dyDescent="0.3">
      <c r="A2002" s="732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737" t="s">
        <v>358</v>
      </c>
      <c r="H2002" s="48" t="s">
        <v>484</v>
      </c>
      <c r="I2002" s="163" t="s">
        <v>485</v>
      </c>
      <c r="J2002" s="52"/>
      <c r="K2002" s="48" t="str">
        <f t="shared" si="41"/>
        <v>06,24</v>
      </c>
      <c r="L2002" s="48" t="s">
        <v>266</v>
      </c>
      <c r="M2002" s="48">
        <v>4050.97</v>
      </c>
      <c r="N2002" s="315">
        <v>0.54166666666666696</v>
      </c>
    </row>
    <row r="2003" spans="1:14" ht="19.5" hidden="1" thickBot="1" x14ac:dyDescent="0.3">
      <c r="A2003" s="732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737"/>
      <c r="H2003" s="71" t="s">
        <v>484</v>
      </c>
      <c r="I2003" s="167" t="s">
        <v>484</v>
      </c>
      <c r="J2003" s="168"/>
      <c r="K2003" s="71" t="str">
        <f t="shared" si="41"/>
        <v>06,24</v>
      </c>
      <c r="L2003" s="71" t="s">
        <v>266</v>
      </c>
      <c r="M2003" s="71">
        <v>4320</v>
      </c>
      <c r="N2003" s="323">
        <v>0.54166666666666696</v>
      </c>
    </row>
    <row r="2004" spans="1:14" ht="19.5" hidden="1" thickBot="1" x14ac:dyDescent="0.3">
      <c r="A2004" s="110">
        <f t="shared" ref="A2004:A2011" si="42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1"/>
        <v>06,24</v>
      </c>
      <c r="L2004" s="40" t="s">
        <v>265</v>
      </c>
      <c r="M2004" s="40">
        <v>13024.7</v>
      </c>
      <c r="N2004" s="317">
        <v>0.33333333333333298</v>
      </c>
    </row>
    <row r="2005" spans="1:14" ht="19.5" hidden="1" thickBot="1" x14ac:dyDescent="0.3">
      <c r="A2005" s="111">
        <f t="shared" si="42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1"/>
        <v>06,24</v>
      </c>
      <c r="L2005" s="75" t="s">
        <v>265</v>
      </c>
      <c r="M2005" s="75">
        <v>16443.68</v>
      </c>
      <c r="N2005" s="322">
        <v>0.33333333333333298</v>
      </c>
    </row>
    <row r="2006" spans="1:14" ht="19.5" hidden="1" thickBot="1" x14ac:dyDescent="0.3">
      <c r="A2006" s="110">
        <f t="shared" si="42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1"/>
        <v>06,24</v>
      </c>
      <c r="L2006" s="40" t="s">
        <v>266</v>
      </c>
      <c r="M2006" s="40">
        <v>15704.14</v>
      </c>
      <c r="N2006" s="317">
        <v>0.41666666666666702</v>
      </c>
    </row>
    <row r="2007" spans="1:14" ht="19.5" hidden="1" thickBot="1" x14ac:dyDescent="0.3">
      <c r="A2007" s="111">
        <f t="shared" si="42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1"/>
        <v>06,24</v>
      </c>
      <c r="L2007" s="75" t="s">
        <v>266</v>
      </c>
      <c r="M2007" s="75">
        <v>16475.46</v>
      </c>
      <c r="N2007" s="322">
        <v>0.45833333333333298</v>
      </c>
    </row>
    <row r="2008" spans="1:14" ht="38.25" hidden="1" thickBot="1" x14ac:dyDescent="0.3">
      <c r="A2008" s="110">
        <f t="shared" si="42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1"/>
        <v>06,24</v>
      </c>
      <c r="L2008" s="40" t="s">
        <v>266</v>
      </c>
      <c r="M2008" s="40">
        <v>17239.099999999999</v>
      </c>
      <c r="N2008" s="317">
        <v>0.5</v>
      </c>
    </row>
    <row r="2009" spans="1:14" ht="38.25" hidden="1" thickBot="1" x14ac:dyDescent="0.3">
      <c r="A2009" s="111">
        <f t="shared" si="42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1"/>
        <v>06,24</v>
      </c>
      <c r="L2009" s="75" t="s">
        <v>266</v>
      </c>
      <c r="M2009" s="75">
        <v>17771.7</v>
      </c>
      <c r="N2009" s="322">
        <v>0.54166666666666696</v>
      </c>
    </row>
    <row r="2010" spans="1:14" ht="19.5" hidden="1" thickBot="1" x14ac:dyDescent="0.3">
      <c r="A2010" s="110">
        <f t="shared" si="42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1"/>
        <v>06,24</v>
      </c>
      <c r="L2010" s="40" t="s">
        <v>265</v>
      </c>
      <c r="M2010" s="40">
        <v>17191.14</v>
      </c>
      <c r="N2010" s="317">
        <v>0.33333333333333298</v>
      </c>
    </row>
    <row r="2011" spans="1:14" ht="19.5" hidden="1" thickBot="1" x14ac:dyDescent="0.3">
      <c r="A2011" s="732">
        <f t="shared" si="42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1"/>
        <v>06,24</v>
      </c>
      <c r="L2011" s="48" t="s">
        <v>266</v>
      </c>
      <c r="M2011" s="48">
        <v>5710.55</v>
      </c>
      <c r="N2011" s="315">
        <v>0.375</v>
      </c>
    </row>
    <row r="2012" spans="1:14" ht="19.5" hidden="1" thickBot="1" x14ac:dyDescent="0.3">
      <c r="A2012" s="732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1"/>
        <v>06,24</v>
      </c>
      <c r="L2012" s="31" t="s">
        <v>266</v>
      </c>
      <c r="M2012" s="31">
        <v>11357.64</v>
      </c>
      <c r="N2012" s="316">
        <v>0.375</v>
      </c>
    </row>
    <row r="2013" spans="1:14" ht="19.5" hidden="1" thickBot="1" x14ac:dyDescent="0.3">
      <c r="A2013" s="731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1"/>
        <v>06,24</v>
      </c>
      <c r="L2013" s="82" t="s">
        <v>266</v>
      </c>
      <c r="M2013" s="82">
        <v>6114.12</v>
      </c>
      <c r="N2013" s="319">
        <v>0.41666666666666702</v>
      </c>
    </row>
    <row r="2014" spans="1:14" ht="19.5" hidden="1" thickBot="1" x14ac:dyDescent="0.3">
      <c r="A2014" s="731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1"/>
        <v>06,24</v>
      </c>
      <c r="L2014" s="107" t="s">
        <v>266</v>
      </c>
      <c r="M2014" s="107">
        <v>11679.49</v>
      </c>
      <c r="N2014" s="321">
        <v>0.41666666666666702</v>
      </c>
    </row>
    <row r="2015" spans="1:14" ht="19.5" hidden="1" thickBot="1" x14ac:dyDescent="0.3">
      <c r="A2015" s="732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1"/>
        <v>06,24</v>
      </c>
      <c r="L2015" s="48" t="s">
        <v>266</v>
      </c>
      <c r="M2015" s="48">
        <v>9570.18</v>
      </c>
      <c r="N2015" s="315">
        <v>0.45833333333333298</v>
      </c>
    </row>
    <row r="2016" spans="1:14" ht="19.5" hidden="1" thickBot="1" x14ac:dyDescent="0.3">
      <c r="A2016" s="732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1"/>
        <v>06,24</v>
      </c>
      <c r="L2016" s="31" t="s">
        <v>266</v>
      </c>
      <c r="M2016" s="31">
        <v>8129.32</v>
      </c>
      <c r="N2016" s="316">
        <v>0.45833333333333298</v>
      </c>
    </row>
    <row r="2017" spans="1:14" ht="19.5" hidden="1" thickBot="1" x14ac:dyDescent="0.3">
      <c r="A2017" s="731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1"/>
        <v>06,24</v>
      </c>
      <c r="L2017" s="82" t="s">
        <v>266</v>
      </c>
      <c r="M2017" s="82">
        <v>5733.6</v>
      </c>
      <c r="N2017" s="319">
        <v>0.5</v>
      </c>
    </row>
    <row r="2018" spans="1:14" ht="19.5" hidden="1" thickBot="1" x14ac:dyDescent="0.3">
      <c r="A2018" s="731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1"/>
        <v>06,24</v>
      </c>
      <c r="L2018" s="109" t="s">
        <v>266</v>
      </c>
      <c r="M2018" s="109">
        <v>4423.92</v>
      </c>
      <c r="N2018" s="320">
        <v>0.5</v>
      </c>
    </row>
    <row r="2019" spans="1:14" ht="19.5" hidden="1" thickBot="1" x14ac:dyDescent="0.3">
      <c r="A2019" s="731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1"/>
        <v>06,24</v>
      </c>
      <c r="L2019" s="107" t="s">
        <v>266</v>
      </c>
      <c r="M2019" s="107">
        <v>7423.2</v>
      </c>
      <c r="N2019" s="321">
        <v>0.5</v>
      </c>
    </row>
    <row r="2020" spans="1:14" ht="19.5" hidden="1" customHeight="1" thickBot="1" x14ac:dyDescent="0.3">
      <c r="A2020" s="732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737" t="s">
        <v>72</v>
      </c>
      <c r="H2020" s="48" t="s">
        <v>488</v>
      </c>
      <c r="I2020" s="163" t="s">
        <v>488</v>
      </c>
      <c r="J2020" s="52"/>
      <c r="K2020" s="48" t="str">
        <f t="shared" si="41"/>
        <v>06,24</v>
      </c>
      <c r="L2020" s="48" t="s">
        <v>265</v>
      </c>
      <c r="M2020" s="48">
        <v>7019.88</v>
      </c>
      <c r="N2020" s="315">
        <v>0.33333333333333298</v>
      </c>
    </row>
    <row r="2021" spans="1:14" ht="19.5" hidden="1" thickBot="1" x14ac:dyDescent="0.3">
      <c r="A2021" s="732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737"/>
      <c r="H2021" s="71" t="s">
        <v>488</v>
      </c>
      <c r="I2021" s="189" t="s">
        <v>488</v>
      </c>
      <c r="J2021" s="35"/>
      <c r="K2021" s="71" t="str">
        <f t="shared" si="41"/>
        <v>06,24</v>
      </c>
      <c r="L2021" s="31" t="s">
        <v>265</v>
      </c>
      <c r="M2021" s="31">
        <v>7138.1</v>
      </c>
      <c r="N2021" s="316">
        <v>0.41666666666666702</v>
      </c>
    </row>
    <row r="2022" spans="1:14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1"/>
        <v>06,24</v>
      </c>
      <c r="L2022" s="40" t="s">
        <v>265</v>
      </c>
      <c r="M2022" s="40">
        <v>17179.16</v>
      </c>
      <c r="N2022" s="317">
        <v>0.33333333333333298</v>
      </c>
    </row>
    <row r="2023" spans="1:14" ht="19.5" hidden="1" thickBot="1" x14ac:dyDescent="0.3">
      <c r="A2023" s="732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1"/>
        <v>06,24</v>
      </c>
      <c r="L2023" s="48" t="s">
        <v>265</v>
      </c>
      <c r="M2023" s="48">
        <v>4638.3</v>
      </c>
      <c r="N2023" s="315">
        <v>0.375</v>
      </c>
    </row>
    <row r="2024" spans="1:14" ht="19.5" hidden="1" thickBot="1" x14ac:dyDescent="0.3">
      <c r="A2024" s="732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1"/>
        <v>06,24</v>
      </c>
      <c r="L2024" s="31" t="s">
        <v>265</v>
      </c>
      <c r="M2024" s="31">
        <v>12868.15</v>
      </c>
      <c r="N2024" s="316">
        <v>0.375</v>
      </c>
    </row>
    <row r="2025" spans="1:14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1"/>
        <v>06,24</v>
      </c>
      <c r="L2025" s="40" t="s">
        <v>28</v>
      </c>
      <c r="M2025" s="40">
        <v>17570.91</v>
      </c>
      <c r="N2025" s="317">
        <v>0.41666666666666702</v>
      </c>
    </row>
    <row r="2026" spans="1:14" ht="19.5" hidden="1" thickBot="1" x14ac:dyDescent="0.3">
      <c r="A2026" s="732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1"/>
        <v>06,24</v>
      </c>
      <c r="L2026" s="48" t="s">
        <v>28</v>
      </c>
      <c r="M2026" s="48">
        <v>3610.1</v>
      </c>
      <c r="N2026" s="315">
        <v>0.45833333333333298</v>
      </c>
    </row>
    <row r="2027" spans="1:14" ht="19.5" hidden="1" thickBot="1" x14ac:dyDescent="0.3">
      <c r="A2027" s="732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1"/>
        <v>06,24</v>
      </c>
      <c r="L2027" s="56" t="s">
        <v>28</v>
      </c>
      <c r="M2027" s="56">
        <v>13208.43</v>
      </c>
      <c r="N2027" s="318">
        <v>0.45833333333333298</v>
      </c>
    </row>
    <row r="2028" spans="1:14" ht="19.5" hidden="1" thickBot="1" x14ac:dyDescent="0.3">
      <c r="A2028" s="732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1"/>
        <v>06,24</v>
      </c>
      <c r="L2028" s="31" t="s">
        <v>28</v>
      </c>
      <c r="M2028" s="31">
        <v>1005</v>
      </c>
      <c r="N2028" s="316">
        <v>0.45833333333333298</v>
      </c>
    </row>
    <row r="2029" spans="1:14" ht="19.5" hidden="1" thickBot="1" x14ac:dyDescent="0.3">
      <c r="A2029" s="731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1"/>
        <v>06,24</v>
      </c>
      <c r="L2029" s="82" t="s">
        <v>28</v>
      </c>
      <c r="M2029" s="82">
        <v>5739.1</v>
      </c>
      <c r="N2029" s="319">
        <v>0.5</v>
      </c>
    </row>
    <row r="2030" spans="1:14" ht="19.5" hidden="1" thickBot="1" x14ac:dyDescent="0.3">
      <c r="A2030" s="731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1"/>
        <v>06,24</v>
      </c>
      <c r="L2030" s="107" t="s">
        <v>28</v>
      </c>
      <c r="M2030" s="107">
        <v>11881.56</v>
      </c>
      <c r="N2030" s="321">
        <v>0.5</v>
      </c>
    </row>
    <row r="2031" spans="1:14" ht="19.5" hidden="1" thickBot="1" x14ac:dyDescent="0.3">
      <c r="A2031" s="732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1"/>
        <v>06,24</v>
      </c>
      <c r="L2031" s="48" t="s">
        <v>28</v>
      </c>
      <c r="M2031" s="48">
        <v>6039.08</v>
      </c>
      <c r="N2031" s="315">
        <v>0.33333333333333298</v>
      </c>
    </row>
    <row r="2032" spans="1:14" ht="19.5" hidden="1" thickBot="1" x14ac:dyDescent="0.3">
      <c r="A2032" s="732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1"/>
        <v>06,24</v>
      </c>
      <c r="L2032" s="31" t="s">
        <v>28</v>
      </c>
      <c r="M2032" s="31">
        <v>6333.2</v>
      </c>
      <c r="N2032" s="316">
        <v>0.33333333333333298</v>
      </c>
    </row>
    <row r="2033" spans="1:14" ht="19.5" hidden="1" thickBot="1" x14ac:dyDescent="0.3">
      <c r="A2033" s="731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1"/>
        <v>06,24</v>
      </c>
      <c r="L2033" s="82" t="s">
        <v>28</v>
      </c>
      <c r="M2033" s="82">
        <v>1800</v>
      </c>
      <c r="N2033" s="319">
        <v>0.375</v>
      </c>
    </row>
    <row r="2034" spans="1:14" ht="19.5" hidden="1" thickBot="1" x14ac:dyDescent="0.3">
      <c r="A2034" s="731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1"/>
        <v>06,24</v>
      </c>
      <c r="L2034" s="109" t="s">
        <v>28</v>
      </c>
      <c r="M2034" s="109">
        <v>2085.1799999999998</v>
      </c>
      <c r="N2034" s="320">
        <v>0.375</v>
      </c>
    </row>
    <row r="2035" spans="1:14" ht="19.5" hidden="1" thickBot="1" x14ac:dyDescent="0.3">
      <c r="A2035" s="731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1"/>
        <v>06,24</v>
      </c>
      <c r="L2035" s="107" t="s">
        <v>28</v>
      </c>
      <c r="M2035" s="107">
        <v>10118.200000000001</v>
      </c>
      <c r="N2035" s="321">
        <v>0.375</v>
      </c>
    </row>
    <row r="2036" spans="1:14" ht="19.5" hidden="1" thickBot="1" x14ac:dyDescent="0.3">
      <c r="A2036" s="111">
        <f t="shared" ref="A2036:A2042" si="43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1"/>
        <v>06,24</v>
      </c>
      <c r="L2036" s="75" t="s">
        <v>265</v>
      </c>
      <c r="M2036" s="75">
        <v>5040</v>
      </c>
      <c r="N2036" s="322">
        <v>0.375</v>
      </c>
    </row>
    <row r="2037" spans="1:14" ht="19.5" hidden="1" thickBot="1" x14ac:dyDescent="0.3">
      <c r="A2037" s="110">
        <f t="shared" si="43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1"/>
        <v>06,24</v>
      </c>
      <c r="L2037" s="40" t="s">
        <v>266</v>
      </c>
      <c r="M2037" s="40">
        <v>17979.38</v>
      </c>
      <c r="N2037" s="317">
        <v>0.5</v>
      </c>
    </row>
    <row r="2038" spans="1:14" ht="19.5" hidden="1" thickBot="1" x14ac:dyDescent="0.3">
      <c r="A2038" s="111">
        <f t="shared" si="43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1"/>
        <v>06,24</v>
      </c>
      <c r="L2038" s="75" t="s">
        <v>266</v>
      </c>
      <c r="M2038" s="75">
        <v>18096.259999999998</v>
      </c>
      <c r="N2038" s="322">
        <v>0.375</v>
      </c>
    </row>
    <row r="2039" spans="1:14" ht="19.5" hidden="1" thickBot="1" x14ac:dyDescent="0.3">
      <c r="A2039" s="110">
        <f t="shared" si="43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1"/>
        <v>06,24</v>
      </c>
      <c r="L2039" s="40" t="s">
        <v>266</v>
      </c>
      <c r="M2039" s="40">
        <v>17947.3</v>
      </c>
      <c r="N2039" s="317">
        <v>0.41666666666666702</v>
      </c>
    </row>
    <row r="2040" spans="1:14" ht="19.5" hidden="1" thickBot="1" x14ac:dyDescent="0.3">
      <c r="A2040" s="111">
        <f t="shared" si="43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1"/>
        <v>06,24</v>
      </c>
      <c r="L2040" s="75" t="s">
        <v>266</v>
      </c>
      <c r="M2040" s="75">
        <v>18018.18</v>
      </c>
      <c r="N2040" s="322">
        <v>0.45833333333333298</v>
      </c>
    </row>
    <row r="2041" spans="1:14" ht="19.5" hidden="1" thickBot="1" x14ac:dyDescent="0.3">
      <c r="A2041" s="110">
        <f t="shared" si="43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1"/>
        <v>06,24</v>
      </c>
      <c r="L2041" s="40" t="s">
        <v>266</v>
      </c>
      <c r="M2041" s="40">
        <v>18110.64</v>
      </c>
      <c r="N2041" s="317">
        <v>0.5</v>
      </c>
    </row>
    <row r="2042" spans="1:14" ht="19.5" hidden="1" thickBot="1" x14ac:dyDescent="0.3">
      <c r="A2042" s="732">
        <f t="shared" si="43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1"/>
        <v>06,24</v>
      </c>
      <c r="L2042" s="48" t="s">
        <v>266</v>
      </c>
      <c r="M2042" s="48">
        <v>5273.52</v>
      </c>
      <c r="N2042" s="315">
        <v>0.54166666666666696</v>
      </c>
    </row>
    <row r="2043" spans="1:14" ht="19.5" hidden="1" thickBot="1" x14ac:dyDescent="0.3">
      <c r="A2043" s="732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4">RIGHT(I2043,5)</f>
        <v>06,24</v>
      </c>
      <c r="L2043" s="23" t="s">
        <v>266</v>
      </c>
      <c r="M2043" s="56">
        <v>2592.7399999999998</v>
      </c>
      <c r="N2043" s="318">
        <v>0.54166666666666696</v>
      </c>
    </row>
    <row r="2044" spans="1:14" ht="19.5" hidden="1" thickBot="1" x14ac:dyDescent="0.3">
      <c r="A2044" s="732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4"/>
        <v>06,24</v>
      </c>
      <c r="L2044" s="23" t="s">
        <v>266</v>
      </c>
      <c r="M2044" s="56">
        <v>5177.4399999999996</v>
      </c>
      <c r="N2044" s="318">
        <v>0.54166666666666696</v>
      </c>
    </row>
    <row r="2045" spans="1:14" ht="19.5" hidden="1" thickBot="1" x14ac:dyDescent="0.3">
      <c r="A2045" s="732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4"/>
        <v>06,24</v>
      </c>
      <c r="L2045" s="71" t="s">
        <v>266</v>
      </c>
      <c r="M2045" s="31">
        <v>4411.0200000000004</v>
      </c>
      <c r="N2045" s="316">
        <v>0.54166666666666696</v>
      </c>
    </row>
    <row r="2046" spans="1:14" ht="18.75" hidden="1" customHeight="1" thickBot="1" x14ac:dyDescent="0.3">
      <c r="A2046" s="731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734" t="s">
        <v>467</v>
      </c>
      <c r="H2046" s="82" t="s">
        <v>492</v>
      </c>
      <c r="I2046" s="147" t="s">
        <v>493</v>
      </c>
      <c r="J2046" s="86"/>
      <c r="K2046" s="82" t="str">
        <f t="shared" si="44"/>
        <v>06,24</v>
      </c>
      <c r="L2046" s="82" t="s">
        <v>266</v>
      </c>
      <c r="M2046" s="82">
        <v>2425.92</v>
      </c>
      <c r="N2046" s="319">
        <v>0.58333333333333304</v>
      </c>
    </row>
    <row r="2047" spans="1:14" ht="19.5" hidden="1" thickBot="1" x14ac:dyDescent="0.3">
      <c r="A2047" s="731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734"/>
      <c r="H2047" s="90" t="s">
        <v>492</v>
      </c>
      <c r="I2047" s="172" t="s">
        <v>493</v>
      </c>
      <c r="J2047" s="173"/>
      <c r="K2047" s="90" t="str">
        <f t="shared" si="44"/>
        <v>06,24</v>
      </c>
      <c r="L2047" s="90" t="s">
        <v>266</v>
      </c>
      <c r="M2047" s="107">
        <v>6000.72</v>
      </c>
      <c r="N2047" s="321">
        <v>0.58333333333333304</v>
      </c>
    </row>
    <row r="2048" spans="1:14" ht="19.5" hidden="1" thickBot="1" x14ac:dyDescent="0.3">
      <c r="A2048" s="111">
        <f t="shared" ref="A2048:A2054" si="45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4"/>
        <v>06,24</v>
      </c>
      <c r="L2048" s="75" t="s">
        <v>265</v>
      </c>
      <c r="M2048" s="75">
        <v>13332.98</v>
      </c>
      <c r="N2048" s="322">
        <v>0.375</v>
      </c>
    </row>
    <row r="2049" spans="1:14" ht="19.5" hidden="1" thickBot="1" x14ac:dyDescent="0.3">
      <c r="A2049" s="110">
        <f t="shared" si="45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4"/>
        <v>06,24</v>
      </c>
      <c r="L2049" s="40" t="s">
        <v>28</v>
      </c>
      <c r="M2049" s="40">
        <v>15747.26</v>
      </c>
      <c r="N2049" s="317">
        <v>0.45833333333333298</v>
      </c>
    </row>
    <row r="2050" spans="1:14" ht="19.5" hidden="1" thickBot="1" x14ac:dyDescent="0.3">
      <c r="A2050" s="111">
        <f t="shared" si="45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4"/>
        <v>06,24</v>
      </c>
      <c r="L2050" s="75" t="s">
        <v>265</v>
      </c>
      <c r="M2050" s="75">
        <v>17130.759999999998</v>
      </c>
      <c r="N2050" s="322">
        <v>0.375</v>
      </c>
    </row>
    <row r="2051" spans="1:14" ht="19.5" hidden="1" thickBot="1" x14ac:dyDescent="0.3">
      <c r="A2051" s="110">
        <f t="shared" si="45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4"/>
        <v>06,24</v>
      </c>
      <c r="L2051" s="40" t="s">
        <v>265</v>
      </c>
      <c r="M2051" s="40">
        <v>17130.71</v>
      </c>
      <c r="N2051" s="317">
        <v>0.41666666666666702</v>
      </c>
    </row>
    <row r="2052" spans="1:14" ht="19.5" hidden="1" thickBot="1" x14ac:dyDescent="0.3">
      <c r="A2052" s="111">
        <f t="shared" si="45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4"/>
        <v>06,24</v>
      </c>
      <c r="L2052" s="75" t="s">
        <v>265</v>
      </c>
      <c r="M2052" s="75">
        <v>17238.580000000002</v>
      </c>
      <c r="N2052" s="322">
        <v>0.33333333333333298</v>
      </c>
    </row>
    <row r="2053" spans="1:14" ht="19.5" hidden="1" thickBot="1" x14ac:dyDescent="0.3">
      <c r="A2053" s="110">
        <f t="shared" si="45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4"/>
        <v>06,24</v>
      </c>
      <c r="L2053" s="40" t="s">
        <v>28</v>
      </c>
      <c r="M2053" s="40">
        <v>17189.55</v>
      </c>
      <c r="N2053" s="317">
        <v>0.375</v>
      </c>
    </row>
    <row r="2054" spans="1:14" ht="19.5" hidden="1" thickBot="1" x14ac:dyDescent="0.3">
      <c r="A2054" s="732">
        <f t="shared" si="45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4"/>
        <v>06,24</v>
      </c>
      <c r="L2054" s="48" t="s">
        <v>28</v>
      </c>
      <c r="M2054" s="48">
        <v>11584.01</v>
      </c>
      <c r="N2054" s="315">
        <v>0.41666666666666702</v>
      </c>
    </row>
    <row r="2055" spans="1:14" ht="19.5" hidden="1" thickBot="1" x14ac:dyDescent="0.3">
      <c r="A2055" s="732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4"/>
        <v>06,24</v>
      </c>
      <c r="L2055" s="31" t="s">
        <v>28</v>
      </c>
      <c r="M2055" s="31">
        <v>6023.4</v>
      </c>
      <c r="N2055" s="316">
        <v>0.41666666666666702</v>
      </c>
    </row>
    <row r="2056" spans="1:14" ht="19.5" hidden="1" thickBot="1" x14ac:dyDescent="0.3">
      <c r="A2056" s="731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4"/>
        <v>06,24</v>
      </c>
      <c r="L2056" s="82" t="s">
        <v>28</v>
      </c>
      <c r="M2056" s="82">
        <v>14491.71</v>
      </c>
      <c r="N2056" s="319">
        <v>0.45833333333333298</v>
      </c>
    </row>
    <row r="2057" spans="1:14" ht="19.5" hidden="1" thickBot="1" x14ac:dyDescent="0.3">
      <c r="A2057" s="731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4"/>
        <v>06,24</v>
      </c>
      <c r="L2057" s="107" t="s">
        <v>28</v>
      </c>
      <c r="M2057" s="107">
        <v>3030</v>
      </c>
      <c r="N2057" s="321">
        <v>0.45833333333333298</v>
      </c>
    </row>
    <row r="2058" spans="1:14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4"/>
        <v>06,24</v>
      </c>
      <c r="L2058" s="75" t="s">
        <v>28</v>
      </c>
      <c r="M2058" s="75">
        <v>17366.16</v>
      </c>
      <c r="N2058" s="322">
        <v>0.5</v>
      </c>
    </row>
    <row r="2059" spans="1:14" ht="19.5" hidden="1" thickBot="1" x14ac:dyDescent="0.3">
      <c r="A2059" s="731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4"/>
        <v>06,24</v>
      </c>
      <c r="L2059" s="82" t="s">
        <v>28</v>
      </c>
      <c r="M2059" s="82">
        <v>8865.82</v>
      </c>
      <c r="N2059" s="319">
        <v>0.54166666666666696</v>
      </c>
    </row>
    <row r="2060" spans="1:14" ht="19.5" hidden="1" thickBot="1" x14ac:dyDescent="0.3">
      <c r="A2060" s="731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4"/>
        <v>06,24</v>
      </c>
      <c r="L2060" s="107" t="s">
        <v>28</v>
      </c>
      <c r="M2060" s="107">
        <v>8625</v>
      </c>
      <c r="N2060" s="321">
        <v>0.54166666666666696</v>
      </c>
    </row>
    <row r="2061" spans="1:14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4"/>
        <v>06,24</v>
      </c>
      <c r="L2061" s="75" t="s">
        <v>266</v>
      </c>
      <c r="M2061" s="75">
        <v>17910.66</v>
      </c>
      <c r="N2061" s="322">
        <v>0.58333333333333304</v>
      </c>
    </row>
    <row r="2062" spans="1:14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4"/>
        <v>06,24</v>
      </c>
      <c r="L2062" s="40" t="s">
        <v>28</v>
      </c>
      <c r="M2062" s="40">
        <v>17509</v>
      </c>
      <c r="N2062" s="317">
        <v>0.625</v>
      </c>
    </row>
    <row r="2063" spans="1:14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4"/>
        <v>06,24</v>
      </c>
      <c r="L2063" s="75" t="s">
        <v>265</v>
      </c>
      <c r="M2063" s="75">
        <v>13084.9</v>
      </c>
      <c r="N2063" s="322">
        <v>0.375</v>
      </c>
    </row>
    <row r="2064" spans="1:14" ht="19.5" hidden="1" thickBot="1" x14ac:dyDescent="0.3">
      <c r="A2064" s="731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4"/>
        <v>06,24</v>
      </c>
      <c r="L2064" s="82" t="s">
        <v>28</v>
      </c>
      <c r="M2064" s="82">
        <v>9874.94</v>
      </c>
      <c r="N2064" s="319">
        <v>0.41666666666666702</v>
      </c>
    </row>
    <row r="2065" spans="1:14" ht="19.5" hidden="1" thickBot="1" x14ac:dyDescent="0.3">
      <c r="A2065" s="731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4"/>
        <v>06,24</v>
      </c>
      <c r="L2065" s="107" t="s">
        <v>28</v>
      </c>
      <c r="M2065" s="107">
        <v>3956.78</v>
      </c>
      <c r="N2065" s="321">
        <v>0.41666666666666702</v>
      </c>
    </row>
    <row r="2066" spans="1:14" ht="19.5" hidden="1" thickBot="1" x14ac:dyDescent="0.3">
      <c r="A2066" s="732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4"/>
        <v>06,24</v>
      </c>
      <c r="L2066" s="48" t="s">
        <v>28</v>
      </c>
      <c r="M2066" s="48">
        <v>2509</v>
      </c>
      <c r="N2066" s="315">
        <v>0.45833333333333298</v>
      </c>
    </row>
    <row r="2067" spans="1:14" ht="19.5" hidden="1" thickBot="1" x14ac:dyDescent="0.3">
      <c r="A2067" s="732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4"/>
        <v>06,24</v>
      </c>
      <c r="L2067" s="31" t="s">
        <v>28</v>
      </c>
      <c r="M2067" s="31">
        <v>10829.4</v>
      </c>
      <c r="N2067" s="316">
        <v>0.45833333333333298</v>
      </c>
    </row>
    <row r="2068" spans="1:14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4"/>
        <v>06,24</v>
      </c>
      <c r="L2068" s="40" t="s">
        <v>28</v>
      </c>
      <c r="M2068" s="40">
        <v>17155.88</v>
      </c>
      <c r="N2068" s="317">
        <v>0.375</v>
      </c>
    </row>
    <row r="2069" spans="1:14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4"/>
        <v>06,24</v>
      </c>
      <c r="L2069" s="75" t="s">
        <v>28</v>
      </c>
      <c r="M2069" s="75">
        <v>15692.92</v>
      </c>
      <c r="N2069" s="322">
        <v>0.41666666666666702</v>
      </c>
    </row>
    <row r="2070" spans="1:14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4"/>
        <v>06,24</v>
      </c>
      <c r="L2070" s="40" t="s">
        <v>265</v>
      </c>
      <c r="M2070" s="40">
        <v>17659.62</v>
      </c>
      <c r="N2070" s="317">
        <v>0.375</v>
      </c>
    </row>
    <row r="2071" spans="1:14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4"/>
        <v>06,24</v>
      </c>
      <c r="L2071" s="75" t="s">
        <v>28</v>
      </c>
      <c r="M2071" s="75">
        <v>15719.26</v>
      </c>
      <c r="N2071" s="322">
        <v>0.41666666666666702</v>
      </c>
    </row>
    <row r="2072" spans="1:14" ht="19.5" hidden="1" thickBot="1" x14ac:dyDescent="0.3">
      <c r="A2072" s="731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4"/>
        <v>06,24</v>
      </c>
      <c r="L2072" s="82" t="s">
        <v>28</v>
      </c>
      <c r="M2072" s="82">
        <v>2703.68</v>
      </c>
      <c r="N2072" s="319">
        <v>0.45833333333333298</v>
      </c>
    </row>
    <row r="2073" spans="1:14" ht="19.5" hidden="1" thickBot="1" x14ac:dyDescent="0.3">
      <c r="A2073" s="731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4"/>
        <v>06,24</v>
      </c>
      <c r="L2073" s="109" t="s">
        <v>28</v>
      </c>
      <c r="M2073" s="109">
        <v>7449.6</v>
      </c>
      <c r="N2073" s="320">
        <v>0.45833333333333298</v>
      </c>
    </row>
    <row r="2074" spans="1:14" ht="19.5" hidden="1" thickBot="1" x14ac:dyDescent="0.3">
      <c r="A2074" s="731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4"/>
        <v>06,24</v>
      </c>
      <c r="L2074" s="107" t="s">
        <v>28</v>
      </c>
      <c r="M2074" s="107">
        <v>7652.06</v>
      </c>
      <c r="N2074" s="321">
        <v>0.45833333333333298</v>
      </c>
    </row>
    <row r="2075" spans="1:14" ht="19.5" hidden="1" thickBot="1" x14ac:dyDescent="0.3">
      <c r="A2075" s="732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4"/>
        <v>06,24</v>
      </c>
      <c r="L2075" s="48" t="s">
        <v>28</v>
      </c>
      <c r="M2075" s="48">
        <v>13722.84</v>
      </c>
      <c r="N2075" s="315">
        <v>0.5</v>
      </c>
    </row>
    <row r="2076" spans="1:14" ht="19.5" hidden="1" thickBot="1" x14ac:dyDescent="0.3">
      <c r="A2076" s="732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4"/>
        <v>06,24</v>
      </c>
      <c r="L2076" s="31" t="s">
        <v>28</v>
      </c>
      <c r="M2076" s="31">
        <v>3488.64</v>
      </c>
      <c r="N2076" s="316">
        <v>0.5</v>
      </c>
    </row>
    <row r="2077" spans="1:14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4"/>
        <v>06,24</v>
      </c>
      <c r="L2077" s="40" t="s">
        <v>266</v>
      </c>
      <c r="M2077" s="40">
        <v>17906.419999999998</v>
      </c>
      <c r="N2077" s="317">
        <v>0.375</v>
      </c>
    </row>
    <row r="2078" spans="1:14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4"/>
        <v>06,24</v>
      </c>
      <c r="L2078" s="75" t="s">
        <v>266</v>
      </c>
      <c r="M2078" s="75">
        <v>18042.599999999999</v>
      </c>
      <c r="N2078" s="322">
        <v>0.41666666666666702</v>
      </c>
    </row>
    <row r="2079" spans="1:14" ht="19.5" hidden="1" thickBot="1" x14ac:dyDescent="0.3">
      <c r="A2079" s="731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4"/>
        <v>06,24</v>
      </c>
      <c r="L2079" s="82" t="s">
        <v>266</v>
      </c>
      <c r="M2079" s="82">
        <v>4317.5</v>
      </c>
      <c r="N2079" s="319">
        <v>0.45833333333333298</v>
      </c>
    </row>
    <row r="2080" spans="1:14" ht="19.5" hidden="1" thickBot="1" x14ac:dyDescent="0.3">
      <c r="A2080" s="731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4"/>
        <v>06,26</v>
      </c>
      <c r="L2080" s="98" t="s">
        <v>266</v>
      </c>
      <c r="M2080" s="109">
        <v>5520.96</v>
      </c>
      <c r="N2080" s="320">
        <v>0.45833333333333298</v>
      </c>
    </row>
    <row r="2081" spans="1:14" ht="19.5" hidden="1" thickBot="1" x14ac:dyDescent="0.3">
      <c r="A2081" s="731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4"/>
        <v>06,24</v>
      </c>
      <c r="L2081" s="98" t="s">
        <v>266</v>
      </c>
      <c r="M2081" s="109">
        <v>7092.45</v>
      </c>
      <c r="N2081" s="320">
        <v>0.45833333333333298</v>
      </c>
    </row>
    <row r="2082" spans="1:14" ht="19.5" hidden="1" thickBot="1" x14ac:dyDescent="0.3">
      <c r="A2082" s="731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4"/>
        <v>06,26</v>
      </c>
      <c r="L2082" s="90" t="s">
        <v>266</v>
      </c>
      <c r="M2082" s="107">
        <v>52.2</v>
      </c>
      <c r="N2082" s="321">
        <v>0.45833333333333298</v>
      </c>
    </row>
    <row r="2083" spans="1:14" ht="19.5" hidden="1" thickBot="1" x14ac:dyDescent="0.3">
      <c r="A2083" s="732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4"/>
        <v>06,24</v>
      </c>
      <c r="L2083" s="48" t="s">
        <v>266</v>
      </c>
      <c r="M2083" s="48">
        <v>5817</v>
      </c>
      <c r="N2083" s="315">
        <v>0.5</v>
      </c>
    </row>
    <row r="2084" spans="1:14" ht="19.5" hidden="1" thickBot="1" x14ac:dyDescent="0.3">
      <c r="A2084" s="732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4"/>
        <v>06,24</v>
      </c>
      <c r="L2084" s="23" t="s">
        <v>266</v>
      </c>
      <c r="M2084" s="56">
        <v>4557.91</v>
      </c>
      <c r="N2084" s="318">
        <v>0.5</v>
      </c>
    </row>
    <row r="2085" spans="1:14" ht="19.5" hidden="1" thickBot="1" x14ac:dyDescent="0.3">
      <c r="A2085" s="732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4"/>
        <v>06,24</v>
      </c>
      <c r="L2085" s="71" t="s">
        <v>266</v>
      </c>
      <c r="M2085" s="31">
        <v>7020</v>
      </c>
      <c r="N2085" s="316">
        <v>0.5</v>
      </c>
    </row>
    <row r="2086" spans="1:14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4"/>
        <v>06,24</v>
      </c>
      <c r="L2086" s="40" t="s">
        <v>266</v>
      </c>
      <c r="M2086" s="40">
        <v>13060.2</v>
      </c>
      <c r="N2086" s="317">
        <v>0.375</v>
      </c>
    </row>
    <row r="2087" spans="1:14" ht="19.5" hidden="1" thickBot="1" x14ac:dyDescent="0.3">
      <c r="A2087" s="111">
        <f t="shared" ref="A2087:A2092" si="46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4"/>
        <v>06,24</v>
      </c>
      <c r="L2087" s="75" t="s">
        <v>265</v>
      </c>
      <c r="M2087" s="75">
        <v>17028.16</v>
      </c>
      <c r="N2087" s="322">
        <v>0.33333333333333298</v>
      </c>
    </row>
    <row r="2088" spans="1:14" ht="19.5" hidden="1" thickBot="1" x14ac:dyDescent="0.3">
      <c r="A2088" s="110">
        <f t="shared" si="46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4"/>
        <v>06,24</v>
      </c>
      <c r="L2088" s="40" t="s">
        <v>265</v>
      </c>
      <c r="M2088" s="40">
        <v>17419.79</v>
      </c>
      <c r="N2088" s="317">
        <v>0.375</v>
      </c>
    </row>
    <row r="2089" spans="1:14" ht="19.5" hidden="1" thickBot="1" x14ac:dyDescent="0.3">
      <c r="A2089" s="111">
        <f t="shared" si="46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4"/>
        <v>06,26</v>
      </c>
      <c r="L2089" s="75" t="s">
        <v>266</v>
      </c>
      <c r="M2089" s="75">
        <v>15738.78</v>
      </c>
      <c r="N2089" s="322">
        <v>0.41666666666666702</v>
      </c>
    </row>
    <row r="2090" spans="1:14" ht="19.5" hidden="1" thickBot="1" x14ac:dyDescent="0.3">
      <c r="A2090" s="110">
        <f t="shared" si="46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4"/>
        <v>06,24</v>
      </c>
      <c r="L2090" s="40" t="s">
        <v>265</v>
      </c>
      <c r="M2090" s="40">
        <v>17601.599999999999</v>
      </c>
      <c r="N2090" s="317">
        <v>0.33333333333333298</v>
      </c>
    </row>
    <row r="2091" spans="1:14" ht="19.5" hidden="1" thickBot="1" x14ac:dyDescent="0.3">
      <c r="A2091" s="111">
        <f t="shared" si="46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4"/>
        <v>06,26</v>
      </c>
      <c r="L2091" s="75" t="s">
        <v>28</v>
      </c>
      <c r="M2091" s="75">
        <v>17804.97</v>
      </c>
      <c r="N2091" s="322">
        <v>0.375</v>
      </c>
    </row>
    <row r="2092" spans="1:14" ht="19.5" hidden="1" thickBot="1" x14ac:dyDescent="0.3">
      <c r="A2092" s="731">
        <f t="shared" si="46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4"/>
        <v>06,24</v>
      </c>
      <c r="L2092" s="82" t="s">
        <v>28</v>
      </c>
      <c r="M2092" s="82">
        <v>15276.71</v>
      </c>
      <c r="N2092" s="319">
        <v>0.41666666666666702</v>
      </c>
    </row>
    <row r="2093" spans="1:14" ht="19.5" hidden="1" thickBot="1" x14ac:dyDescent="0.3">
      <c r="A2093" s="731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4"/>
        <v>06,24</v>
      </c>
      <c r="L2093" s="107" t="s">
        <v>28</v>
      </c>
      <c r="M2093" s="107">
        <v>2315.64</v>
      </c>
      <c r="N2093" s="321">
        <v>0.41666666666666702</v>
      </c>
    </row>
    <row r="2094" spans="1:14" ht="19.5" hidden="1" thickBot="1" x14ac:dyDescent="0.3">
      <c r="A2094" s="732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4"/>
        <v>06,24</v>
      </c>
      <c r="L2094" s="48" t="s">
        <v>28</v>
      </c>
      <c r="M2094" s="48">
        <v>8191.32</v>
      </c>
      <c r="N2094" s="315">
        <v>0.45833333333333298</v>
      </c>
    </row>
    <row r="2095" spans="1:14" ht="19.5" hidden="1" thickBot="1" x14ac:dyDescent="0.3">
      <c r="A2095" s="732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4"/>
        <v>06,24</v>
      </c>
      <c r="L2095" s="31" t="s">
        <v>28</v>
      </c>
      <c r="M2095" s="31">
        <v>8568.7000000000007</v>
      </c>
      <c r="N2095" s="316">
        <v>0.45833333333333298</v>
      </c>
    </row>
    <row r="2096" spans="1:14" ht="19.5" hidden="1" thickBot="1" x14ac:dyDescent="0.3">
      <c r="A2096" s="731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4"/>
        <v>06,24</v>
      </c>
      <c r="L2096" s="82" t="s">
        <v>28</v>
      </c>
      <c r="M2096" s="82">
        <v>9286.19</v>
      </c>
      <c r="N2096" s="319">
        <v>0.5</v>
      </c>
    </row>
    <row r="2097" spans="1:14" ht="19.5" hidden="1" thickBot="1" x14ac:dyDescent="0.3">
      <c r="A2097" s="731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4"/>
        <v>06,24</v>
      </c>
      <c r="L2097" s="107" t="s">
        <v>28</v>
      </c>
      <c r="M2097" s="107">
        <v>8551.2199999999993</v>
      </c>
      <c r="N2097" s="321">
        <v>0.5</v>
      </c>
    </row>
    <row r="2098" spans="1:14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4"/>
        <v>06,24</v>
      </c>
      <c r="L2098" s="75" t="s">
        <v>266</v>
      </c>
      <c r="M2098" s="75">
        <v>17734.14</v>
      </c>
      <c r="N2098" s="322">
        <v>0.54166666666666696</v>
      </c>
    </row>
    <row r="2099" spans="1:14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4"/>
        <v>06,24</v>
      </c>
      <c r="L2099" s="40" t="s">
        <v>266</v>
      </c>
      <c r="M2099" s="40">
        <v>13828.16</v>
      </c>
      <c r="N2099" s="317">
        <v>0.375</v>
      </c>
    </row>
    <row r="2100" spans="1:14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4"/>
        <v>06,24</v>
      </c>
      <c r="L2100" s="75" t="s">
        <v>266</v>
      </c>
      <c r="M2100" s="75">
        <v>18073.32</v>
      </c>
      <c r="N2100" s="322">
        <v>0.58333333333333304</v>
      </c>
    </row>
    <row r="2101" spans="1:14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4"/>
        <v>06,24</v>
      </c>
      <c r="L2101" s="40" t="s">
        <v>266</v>
      </c>
      <c r="M2101" s="40">
        <v>15833.18</v>
      </c>
      <c r="N2101" s="317">
        <v>0.79166666666666696</v>
      </c>
    </row>
    <row r="2102" spans="1:14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4"/>
        <v>06,24</v>
      </c>
      <c r="L2102" s="75" t="s">
        <v>265</v>
      </c>
      <c r="M2102" s="75">
        <v>17195.080000000002</v>
      </c>
      <c r="N2102" s="322">
        <v>0.375</v>
      </c>
    </row>
    <row r="2103" spans="1:14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4"/>
        <v>06,24</v>
      </c>
      <c r="L2103" s="40" t="s">
        <v>28</v>
      </c>
      <c r="M2103" s="40">
        <v>17407.150000000001</v>
      </c>
      <c r="N2103" s="317">
        <v>0.41666666666666702</v>
      </c>
    </row>
    <row r="2104" spans="1:14" ht="19.5" hidden="1" thickBot="1" x14ac:dyDescent="0.3">
      <c r="A2104" s="732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4"/>
        <v>06,24</v>
      </c>
      <c r="L2104" s="48" t="s">
        <v>28</v>
      </c>
      <c r="M2104" s="48">
        <v>8385.9500000000007</v>
      </c>
      <c r="N2104" s="315">
        <v>0.45833333333333298</v>
      </c>
    </row>
    <row r="2105" spans="1:14" ht="19.5" hidden="1" thickBot="1" x14ac:dyDescent="0.3">
      <c r="A2105" s="732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4"/>
        <v>06,24</v>
      </c>
      <c r="L2105" s="31" t="s">
        <v>28</v>
      </c>
      <c r="M2105" s="31">
        <v>9343.84</v>
      </c>
      <c r="N2105" s="316">
        <v>0.45833333333333298</v>
      </c>
    </row>
    <row r="2106" spans="1:14" ht="19.5" hidden="1" thickBot="1" x14ac:dyDescent="0.3">
      <c r="A2106" s="731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4"/>
        <v>06,24</v>
      </c>
      <c r="L2106" s="82" t="s">
        <v>28</v>
      </c>
      <c r="M2106" s="82">
        <v>4902.17</v>
      </c>
      <c r="N2106" s="319">
        <v>0.5</v>
      </c>
    </row>
    <row r="2107" spans="1:14" ht="19.5" hidden="1" thickBot="1" x14ac:dyDescent="0.3">
      <c r="A2107" s="731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7">RIGHT(I2107,5)</f>
        <v>06,24</v>
      </c>
      <c r="L2107" s="107" t="s">
        <v>28</v>
      </c>
      <c r="M2107" s="107">
        <v>12721.14</v>
      </c>
      <c r="N2107" s="321">
        <v>0.5</v>
      </c>
    </row>
    <row r="2108" spans="1:14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7"/>
        <v>06,24</v>
      </c>
      <c r="L2108" s="75" t="s">
        <v>266</v>
      </c>
      <c r="M2108" s="75">
        <v>13346.04</v>
      </c>
      <c r="N2108" s="322">
        <v>0.375</v>
      </c>
    </row>
    <row r="2109" spans="1:14" ht="19.5" hidden="1" thickBot="1" x14ac:dyDescent="0.3">
      <c r="A2109" s="731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7"/>
        <v>06,24</v>
      </c>
      <c r="L2109" s="82" t="s">
        <v>266</v>
      </c>
      <c r="M2109" s="82">
        <v>3075.6</v>
      </c>
      <c r="N2109" s="319">
        <v>0.41666666666666702</v>
      </c>
    </row>
    <row r="2110" spans="1:14" ht="19.5" hidden="1" thickBot="1" x14ac:dyDescent="0.3">
      <c r="A2110" s="731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7"/>
        <v>06,24</v>
      </c>
      <c r="L2110" s="109" t="s">
        <v>266</v>
      </c>
      <c r="M2110" s="109">
        <v>1254</v>
      </c>
      <c r="N2110" s="320">
        <v>0.41666666666666702</v>
      </c>
    </row>
    <row r="2111" spans="1:14" ht="19.5" hidden="1" thickBot="1" x14ac:dyDescent="0.3">
      <c r="A2111" s="731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7"/>
        <v>06,24</v>
      </c>
      <c r="L2111" s="109" t="s">
        <v>266</v>
      </c>
      <c r="M2111" s="109">
        <v>5966.82</v>
      </c>
      <c r="N2111" s="320">
        <v>0.41666666666666702</v>
      </c>
    </row>
    <row r="2112" spans="1:14" ht="19.5" hidden="1" thickBot="1" x14ac:dyDescent="0.3">
      <c r="A2112" s="731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7"/>
        <v>06,24</v>
      </c>
      <c r="L2112" s="107" t="s">
        <v>266</v>
      </c>
      <c r="M2112" s="107">
        <v>2920</v>
      </c>
      <c r="N2112" s="321">
        <v>0.41666666666666702</v>
      </c>
    </row>
    <row r="2113" spans="1:14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7"/>
        <v>06,24</v>
      </c>
      <c r="L2113" s="75" t="s">
        <v>265</v>
      </c>
      <c r="M2113" s="75">
        <v>17255.78</v>
      </c>
      <c r="N2113" s="322">
        <v>0.375</v>
      </c>
    </row>
    <row r="2114" spans="1:14" ht="19.5" hidden="1" thickBot="1" x14ac:dyDescent="0.3">
      <c r="A2114" s="731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7"/>
        <v>06,24</v>
      </c>
      <c r="L2114" s="82" t="s">
        <v>28</v>
      </c>
      <c r="M2114" s="82">
        <v>7428.36</v>
      </c>
      <c r="N2114" s="319">
        <v>0.41666666666666702</v>
      </c>
    </row>
    <row r="2115" spans="1:14" ht="19.5" hidden="1" thickBot="1" x14ac:dyDescent="0.3">
      <c r="A2115" s="731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7"/>
        <v>06,24</v>
      </c>
      <c r="L2115" s="107" t="s">
        <v>28</v>
      </c>
      <c r="M2115" s="107">
        <v>10046.16</v>
      </c>
      <c r="N2115" s="321">
        <v>0.41666666666666702</v>
      </c>
    </row>
    <row r="2116" spans="1:14" ht="19.5" hidden="1" thickBot="1" x14ac:dyDescent="0.3">
      <c r="A2116" s="111">
        <f t="shared" ref="A2116:A2122" si="48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7"/>
        <v>06,24</v>
      </c>
      <c r="L2116" s="75" t="s">
        <v>266</v>
      </c>
      <c r="M2116" s="75">
        <v>18003.14</v>
      </c>
      <c r="N2116" s="322">
        <v>0.5</v>
      </c>
    </row>
    <row r="2117" spans="1:14" ht="19.5" hidden="1" thickBot="1" x14ac:dyDescent="0.3">
      <c r="A2117" s="110">
        <f t="shared" si="48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7"/>
        <v>06,24</v>
      </c>
      <c r="L2117" s="40" t="s">
        <v>266</v>
      </c>
      <c r="M2117" s="40">
        <v>18000.36</v>
      </c>
      <c r="N2117" s="317">
        <v>0.375</v>
      </c>
    </row>
    <row r="2118" spans="1:14" ht="19.5" hidden="1" thickBot="1" x14ac:dyDescent="0.3">
      <c r="A2118" s="111">
        <f t="shared" si="48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7"/>
        <v>06,24</v>
      </c>
      <c r="L2118" s="75" t="s">
        <v>266</v>
      </c>
      <c r="M2118" s="75">
        <v>18001.36</v>
      </c>
      <c r="N2118" s="322">
        <v>0.41666666666666702</v>
      </c>
    </row>
    <row r="2119" spans="1:14" ht="19.5" hidden="1" thickBot="1" x14ac:dyDescent="0.3">
      <c r="A2119" s="110">
        <f t="shared" si="48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7"/>
        <v>06,24</v>
      </c>
      <c r="L2119" s="40" t="s">
        <v>266</v>
      </c>
      <c r="M2119" s="40">
        <v>17980.8</v>
      </c>
      <c r="N2119" s="317">
        <v>0.45833333333333298</v>
      </c>
    </row>
    <row r="2120" spans="1:14" ht="19.5" hidden="1" thickBot="1" x14ac:dyDescent="0.3">
      <c r="A2120" s="111">
        <f t="shared" si="48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7"/>
        <v>06,24</v>
      </c>
      <c r="L2120" s="75" t="s">
        <v>266</v>
      </c>
      <c r="M2120" s="75">
        <v>18012.72</v>
      </c>
      <c r="N2120" s="322">
        <v>0.5</v>
      </c>
    </row>
    <row r="2121" spans="1:14" ht="19.5" hidden="1" thickBot="1" x14ac:dyDescent="0.3">
      <c r="A2121" s="110">
        <f t="shared" si="48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7"/>
        <v>06,24</v>
      </c>
      <c r="L2121" s="40" t="s">
        <v>266</v>
      </c>
      <c r="M2121" s="40">
        <v>8612.76</v>
      </c>
      <c r="N2121" s="317">
        <v>0.54166666666666696</v>
      </c>
    </row>
    <row r="2122" spans="1:14" ht="19.5" hidden="1" thickBot="1" x14ac:dyDescent="0.3">
      <c r="A2122" s="732">
        <f t="shared" si="48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7"/>
        <v>06,24</v>
      </c>
      <c r="L2122" s="48" t="s">
        <v>266</v>
      </c>
      <c r="M2122" s="48">
        <v>1860</v>
      </c>
      <c r="N2122" s="315">
        <v>0.58333333333333304</v>
      </c>
    </row>
    <row r="2123" spans="1:14" ht="19.5" hidden="1" thickBot="1" x14ac:dyDescent="0.3">
      <c r="A2123" s="732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7"/>
        <v>06,24</v>
      </c>
      <c r="L2123" s="23" t="s">
        <v>266</v>
      </c>
      <c r="M2123" s="56">
        <v>10130.4</v>
      </c>
      <c r="N2123" s="318">
        <v>0.58333333333333304</v>
      </c>
    </row>
    <row r="2124" spans="1:14" ht="19.5" hidden="1" thickBot="1" x14ac:dyDescent="0.3">
      <c r="A2124" s="732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7"/>
        <v>06,24</v>
      </c>
      <c r="L2124" s="23" t="s">
        <v>266</v>
      </c>
      <c r="M2124" s="56">
        <v>1804.88</v>
      </c>
      <c r="N2124" s="318">
        <v>0.58333333333333304</v>
      </c>
    </row>
    <row r="2125" spans="1:14" ht="19.5" hidden="1" thickBot="1" x14ac:dyDescent="0.3">
      <c r="A2125" s="732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7"/>
        <v>06,24</v>
      </c>
      <c r="L2125" s="71" t="s">
        <v>266</v>
      </c>
      <c r="M2125" s="31">
        <v>4197.32</v>
      </c>
      <c r="N2125" s="316">
        <v>0.58333333333333304</v>
      </c>
    </row>
    <row r="2126" spans="1:14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7"/>
        <v>06,24</v>
      </c>
      <c r="L2126" s="40" t="s">
        <v>266</v>
      </c>
      <c r="M2126" s="40">
        <v>13353.4</v>
      </c>
      <c r="N2126" s="317">
        <v>0.375</v>
      </c>
    </row>
    <row r="2127" spans="1:14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7"/>
        <v>06,24</v>
      </c>
      <c r="L2127" s="75" t="s">
        <v>265</v>
      </c>
      <c r="M2127" s="75">
        <v>16528.48</v>
      </c>
      <c r="N2127" s="322">
        <v>0.375</v>
      </c>
    </row>
    <row r="2128" spans="1:14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7"/>
        <v>06,24</v>
      </c>
      <c r="L2128" s="40" t="s">
        <v>266</v>
      </c>
      <c r="M2128" s="40">
        <v>15736.62</v>
      </c>
      <c r="N2128" s="317">
        <v>0.41666666666666702</v>
      </c>
    </row>
    <row r="2129" spans="1:14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7"/>
        <v>06,24</v>
      </c>
      <c r="L2129" s="75" t="s">
        <v>265</v>
      </c>
      <c r="M2129" s="75">
        <v>17201.560000000001</v>
      </c>
      <c r="N2129" s="322">
        <v>0.375</v>
      </c>
    </row>
    <row r="2130" spans="1:14" ht="19.5" hidden="1" thickBot="1" x14ac:dyDescent="0.3">
      <c r="A2130" s="731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7"/>
        <v>06,24</v>
      </c>
      <c r="L2130" s="82" t="s">
        <v>28</v>
      </c>
      <c r="M2130" s="82">
        <v>2209.3200000000002</v>
      </c>
      <c r="N2130" s="319">
        <v>0.41666666666666702</v>
      </c>
    </row>
    <row r="2131" spans="1:14" ht="19.5" hidden="1" thickBot="1" x14ac:dyDescent="0.3">
      <c r="A2131" s="731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7"/>
        <v>06,24</v>
      </c>
      <c r="L2131" s="107" t="s">
        <v>28</v>
      </c>
      <c r="M2131" s="107">
        <v>15365.16</v>
      </c>
      <c r="N2131" s="321">
        <v>0.41666666666666702</v>
      </c>
    </row>
    <row r="2132" spans="1:14" ht="19.5" hidden="1" thickBot="1" x14ac:dyDescent="0.3">
      <c r="A2132" s="732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7"/>
        <v>06,24</v>
      </c>
      <c r="L2132" s="48" t="s">
        <v>28</v>
      </c>
      <c r="M2132" s="48">
        <v>16019.04</v>
      </c>
      <c r="N2132" s="315">
        <v>0.45833333333333298</v>
      </c>
    </row>
    <row r="2133" spans="1:14" ht="19.5" hidden="1" thickBot="1" x14ac:dyDescent="0.3">
      <c r="A2133" s="732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7"/>
        <v>06,24</v>
      </c>
      <c r="L2133" s="31" t="s">
        <v>28</v>
      </c>
      <c r="M2133" s="31">
        <v>1521.6</v>
      </c>
      <c r="N2133" s="316">
        <v>0.45833333333333298</v>
      </c>
    </row>
    <row r="2134" spans="1:14" ht="19.5" hidden="1" thickBot="1" x14ac:dyDescent="0.3">
      <c r="A2134" s="731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7"/>
        <v>06,24</v>
      </c>
      <c r="L2134" s="82" t="s">
        <v>28</v>
      </c>
      <c r="M2134" s="82">
        <v>7656.11</v>
      </c>
      <c r="N2134" s="319">
        <v>0.5</v>
      </c>
    </row>
    <row r="2135" spans="1:14" ht="19.5" hidden="1" thickBot="1" x14ac:dyDescent="0.3">
      <c r="A2135" s="731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7"/>
        <v>06,24</v>
      </c>
      <c r="L2135" s="107" t="s">
        <v>28</v>
      </c>
      <c r="M2135" s="107">
        <v>10000.219999999999</v>
      </c>
      <c r="N2135" s="321">
        <v>0.5</v>
      </c>
    </row>
    <row r="2136" spans="1:14" ht="19.5" hidden="1" thickBot="1" x14ac:dyDescent="0.3">
      <c r="A2136" s="111">
        <f t="shared" ref="A2136:A2141" si="49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7"/>
        <v>06,24</v>
      </c>
      <c r="L2136" s="75" t="s">
        <v>28</v>
      </c>
      <c r="M2136" s="75">
        <v>18154.3</v>
      </c>
      <c r="N2136" s="322">
        <v>0.54166666666666696</v>
      </c>
    </row>
    <row r="2137" spans="1:14" ht="19.5" hidden="1" thickBot="1" x14ac:dyDescent="0.3">
      <c r="A2137" s="110">
        <f t="shared" si="49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7"/>
        <v>06,24</v>
      </c>
      <c r="L2137" s="40" t="s">
        <v>266</v>
      </c>
      <c r="M2137" s="40">
        <v>6244.56</v>
      </c>
      <c r="N2137" s="317">
        <v>0.375</v>
      </c>
    </row>
    <row r="2138" spans="1:14" ht="19.5" hidden="1" thickBot="1" x14ac:dyDescent="0.3">
      <c r="A2138" s="111">
        <f t="shared" si="49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7"/>
        <v>07,24</v>
      </c>
      <c r="L2138" s="75" t="s">
        <v>266</v>
      </c>
      <c r="M2138" s="75">
        <v>13567.04</v>
      </c>
      <c r="N2138" s="322">
        <v>0.375</v>
      </c>
    </row>
    <row r="2139" spans="1:14" ht="19.5" hidden="1" thickBot="1" x14ac:dyDescent="0.3">
      <c r="A2139" s="110">
        <f t="shared" si="49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7"/>
        <v>06,24</v>
      </c>
      <c r="L2139" s="40" t="s">
        <v>265</v>
      </c>
      <c r="M2139" s="40">
        <v>17295.16</v>
      </c>
      <c r="N2139" s="317">
        <v>0.375</v>
      </c>
    </row>
    <row r="2140" spans="1:14" ht="57" hidden="1" thickBot="1" x14ac:dyDescent="0.3">
      <c r="A2140" s="111">
        <f t="shared" si="49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7"/>
        <v>06,24</v>
      </c>
      <c r="L2140" s="75" t="s">
        <v>266</v>
      </c>
      <c r="M2140" s="75">
        <v>17299.53</v>
      </c>
      <c r="N2140" s="322">
        <v>0.41666666666666702</v>
      </c>
    </row>
    <row r="2141" spans="1:14" ht="38.25" hidden="1" thickBot="1" x14ac:dyDescent="0.3">
      <c r="A2141" s="731">
        <f t="shared" si="49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7"/>
        <v>06,24</v>
      </c>
      <c r="L2141" s="82" t="s">
        <v>28</v>
      </c>
      <c r="M2141" s="82">
        <v>17802.54</v>
      </c>
      <c r="N2141" s="319">
        <v>0.45833333333333298</v>
      </c>
    </row>
    <row r="2142" spans="1:14" ht="38.25" hidden="1" thickBot="1" x14ac:dyDescent="0.3">
      <c r="A2142" s="731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7"/>
        <v>06,24</v>
      </c>
      <c r="L2142" s="107" t="s">
        <v>28</v>
      </c>
      <c r="M2142" s="107">
        <v>140.4</v>
      </c>
      <c r="N2142" s="321">
        <v>0.45833333333333298</v>
      </c>
    </row>
    <row r="2143" spans="1:14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7"/>
        <v>07,24</v>
      </c>
      <c r="L2143" s="75" t="s">
        <v>265</v>
      </c>
      <c r="M2143" s="75">
        <v>17238.86</v>
      </c>
      <c r="N2143" s="322">
        <v>0.375</v>
      </c>
    </row>
    <row r="2144" spans="1:14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7"/>
        <v>07,24</v>
      </c>
      <c r="L2144" s="40" t="s">
        <v>266</v>
      </c>
      <c r="M2144" s="40">
        <v>17986.2</v>
      </c>
      <c r="N2144" s="317">
        <v>0.41666666666666702</v>
      </c>
    </row>
    <row r="2145" spans="1:14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7"/>
        <v>07,24</v>
      </c>
      <c r="L2145" s="75" t="s">
        <v>266</v>
      </c>
      <c r="M2145" s="409">
        <v>15694.88</v>
      </c>
      <c r="N2145" s="322">
        <v>0.45833333333333298</v>
      </c>
    </row>
    <row r="2146" spans="1:14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7"/>
        <v>07,24</v>
      </c>
      <c r="L2146" s="40" t="s">
        <v>28</v>
      </c>
      <c r="M2146" s="40">
        <v>17337.18</v>
      </c>
      <c r="N2146" s="317">
        <v>0.5</v>
      </c>
    </row>
    <row r="2147" spans="1:14" ht="19.5" hidden="1" thickBot="1" x14ac:dyDescent="0.3">
      <c r="A2147" s="732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7"/>
        <v>07,24</v>
      </c>
      <c r="L2147" s="48" t="s">
        <v>28</v>
      </c>
      <c r="M2147" s="48">
        <v>6559.66</v>
      </c>
      <c r="N2147" s="315">
        <v>0.54166666666666696</v>
      </c>
    </row>
    <row r="2148" spans="1:14" ht="19.5" hidden="1" thickBot="1" x14ac:dyDescent="0.3">
      <c r="A2148" s="732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7"/>
        <v>07,24</v>
      </c>
      <c r="L2148" s="31" t="s">
        <v>28</v>
      </c>
      <c r="M2148" s="31">
        <v>10722.07</v>
      </c>
      <c r="N2148" s="316">
        <v>0.54166666666666696</v>
      </c>
    </row>
    <row r="2149" spans="1:14" ht="19.5" hidden="1" thickBot="1" x14ac:dyDescent="0.3">
      <c r="A2149" s="731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7"/>
        <v>07,24</v>
      </c>
      <c r="L2149" s="82" t="s">
        <v>28</v>
      </c>
      <c r="M2149" s="82">
        <v>6314.16</v>
      </c>
      <c r="N2149" s="319">
        <v>0.58333333333333304</v>
      </c>
    </row>
    <row r="2150" spans="1:14" ht="19.5" hidden="1" thickBot="1" x14ac:dyDescent="0.3">
      <c r="A2150" s="731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7"/>
        <v>07,24</v>
      </c>
      <c r="L2150" s="107" t="s">
        <v>28</v>
      </c>
      <c r="M2150" s="107">
        <v>10986.6</v>
      </c>
      <c r="N2150" s="321">
        <v>0.58333333333333304</v>
      </c>
    </row>
    <row r="2151" spans="1:14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7"/>
        <v>07,24</v>
      </c>
      <c r="L2151" s="75" t="s">
        <v>28</v>
      </c>
      <c r="M2151" s="75">
        <v>12729.6</v>
      </c>
      <c r="N2151" s="322">
        <v>0.33333333333333298</v>
      </c>
    </row>
    <row r="2152" spans="1:14" ht="19.5" hidden="1" thickBot="1" x14ac:dyDescent="0.3">
      <c r="A2152" s="731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7"/>
        <v>07,24</v>
      </c>
      <c r="L2152" s="82" t="s">
        <v>28</v>
      </c>
      <c r="M2152" s="82">
        <v>5285.54</v>
      </c>
      <c r="N2152" s="319">
        <v>0.375</v>
      </c>
    </row>
    <row r="2153" spans="1:14" ht="19.5" hidden="1" thickBot="1" x14ac:dyDescent="0.3">
      <c r="A2153" s="731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7"/>
        <v>07,24</v>
      </c>
      <c r="L2153" s="109" t="s">
        <v>28</v>
      </c>
      <c r="M2153" s="109">
        <v>1546.6</v>
      </c>
      <c r="N2153" s="320">
        <v>0.375</v>
      </c>
    </row>
    <row r="2154" spans="1:14" ht="19.5" hidden="1" thickBot="1" x14ac:dyDescent="0.3">
      <c r="A2154" s="731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7"/>
        <v>07,24</v>
      </c>
      <c r="L2154" s="107" t="s">
        <v>28</v>
      </c>
      <c r="M2154" s="107">
        <v>5042.32</v>
      </c>
      <c r="N2154" s="321">
        <v>0.375</v>
      </c>
    </row>
    <row r="2155" spans="1:14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7"/>
        <v>07,24</v>
      </c>
      <c r="L2155" s="75" t="s">
        <v>265</v>
      </c>
      <c r="M2155" s="75">
        <v>17324.759999999998</v>
      </c>
      <c r="N2155" s="322">
        <v>0.375</v>
      </c>
    </row>
    <row r="2156" spans="1:14" ht="19.5" hidden="1" thickBot="1" x14ac:dyDescent="0.3">
      <c r="A2156" s="731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7"/>
        <v>07,24</v>
      </c>
      <c r="L2156" s="82" t="s">
        <v>28</v>
      </c>
      <c r="M2156" s="82">
        <v>5938.88</v>
      </c>
      <c r="N2156" s="319">
        <v>0.41666666666666702</v>
      </c>
    </row>
    <row r="2157" spans="1:14" ht="19.5" hidden="1" thickBot="1" x14ac:dyDescent="0.3">
      <c r="A2157" s="731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7"/>
        <v>07,24</v>
      </c>
      <c r="L2157" s="107" t="s">
        <v>28</v>
      </c>
      <c r="M2157" s="107">
        <v>11290.84</v>
      </c>
      <c r="N2157" s="321">
        <v>0.41666666666666702</v>
      </c>
    </row>
    <row r="2158" spans="1:14" ht="19.5" hidden="1" thickBot="1" x14ac:dyDescent="0.3">
      <c r="A2158" s="732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7"/>
        <v>07,24</v>
      </c>
      <c r="L2158" s="48" t="s">
        <v>266</v>
      </c>
      <c r="M2158" s="48">
        <v>4301.9799999999996</v>
      </c>
      <c r="N2158" s="315">
        <v>0.375</v>
      </c>
    </row>
    <row r="2159" spans="1:14" ht="19.5" hidden="1" thickBot="1" x14ac:dyDescent="0.3">
      <c r="A2159" s="732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7"/>
        <v>07,24</v>
      </c>
      <c r="L2159" s="71" t="s">
        <v>266</v>
      </c>
      <c r="M2159" s="31">
        <v>13197.8</v>
      </c>
      <c r="N2159" s="323">
        <v>0.375</v>
      </c>
    </row>
    <row r="2160" spans="1:14" ht="19.5" hidden="1" customHeight="1" thickBot="1" x14ac:dyDescent="0.3">
      <c r="A2160" s="743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744" t="s">
        <v>467</v>
      </c>
      <c r="H2160" s="414" t="s">
        <v>515</v>
      </c>
      <c r="I2160" s="415" t="s">
        <v>516</v>
      </c>
      <c r="J2160" s="742" t="s">
        <v>517</v>
      </c>
      <c r="K2160" s="414" t="str">
        <f t="shared" si="47"/>
        <v>07,24</v>
      </c>
      <c r="L2160" s="414" t="s">
        <v>266</v>
      </c>
      <c r="M2160" s="414">
        <v>2167.04</v>
      </c>
      <c r="N2160" s="416">
        <v>0.41666666666666702</v>
      </c>
    </row>
    <row r="2161" spans="1:14" ht="19.5" hidden="1" thickBot="1" x14ac:dyDescent="0.3">
      <c r="A2161" s="743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744"/>
      <c r="H2161" s="421" t="s">
        <v>515</v>
      </c>
      <c r="I2161" s="422" t="s">
        <v>516</v>
      </c>
      <c r="J2161" s="742"/>
      <c r="K2161" s="421" t="str">
        <f t="shared" si="47"/>
        <v>07,24</v>
      </c>
      <c r="L2161" s="421" t="s">
        <v>266</v>
      </c>
      <c r="M2161" s="423">
        <v>1107.5999999999999</v>
      </c>
      <c r="N2161" s="424">
        <v>0.41666666666666702</v>
      </c>
    </row>
    <row r="2162" spans="1:14" ht="19.5" hidden="1" thickBot="1" x14ac:dyDescent="0.3">
      <c r="A2162" s="743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744"/>
      <c r="H2162" s="429" t="s">
        <v>515</v>
      </c>
      <c r="I2162" s="430" t="s">
        <v>516</v>
      </c>
      <c r="J2162" s="742"/>
      <c r="K2162" s="429" t="str">
        <f t="shared" si="47"/>
        <v>07,24</v>
      </c>
      <c r="L2162" s="429" t="s">
        <v>266</v>
      </c>
      <c r="M2162" s="431">
        <v>5129.58</v>
      </c>
      <c r="N2162" s="432">
        <v>0.41666666666666702</v>
      </c>
    </row>
    <row r="2163" spans="1:14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7"/>
        <v>07,24</v>
      </c>
      <c r="L2163" s="75" t="s">
        <v>265</v>
      </c>
      <c r="M2163" s="75">
        <v>13226.04</v>
      </c>
      <c r="N2163" s="322">
        <v>0.375</v>
      </c>
    </row>
    <row r="2164" spans="1:14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7"/>
        <v>07,24</v>
      </c>
      <c r="L2164" s="40" t="s">
        <v>265</v>
      </c>
      <c r="M2164" s="40">
        <v>16728.439999999999</v>
      </c>
      <c r="N2164" s="317">
        <v>0.375</v>
      </c>
    </row>
    <row r="2165" spans="1:14" ht="18.75" hidden="1" customHeight="1" thickBot="1" x14ac:dyDescent="0.3">
      <c r="A2165" s="743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744" t="s">
        <v>467</v>
      </c>
      <c r="H2165" s="414" t="s">
        <v>516</v>
      </c>
      <c r="I2165" s="415" t="s">
        <v>516</v>
      </c>
      <c r="J2165" s="742" t="s">
        <v>517</v>
      </c>
      <c r="K2165" s="414" t="str">
        <f t="shared" si="47"/>
        <v>07,24</v>
      </c>
      <c r="L2165" s="414" t="s">
        <v>266</v>
      </c>
      <c r="M2165" s="414">
        <v>5083.4799999999996</v>
      </c>
      <c r="N2165" s="416">
        <v>0.41666666666666702</v>
      </c>
    </row>
    <row r="2166" spans="1:14" ht="19.5" hidden="1" thickBot="1" x14ac:dyDescent="0.3">
      <c r="A2166" s="743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744"/>
      <c r="H2166" s="429" t="s">
        <v>516</v>
      </c>
      <c r="I2166" s="430" t="s">
        <v>516</v>
      </c>
      <c r="J2166" s="742"/>
      <c r="K2166" s="429" t="str">
        <f t="shared" si="47"/>
        <v>07,24</v>
      </c>
      <c r="L2166" s="431" t="s">
        <v>266</v>
      </c>
      <c r="M2166" s="431">
        <v>3411.6</v>
      </c>
      <c r="N2166" s="432">
        <v>0.41666666666666702</v>
      </c>
    </row>
    <row r="2167" spans="1:14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7"/>
        <v>07,24</v>
      </c>
      <c r="L2167" s="40" t="s">
        <v>265</v>
      </c>
      <c r="M2167" s="40">
        <v>17159.95</v>
      </c>
      <c r="N2167" s="317">
        <v>0.375</v>
      </c>
    </row>
    <row r="2168" spans="1:14" ht="19.5" hidden="1" thickBot="1" x14ac:dyDescent="0.3">
      <c r="A2168" s="732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7"/>
        <v>07,24</v>
      </c>
      <c r="L2168" s="48" t="s">
        <v>28</v>
      </c>
      <c r="M2168" s="48">
        <v>3609.98</v>
      </c>
      <c r="N2168" s="315">
        <v>0.41666666666666702</v>
      </c>
    </row>
    <row r="2169" spans="1:14" ht="19.5" hidden="1" thickBot="1" x14ac:dyDescent="0.3">
      <c r="A2169" s="732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7"/>
        <v>07,24</v>
      </c>
      <c r="L2169" s="56" t="s">
        <v>28</v>
      </c>
      <c r="M2169" s="56">
        <v>10340.36</v>
      </c>
      <c r="N2169" s="318">
        <v>0.41666666666666702</v>
      </c>
    </row>
    <row r="2170" spans="1:14" ht="19.5" hidden="1" thickBot="1" x14ac:dyDescent="0.3">
      <c r="A2170" s="732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7"/>
        <v>07,24</v>
      </c>
      <c r="L2170" s="31" t="s">
        <v>28</v>
      </c>
      <c r="M2170" s="31">
        <v>3686.04</v>
      </c>
      <c r="N2170" s="316">
        <v>0.41666666666666702</v>
      </c>
    </row>
    <row r="2171" spans="1:14" ht="19.5" hidden="1" thickBot="1" x14ac:dyDescent="0.3">
      <c r="A2171" s="731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0">RIGHT(I2171,5)</f>
        <v>07,24</v>
      </c>
      <c r="L2171" s="82" t="s">
        <v>28</v>
      </c>
      <c r="M2171" s="82">
        <v>12690.02</v>
      </c>
      <c r="N2171" s="319">
        <v>0.45833333333333298</v>
      </c>
    </row>
    <row r="2172" spans="1:14" ht="19.5" hidden="1" thickBot="1" x14ac:dyDescent="0.3">
      <c r="A2172" s="731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0"/>
        <v>07,24</v>
      </c>
      <c r="L2172" s="107" t="s">
        <v>28</v>
      </c>
      <c r="M2172" s="107">
        <v>4687.5600000000004</v>
      </c>
      <c r="N2172" s="321">
        <v>0.45833333333333298</v>
      </c>
    </row>
    <row r="2173" spans="1:14" ht="19.5" hidden="1" thickBot="1" x14ac:dyDescent="0.3">
      <c r="A2173" s="111">
        <f t="shared" ref="A2173:A2179" si="51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0"/>
        <v>07,24</v>
      </c>
      <c r="L2173" s="75" t="s">
        <v>265</v>
      </c>
      <c r="M2173" s="75">
        <v>14416.08</v>
      </c>
      <c r="N2173" s="322">
        <v>0.375</v>
      </c>
    </row>
    <row r="2174" spans="1:14" ht="19.5" hidden="1" thickBot="1" x14ac:dyDescent="0.3">
      <c r="A2174" s="110">
        <f t="shared" si="51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0"/>
        <v>07,24</v>
      </c>
      <c r="L2174" s="40" t="s">
        <v>28</v>
      </c>
      <c r="M2174" s="40">
        <v>12638.64</v>
      </c>
      <c r="N2174" s="317">
        <v>0.41666666666666702</v>
      </c>
    </row>
    <row r="2175" spans="1:14" ht="19.5" hidden="1" thickBot="1" x14ac:dyDescent="0.3">
      <c r="A2175" s="111">
        <f t="shared" si="51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0"/>
        <v>07,24</v>
      </c>
      <c r="L2175" s="75" t="s">
        <v>265</v>
      </c>
      <c r="M2175" s="75">
        <v>17637.400000000001</v>
      </c>
      <c r="N2175" s="322">
        <v>0.375</v>
      </c>
    </row>
    <row r="2176" spans="1:14" ht="19.5" hidden="1" thickBot="1" x14ac:dyDescent="0.3">
      <c r="A2176" s="110">
        <f t="shared" si="51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0"/>
        <v>07,24</v>
      </c>
      <c r="L2176" s="40" t="s">
        <v>266</v>
      </c>
      <c r="M2176" s="40">
        <v>15230.1</v>
      </c>
      <c r="N2176" s="317">
        <v>0.41666666666666702</v>
      </c>
    </row>
    <row r="2177" spans="1:14" ht="19.5" hidden="1" thickBot="1" x14ac:dyDescent="0.3">
      <c r="A2177" s="111">
        <f t="shared" si="51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0"/>
        <v>07,24</v>
      </c>
      <c r="L2177" s="75" t="s">
        <v>265</v>
      </c>
      <c r="M2177" s="75">
        <v>17636.599999999999</v>
      </c>
      <c r="N2177" s="322">
        <v>0.375</v>
      </c>
    </row>
    <row r="2178" spans="1:14" ht="38.25" hidden="1" thickBot="1" x14ac:dyDescent="0.3">
      <c r="A2178" s="110">
        <f t="shared" si="51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0"/>
        <v>07,24</v>
      </c>
      <c r="L2178" s="40" t="s">
        <v>266</v>
      </c>
      <c r="M2178" s="40">
        <v>16935.75</v>
      </c>
      <c r="N2178" s="317">
        <v>0.41666666666666702</v>
      </c>
    </row>
    <row r="2179" spans="1:14" ht="19.5" hidden="1" thickBot="1" x14ac:dyDescent="0.3">
      <c r="A2179" s="732">
        <f t="shared" si="51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0"/>
        <v>07,24</v>
      </c>
      <c r="L2179" s="48" t="s">
        <v>28</v>
      </c>
      <c r="M2179" s="48">
        <v>11358.82</v>
      </c>
      <c r="N2179" s="315">
        <v>0.45833333333333298</v>
      </c>
    </row>
    <row r="2180" spans="1:14" ht="19.5" hidden="1" thickBot="1" x14ac:dyDescent="0.3">
      <c r="A2180" s="732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0"/>
        <v>07,24</v>
      </c>
      <c r="L2180" s="31" t="s">
        <v>28</v>
      </c>
      <c r="M2180" s="31">
        <v>6137.76</v>
      </c>
      <c r="N2180" s="316">
        <v>0.45833333333333298</v>
      </c>
    </row>
    <row r="2181" spans="1:14" ht="19.5" hidden="1" thickBot="1" x14ac:dyDescent="0.3">
      <c r="A2181" s="731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0"/>
        <v>07,24</v>
      </c>
      <c r="L2181" s="82" t="s">
        <v>28</v>
      </c>
      <c r="M2181" s="82">
        <v>3787.72</v>
      </c>
      <c r="N2181" s="319">
        <v>0.5</v>
      </c>
    </row>
    <row r="2182" spans="1:14" ht="19.5" hidden="1" thickBot="1" x14ac:dyDescent="0.3">
      <c r="A2182" s="731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0"/>
        <v>07,24</v>
      </c>
      <c r="L2182" s="107" t="s">
        <v>28</v>
      </c>
      <c r="M2182" s="107">
        <v>13659.94</v>
      </c>
      <c r="N2182" s="321">
        <v>0.5</v>
      </c>
    </row>
    <row r="2183" spans="1:14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0"/>
        <v>07,24</v>
      </c>
      <c r="L2183" s="75" t="s">
        <v>28</v>
      </c>
      <c r="M2183" s="75">
        <v>10244.64</v>
      </c>
      <c r="N2183" s="322">
        <v>0.54166666666666696</v>
      </c>
    </row>
    <row r="2184" spans="1:14" ht="19.5" hidden="1" thickBot="1" x14ac:dyDescent="0.3">
      <c r="A2184" s="731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0"/>
        <v>07,24</v>
      </c>
      <c r="L2184" s="82" t="s">
        <v>28</v>
      </c>
      <c r="M2184" s="82">
        <v>6405.12</v>
      </c>
      <c r="N2184" s="319">
        <v>0.375</v>
      </c>
    </row>
    <row r="2185" spans="1:14" ht="19.5" hidden="1" thickBot="1" x14ac:dyDescent="0.3">
      <c r="A2185" s="731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0"/>
        <v>07,24</v>
      </c>
      <c r="L2185" s="107" t="s">
        <v>28</v>
      </c>
      <c r="M2185" s="107">
        <v>7447.92</v>
      </c>
      <c r="N2185" s="321">
        <v>0.375</v>
      </c>
    </row>
    <row r="2186" spans="1:14" ht="38.25" hidden="1" customHeight="1" thickBot="1" x14ac:dyDescent="0.3">
      <c r="A2186" s="732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737" t="s">
        <v>522</v>
      </c>
      <c r="H2186" s="48" t="s">
        <v>520</v>
      </c>
      <c r="I2186" s="163" t="s">
        <v>520</v>
      </c>
      <c r="J2186" s="52"/>
      <c r="K2186" s="48" t="str">
        <f t="shared" si="50"/>
        <v>07,24</v>
      </c>
      <c r="L2186" s="48" t="s">
        <v>28</v>
      </c>
      <c r="M2186" s="48">
        <v>6340.8</v>
      </c>
      <c r="N2186" s="315">
        <v>0.41666666666666702</v>
      </c>
    </row>
    <row r="2187" spans="1:14" ht="38.25" hidden="1" customHeight="1" thickBot="1" x14ac:dyDescent="0.3">
      <c r="A2187" s="732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737"/>
      <c r="H2187" s="31" t="s">
        <v>520</v>
      </c>
      <c r="I2187" s="189" t="s">
        <v>520</v>
      </c>
      <c r="J2187" s="35"/>
      <c r="K2187" s="31" t="str">
        <f t="shared" si="50"/>
        <v>07,24</v>
      </c>
      <c r="L2187" s="31" t="s">
        <v>28</v>
      </c>
      <c r="M2187" s="31">
        <v>4758</v>
      </c>
      <c r="N2187" s="316">
        <v>0.41666666666666702</v>
      </c>
    </row>
    <row r="2188" spans="1:14" ht="19.5" hidden="1" thickBot="1" x14ac:dyDescent="0.3">
      <c r="A2188" s="110">
        <f t="shared" ref="A2188:A2193" si="52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0"/>
        <v>07,24</v>
      </c>
      <c r="L2188" s="40" t="s">
        <v>265</v>
      </c>
      <c r="M2188" s="40">
        <v>17262.849999999999</v>
      </c>
      <c r="N2188" s="317">
        <v>0.375</v>
      </c>
    </row>
    <row r="2189" spans="1:14" ht="19.5" hidden="1" thickBot="1" x14ac:dyDescent="0.3">
      <c r="A2189" s="111">
        <f t="shared" si="52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0"/>
        <v>07,24</v>
      </c>
      <c r="L2189" s="75" t="s">
        <v>266</v>
      </c>
      <c r="M2189" s="75">
        <v>18045.97</v>
      </c>
      <c r="N2189" s="322">
        <v>0.5</v>
      </c>
    </row>
    <row r="2190" spans="1:14" ht="19.5" hidden="1" thickBot="1" x14ac:dyDescent="0.3">
      <c r="A2190" s="110">
        <f t="shared" si="52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0"/>
        <v>07,24</v>
      </c>
      <c r="L2190" s="40" t="s">
        <v>266</v>
      </c>
      <c r="M2190" s="40">
        <v>17991.64</v>
      </c>
      <c r="N2190" s="317">
        <v>0.375</v>
      </c>
    </row>
    <row r="2191" spans="1:14" ht="19.5" hidden="1" thickBot="1" x14ac:dyDescent="0.3">
      <c r="A2191" s="111">
        <f t="shared" si="52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0"/>
        <v>07,24</v>
      </c>
      <c r="L2191" s="75" t="s">
        <v>266</v>
      </c>
      <c r="M2191" s="75">
        <v>17902.990000000002</v>
      </c>
      <c r="N2191" s="322">
        <v>0.41666666666666702</v>
      </c>
    </row>
    <row r="2192" spans="1:14" ht="19.5" hidden="1" thickBot="1" x14ac:dyDescent="0.3">
      <c r="A2192" s="110">
        <f t="shared" si="52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0"/>
        <v>07,24</v>
      </c>
      <c r="L2192" s="40" t="s">
        <v>266</v>
      </c>
      <c r="M2192" s="40">
        <v>18021.96</v>
      </c>
      <c r="N2192" s="317">
        <v>0.45833333333333298</v>
      </c>
    </row>
    <row r="2193" spans="1:14" ht="19.5" hidden="1" thickBot="1" x14ac:dyDescent="0.3">
      <c r="A2193" s="732">
        <f t="shared" si="52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0"/>
        <v>07,24</v>
      </c>
      <c r="L2193" s="48" t="s">
        <v>266</v>
      </c>
      <c r="M2193" s="48">
        <v>3819.66</v>
      </c>
      <c r="N2193" s="315">
        <v>0.5</v>
      </c>
    </row>
    <row r="2194" spans="1:14" ht="19.5" hidden="1" thickBot="1" x14ac:dyDescent="0.3">
      <c r="A2194" s="732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0"/>
        <v>07,24</v>
      </c>
      <c r="L2194" s="23" t="s">
        <v>266</v>
      </c>
      <c r="M2194" s="56">
        <v>7073.52</v>
      </c>
      <c r="N2194" s="318">
        <v>0.5</v>
      </c>
    </row>
    <row r="2195" spans="1:14" ht="19.5" hidden="1" thickBot="1" x14ac:dyDescent="0.3">
      <c r="A2195" s="732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0"/>
        <v>07,24</v>
      </c>
      <c r="L2195" s="71" t="s">
        <v>266</v>
      </c>
      <c r="M2195" s="31">
        <v>6177.46</v>
      </c>
      <c r="N2195" s="316">
        <v>0.5</v>
      </c>
    </row>
    <row r="2196" spans="1:14" ht="19.5" hidden="1" customHeight="1" thickBot="1" x14ac:dyDescent="0.3">
      <c r="A2196" s="731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734" t="s">
        <v>467</v>
      </c>
      <c r="H2196" s="82" t="s">
        <v>525</v>
      </c>
      <c r="I2196" s="147" t="s">
        <v>525</v>
      </c>
      <c r="J2196" s="86"/>
      <c r="K2196" s="82" t="str">
        <f t="shared" si="50"/>
        <v>07,24</v>
      </c>
      <c r="L2196" s="82" t="s">
        <v>266</v>
      </c>
      <c r="M2196" s="82">
        <v>4888.08</v>
      </c>
      <c r="N2196" s="319">
        <v>0.54166666666666696</v>
      </c>
    </row>
    <row r="2197" spans="1:14" ht="19.5" hidden="1" thickBot="1" x14ac:dyDescent="0.3">
      <c r="A2197" s="731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734"/>
      <c r="H2197" s="90" t="s">
        <v>525</v>
      </c>
      <c r="I2197" s="172" t="s">
        <v>525</v>
      </c>
      <c r="J2197" s="173"/>
      <c r="K2197" s="90" t="str">
        <f t="shared" si="50"/>
        <v>07,24</v>
      </c>
      <c r="L2197" s="90" t="s">
        <v>266</v>
      </c>
      <c r="M2197" s="107">
        <v>3510</v>
      </c>
      <c r="N2197" s="321">
        <v>0.54166666666666696</v>
      </c>
    </row>
    <row r="2198" spans="1:14" ht="19.5" hidden="1" thickBot="1" x14ac:dyDescent="0.3">
      <c r="A2198" s="111">
        <f t="shared" ref="A2198:A2206" si="53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0"/>
        <v>07,24</v>
      </c>
      <c r="L2198" s="75" t="s">
        <v>265</v>
      </c>
      <c r="M2198" s="75">
        <v>13084</v>
      </c>
      <c r="N2198" s="322">
        <v>0.375</v>
      </c>
    </row>
    <row r="2199" spans="1:14" ht="19.5" hidden="1" thickBot="1" x14ac:dyDescent="0.3">
      <c r="A2199" s="110">
        <f t="shared" si="53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0"/>
        <v>07,24</v>
      </c>
      <c r="L2199" s="40" t="s">
        <v>265</v>
      </c>
      <c r="M2199" s="40">
        <v>17195.36</v>
      </c>
      <c r="N2199" s="317">
        <v>0.375</v>
      </c>
    </row>
    <row r="2200" spans="1:14" ht="19.5" hidden="1" thickBot="1" x14ac:dyDescent="0.3">
      <c r="A2200" s="111">
        <f t="shared" si="53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0"/>
        <v>07,24</v>
      </c>
      <c r="L2200" s="75" t="s">
        <v>266</v>
      </c>
      <c r="M2200" s="75">
        <v>15810.92</v>
      </c>
      <c r="N2200" s="322">
        <v>0.41666666666666702</v>
      </c>
    </row>
    <row r="2201" spans="1:14" ht="19.5" hidden="1" thickBot="1" x14ac:dyDescent="0.3">
      <c r="A2201" s="110">
        <f t="shared" si="53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0"/>
        <v>07,24</v>
      </c>
      <c r="L2201" s="40" t="s">
        <v>265</v>
      </c>
      <c r="M2201" s="40">
        <v>17049.34</v>
      </c>
      <c r="N2201" s="317">
        <v>0.33333333333333298</v>
      </c>
    </row>
    <row r="2202" spans="1:14" ht="19.5" hidden="1" thickBot="1" x14ac:dyDescent="0.3">
      <c r="A2202" s="111">
        <f t="shared" si="53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0"/>
        <v>07,24</v>
      </c>
      <c r="L2202" s="75" t="s">
        <v>265</v>
      </c>
      <c r="M2202" s="75">
        <v>17114.14</v>
      </c>
      <c r="N2202" s="322">
        <v>0.375</v>
      </c>
    </row>
    <row r="2203" spans="1:14" ht="57" hidden="1" thickBot="1" x14ac:dyDescent="0.3">
      <c r="A2203" s="110">
        <f t="shared" si="53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0"/>
        <v>07,24</v>
      </c>
      <c r="L2203" s="40" t="s">
        <v>266</v>
      </c>
      <c r="M2203" s="40">
        <v>17292.240000000002</v>
      </c>
      <c r="N2203" s="317">
        <v>0.41666666666666702</v>
      </c>
    </row>
    <row r="2204" spans="1:14" ht="38.25" hidden="1" thickBot="1" x14ac:dyDescent="0.3">
      <c r="A2204" s="111">
        <f t="shared" si="53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0"/>
        <v>07,24</v>
      </c>
      <c r="L2204" s="75" t="s">
        <v>266</v>
      </c>
      <c r="M2204" s="75">
        <v>17517.48</v>
      </c>
      <c r="N2204" s="322">
        <v>0.45833333333333298</v>
      </c>
    </row>
    <row r="2205" spans="1:14" ht="19.5" hidden="1" thickBot="1" x14ac:dyDescent="0.3">
      <c r="A2205" s="110">
        <f t="shared" si="53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0"/>
        <v>07,24</v>
      </c>
      <c r="L2205" s="40" t="s">
        <v>28</v>
      </c>
      <c r="M2205" s="40">
        <v>17225.150000000001</v>
      </c>
      <c r="N2205" s="317">
        <v>0.5</v>
      </c>
    </row>
    <row r="2206" spans="1:14" ht="19.5" hidden="1" customHeight="1" thickBot="1" x14ac:dyDescent="0.3">
      <c r="A2206" s="732">
        <f t="shared" si="53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745" t="s">
        <v>528</v>
      </c>
      <c r="K2206" s="48" t="str">
        <f t="shared" si="50"/>
        <v>07,24</v>
      </c>
      <c r="L2206" s="48" t="s">
        <v>28</v>
      </c>
      <c r="M2206" s="48">
        <v>4417.4799999999996</v>
      </c>
      <c r="N2206" s="315">
        <v>0.54166666666666696</v>
      </c>
    </row>
    <row r="2207" spans="1:14" ht="19.5" hidden="1" thickBot="1" x14ac:dyDescent="0.3">
      <c r="A2207" s="732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745"/>
      <c r="K2207" s="71" t="str">
        <f t="shared" si="50"/>
        <v>07,24</v>
      </c>
      <c r="L2207" s="31" t="s">
        <v>28</v>
      </c>
      <c r="M2207" s="31">
        <v>10048.84</v>
      </c>
      <c r="N2207" s="316">
        <v>0.54166666666666696</v>
      </c>
    </row>
    <row r="2208" spans="1:14" ht="19.5" hidden="1" customHeight="1" thickBot="1" x14ac:dyDescent="0.3">
      <c r="A2208" s="731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746" t="s">
        <v>528</v>
      </c>
      <c r="K2208" s="82" t="str">
        <f t="shared" si="50"/>
        <v>07,24</v>
      </c>
      <c r="L2208" s="82" t="s">
        <v>28</v>
      </c>
      <c r="M2208" s="82">
        <v>6531.72</v>
      </c>
      <c r="N2208" s="319">
        <v>0.58333333333333304</v>
      </c>
    </row>
    <row r="2209" spans="1:14" ht="19.5" hidden="1" thickBot="1" x14ac:dyDescent="0.3">
      <c r="A2209" s="731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746"/>
      <c r="K2209" s="90" t="str">
        <f t="shared" si="50"/>
        <v>07,24</v>
      </c>
      <c r="L2209" s="107" t="s">
        <v>28</v>
      </c>
      <c r="M2209" s="107">
        <v>10949.04</v>
      </c>
      <c r="N2209" s="321">
        <v>0.58333333333333304</v>
      </c>
    </row>
    <row r="2210" spans="1:14" ht="19.5" hidden="1" thickBot="1" x14ac:dyDescent="0.3">
      <c r="A2210" s="111">
        <f t="shared" ref="A2210:A2216" si="54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0"/>
        <v>07,24</v>
      </c>
      <c r="L2210" s="75" t="s">
        <v>265</v>
      </c>
      <c r="M2210" s="75">
        <v>13432.92</v>
      </c>
      <c r="N2210" s="322">
        <v>0.375</v>
      </c>
    </row>
    <row r="2211" spans="1:14" ht="19.5" hidden="1" thickBot="1" x14ac:dyDescent="0.3">
      <c r="A2211" s="110">
        <f t="shared" si="54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0"/>
        <v>07,24</v>
      </c>
      <c r="L2211" s="40" t="s">
        <v>266</v>
      </c>
      <c r="M2211" s="40">
        <v>4543.96</v>
      </c>
      <c r="N2211" s="317">
        <v>0.41666666666666702</v>
      </c>
    </row>
    <row r="2212" spans="1:14" ht="19.5" hidden="1" thickBot="1" x14ac:dyDescent="0.3">
      <c r="A2212" s="111">
        <f t="shared" si="54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0"/>
        <v>07,24</v>
      </c>
      <c r="L2212" s="75" t="s">
        <v>265</v>
      </c>
      <c r="M2212" s="75">
        <v>17267.12</v>
      </c>
      <c r="N2212" s="322">
        <v>0.375</v>
      </c>
    </row>
    <row r="2213" spans="1:14" ht="19.5" hidden="1" thickBot="1" x14ac:dyDescent="0.3">
      <c r="A2213" s="110">
        <f t="shared" si="54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0"/>
        <v>07,24</v>
      </c>
      <c r="L2213" s="40" t="s">
        <v>28</v>
      </c>
      <c r="M2213" s="40">
        <v>17732.82</v>
      </c>
      <c r="N2213" s="317">
        <v>0.41666666666666702</v>
      </c>
    </row>
    <row r="2214" spans="1:14" ht="19.5" hidden="1" thickBot="1" x14ac:dyDescent="0.3">
      <c r="A2214" s="111">
        <f t="shared" si="54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0"/>
        <v>07,24</v>
      </c>
      <c r="L2214" s="75" t="s">
        <v>265</v>
      </c>
      <c r="M2214" s="75">
        <v>17294.259999999998</v>
      </c>
      <c r="N2214" s="322">
        <v>0.375</v>
      </c>
    </row>
    <row r="2215" spans="1:14" ht="19.5" hidden="1" thickBot="1" x14ac:dyDescent="0.3">
      <c r="A2215" s="110">
        <f t="shared" si="54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0"/>
        <v>07,24</v>
      </c>
      <c r="L2215" s="40" t="s">
        <v>266</v>
      </c>
      <c r="M2215" s="40">
        <v>15703.5</v>
      </c>
      <c r="N2215" s="317">
        <v>0.41666666666666702</v>
      </c>
    </row>
    <row r="2216" spans="1:14" ht="19.5" hidden="1" thickBot="1" x14ac:dyDescent="0.3">
      <c r="A2216" s="732">
        <f t="shared" si="54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0"/>
        <v>07,24</v>
      </c>
      <c r="L2216" s="48" t="s">
        <v>28</v>
      </c>
      <c r="M2216" s="48">
        <v>2337.06</v>
      </c>
      <c r="N2216" s="315">
        <v>0.45833333333333298</v>
      </c>
    </row>
    <row r="2217" spans="1:14" ht="19.5" hidden="1" thickBot="1" x14ac:dyDescent="0.3">
      <c r="A2217" s="732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0"/>
        <v>07,24</v>
      </c>
      <c r="L2217" s="56" t="s">
        <v>28</v>
      </c>
      <c r="M2217" s="56">
        <v>1803.96</v>
      </c>
      <c r="N2217" s="318">
        <v>0.45833333333333298</v>
      </c>
    </row>
    <row r="2218" spans="1:14" ht="19.5" hidden="1" thickBot="1" x14ac:dyDescent="0.3">
      <c r="A2218" s="732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0"/>
        <v>07,24</v>
      </c>
      <c r="L2218" s="56" t="s">
        <v>28</v>
      </c>
      <c r="M2218" s="56">
        <v>5278.14</v>
      </c>
      <c r="N2218" s="318">
        <v>0.45833333333333298</v>
      </c>
    </row>
    <row r="2219" spans="1:14" ht="19.5" hidden="1" thickBot="1" x14ac:dyDescent="0.3">
      <c r="A2219" s="732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0"/>
        <v>07,24</v>
      </c>
      <c r="L2219" s="31" t="s">
        <v>28</v>
      </c>
      <c r="M2219" s="31">
        <v>7875.9</v>
      </c>
      <c r="N2219" s="316">
        <v>0.45833333333333298</v>
      </c>
    </row>
    <row r="2220" spans="1:14" ht="19.5" hidden="1" thickBot="1" x14ac:dyDescent="0.3">
      <c r="A2220" s="731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0"/>
        <v>07,24</v>
      </c>
      <c r="L2220" s="82" t="s">
        <v>28</v>
      </c>
      <c r="M2220" s="82">
        <v>6537.51</v>
      </c>
      <c r="N2220" s="319">
        <v>0.5</v>
      </c>
    </row>
    <row r="2221" spans="1:14" ht="19.5" hidden="1" thickBot="1" x14ac:dyDescent="0.3">
      <c r="A2221" s="731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0"/>
        <v>07,24</v>
      </c>
      <c r="L2221" s="107" t="s">
        <v>28</v>
      </c>
      <c r="M2221" s="107">
        <v>11173.77</v>
      </c>
      <c r="N2221" s="321">
        <v>0.5</v>
      </c>
    </row>
    <row r="2222" spans="1:14" ht="19.5" hidden="1" thickBot="1" x14ac:dyDescent="0.3">
      <c r="A2222" s="732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0"/>
        <v>07,24</v>
      </c>
      <c r="L2222" s="48" t="s">
        <v>28</v>
      </c>
      <c r="M2222" s="48">
        <v>9334.56</v>
      </c>
      <c r="N2222" s="315">
        <v>0.375</v>
      </c>
    </row>
    <row r="2223" spans="1:14" ht="19.5" hidden="1" thickBot="1" x14ac:dyDescent="0.3">
      <c r="A2223" s="732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0"/>
        <v>07,24</v>
      </c>
      <c r="L2223" s="31" t="s">
        <v>28</v>
      </c>
      <c r="M2223" s="31">
        <v>3627.08</v>
      </c>
      <c r="N2223" s="316">
        <v>0.375</v>
      </c>
    </row>
    <row r="2224" spans="1:14" ht="19.5" hidden="1" thickBot="1" x14ac:dyDescent="0.3">
      <c r="A2224" s="731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0"/>
        <v>07,24</v>
      </c>
      <c r="L2224" s="82" t="s">
        <v>28</v>
      </c>
      <c r="M2224" s="82">
        <v>6094.64</v>
      </c>
      <c r="N2224" s="319">
        <v>0.41666666666666702</v>
      </c>
    </row>
    <row r="2225" spans="1:14" ht="19.5" hidden="1" thickBot="1" x14ac:dyDescent="0.3">
      <c r="A2225" s="731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0"/>
        <v>07,24</v>
      </c>
      <c r="L2225" s="107" t="s">
        <v>28</v>
      </c>
      <c r="M2225" s="107">
        <v>6898.92</v>
      </c>
      <c r="N2225" s="321">
        <v>0.41666666666666702</v>
      </c>
    </row>
    <row r="2226" spans="1:14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0"/>
        <v>07,24</v>
      </c>
      <c r="L2226" s="75" t="s">
        <v>265</v>
      </c>
      <c r="M2226" s="75">
        <v>17245.419999999998</v>
      </c>
      <c r="N2226" s="322">
        <v>0.375</v>
      </c>
    </row>
    <row r="2227" spans="1:14" ht="19.5" hidden="1" thickBot="1" x14ac:dyDescent="0.3">
      <c r="A2227" s="731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0"/>
        <v>07,24</v>
      </c>
      <c r="L2227" s="82" t="s">
        <v>28</v>
      </c>
      <c r="M2227" s="82">
        <v>5032.08</v>
      </c>
      <c r="N2227" s="319">
        <v>0.41666666666666702</v>
      </c>
    </row>
    <row r="2228" spans="1:14" ht="19.5" hidden="1" thickBot="1" x14ac:dyDescent="0.3">
      <c r="A2228" s="731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0"/>
        <v>07,24</v>
      </c>
      <c r="L2228" s="109" t="s">
        <v>28</v>
      </c>
      <c r="M2228" s="109">
        <v>8101.32</v>
      </c>
      <c r="N2228" s="320">
        <v>0.41666666666666702</v>
      </c>
    </row>
    <row r="2229" spans="1:14" ht="19.5" hidden="1" thickBot="1" x14ac:dyDescent="0.3">
      <c r="A2229" s="731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0"/>
        <v>07,24</v>
      </c>
      <c r="L2229" s="107" t="s">
        <v>28</v>
      </c>
      <c r="M2229" s="107">
        <v>4057.8</v>
      </c>
      <c r="N2229" s="321">
        <v>0.41666666666666702</v>
      </c>
    </row>
    <row r="2230" spans="1:14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0"/>
        <v>07,24</v>
      </c>
      <c r="L2230" s="75" t="s">
        <v>266</v>
      </c>
      <c r="M2230" s="75">
        <v>18078.96</v>
      </c>
      <c r="N2230" s="322">
        <v>0.375</v>
      </c>
    </row>
    <row r="2231" spans="1:14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0"/>
        <v>07,24</v>
      </c>
      <c r="L2231" s="40" t="s">
        <v>266</v>
      </c>
      <c r="M2231" s="40">
        <v>17677.900000000001</v>
      </c>
      <c r="N2231" s="317">
        <v>0.41666666666666702</v>
      </c>
    </row>
    <row r="2232" spans="1:14" ht="19.5" hidden="1" thickBot="1" x14ac:dyDescent="0.3">
      <c r="A2232" s="732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0"/>
        <v>07,24</v>
      </c>
      <c r="L2232" s="48" t="s">
        <v>266</v>
      </c>
      <c r="M2232" s="48">
        <v>7207.2</v>
      </c>
      <c r="N2232" s="315">
        <v>0.45833333333333298</v>
      </c>
    </row>
    <row r="2233" spans="1:14" ht="19.5" hidden="1" thickBot="1" x14ac:dyDescent="0.3">
      <c r="A2233" s="732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0"/>
        <v>07,24</v>
      </c>
      <c r="L2233" s="23" t="s">
        <v>266</v>
      </c>
      <c r="M2233" s="23">
        <v>4383</v>
      </c>
      <c r="N2233" s="329">
        <v>0.45833333333333298</v>
      </c>
    </row>
    <row r="2234" spans="1:14" ht="19.5" hidden="1" thickBot="1" x14ac:dyDescent="0.3">
      <c r="A2234" s="732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0"/>
        <v>07,24</v>
      </c>
      <c r="L2234" s="71" t="s">
        <v>266</v>
      </c>
      <c r="M2234" s="71">
        <v>5567.02</v>
      </c>
      <c r="N2234" s="323">
        <v>0.45833333333333298</v>
      </c>
    </row>
    <row r="2235" spans="1:14" ht="19.5" hidden="1" thickBot="1" x14ac:dyDescent="0.3">
      <c r="A2235" s="731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5">RIGHT(I2235,5)</f>
        <v>07,24</v>
      </c>
      <c r="L2235" s="82" t="s">
        <v>266</v>
      </c>
      <c r="M2235" s="82">
        <v>5057.2700000000004</v>
      </c>
      <c r="N2235" s="319">
        <v>0.5</v>
      </c>
    </row>
    <row r="2236" spans="1:14" ht="19.5" hidden="1" thickBot="1" x14ac:dyDescent="0.3">
      <c r="A2236" s="731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5"/>
        <v>07,24</v>
      </c>
      <c r="L2236" s="98" t="s">
        <v>266</v>
      </c>
      <c r="M2236" s="98">
        <v>6903</v>
      </c>
      <c r="N2236" s="364">
        <v>0.5</v>
      </c>
    </row>
    <row r="2237" spans="1:14" ht="19.5" hidden="1" thickBot="1" x14ac:dyDescent="0.3">
      <c r="A2237" s="731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5"/>
        <v>07,24</v>
      </c>
      <c r="L2237" s="90" t="s">
        <v>266</v>
      </c>
      <c r="M2237" s="90">
        <v>5254.76</v>
      </c>
      <c r="N2237" s="325">
        <v>0.5</v>
      </c>
    </row>
    <row r="2238" spans="1:14" ht="19.5" hidden="1" thickBot="1" x14ac:dyDescent="0.3">
      <c r="A2238" s="111">
        <f t="shared" ref="A2238:A2244" si="56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5"/>
        <v>07,24</v>
      </c>
      <c r="L2238" s="75" t="s">
        <v>265</v>
      </c>
      <c r="M2238" s="75">
        <v>17101.16</v>
      </c>
      <c r="N2238" s="322">
        <v>0.375</v>
      </c>
    </row>
    <row r="2239" spans="1:14" ht="19.5" hidden="1" thickBot="1" x14ac:dyDescent="0.3">
      <c r="A2239" s="110">
        <f t="shared" si="56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5"/>
        <v>07,24</v>
      </c>
      <c r="L2239" s="40" t="s">
        <v>28</v>
      </c>
      <c r="M2239" s="40">
        <v>15873.24</v>
      </c>
      <c r="N2239" s="317">
        <v>0.41666666666666702</v>
      </c>
    </row>
    <row r="2240" spans="1:14" ht="19.5" hidden="1" thickBot="1" x14ac:dyDescent="0.3">
      <c r="A2240" s="111">
        <f t="shared" si="56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5"/>
        <v>07,24</v>
      </c>
      <c r="L2240" s="75" t="s">
        <v>265</v>
      </c>
      <c r="M2240" s="75">
        <v>12662.8</v>
      </c>
      <c r="N2240" s="322">
        <v>0.375</v>
      </c>
    </row>
    <row r="2241" spans="1:14" ht="19.5" hidden="1" thickBot="1" x14ac:dyDescent="0.3">
      <c r="A2241" s="110">
        <f t="shared" si="56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5"/>
        <v>07,24</v>
      </c>
      <c r="L2241" s="40" t="s">
        <v>265</v>
      </c>
      <c r="M2241" s="40">
        <v>17226.240000000002</v>
      </c>
      <c r="N2241" s="317">
        <v>0.375</v>
      </c>
    </row>
    <row r="2242" spans="1:14" ht="19.5" hidden="1" thickBot="1" x14ac:dyDescent="0.3">
      <c r="A2242" s="111">
        <f t="shared" si="56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5"/>
        <v>07,24</v>
      </c>
      <c r="L2242" s="75" t="s">
        <v>28</v>
      </c>
      <c r="M2242" s="75">
        <v>17291.490000000002</v>
      </c>
      <c r="N2242" s="322">
        <v>0.41666666666666702</v>
      </c>
    </row>
    <row r="2243" spans="1:14" ht="19.5" hidden="1" thickBot="1" x14ac:dyDescent="0.3">
      <c r="A2243" s="110">
        <f t="shared" si="56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5"/>
        <v>07,24</v>
      </c>
      <c r="L2243" s="40" t="s">
        <v>28</v>
      </c>
      <c r="M2243" s="40">
        <v>17280.509999999998</v>
      </c>
      <c r="N2243" s="317">
        <v>0.45833333333333298</v>
      </c>
    </row>
    <row r="2244" spans="1:14" ht="19.5" hidden="1" thickBot="1" x14ac:dyDescent="0.3">
      <c r="A2244" s="732">
        <f t="shared" si="56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5"/>
        <v>07,24</v>
      </c>
      <c r="L2244" s="48" t="s">
        <v>28</v>
      </c>
      <c r="M2244" s="48">
        <v>5201.3999999999996</v>
      </c>
      <c r="N2244" s="315">
        <v>0.5</v>
      </c>
    </row>
    <row r="2245" spans="1:14" ht="19.5" hidden="1" thickBot="1" x14ac:dyDescent="0.3">
      <c r="A2245" s="732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5"/>
        <v>07,24</v>
      </c>
      <c r="L2245" s="71" t="s">
        <v>28</v>
      </c>
      <c r="M2245" s="71">
        <v>11936.58</v>
      </c>
      <c r="N2245" s="323">
        <v>0.5</v>
      </c>
    </row>
    <row r="2246" spans="1:14" ht="19.5" hidden="1" thickBot="1" x14ac:dyDescent="0.3">
      <c r="A2246" s="731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5"/>
        <v>07,24</v>
      </c>
      <c r="L2246" s="82" t="s">
        <v>28</v>
      </c>
      <c r="M2246" s="82">
        <v>7424.74</v>
      </c>
      <c r="N2246" s="319">
        <v>0.54166666666666696</v>
      </c>
    </row>
    <row r="2247" spans="1:14" ht="19.5" hidden="1" thickBot="1" x14ac:dyDescent="0.3">
      <c r="A2247" s="731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5"/>
        <v>07,24</v>
      </c>
      <c r="L2247" s="98" t="s">
        <v>28</v>
      </c>
      <c r="M2247" s="98">
        <v>3647.37</v>
      </c>
      <c r="N2247" s="364">
        <v>0.54166666666666696</v>
      </c>
    </row>
    <row r="2248" spans="1:14" ht="19.5" hidden="1" thickBot="1" x14ac:dyDescent="0.3">
      <c r="A2248" s="731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5"/>
        <v>07,24</v>
      </c>
      <c r="L2248" s="90" t="s">
        <v>28</v>
      </c>
      <c r="M2248" s="90">
        <v>6322.76</v>
      </c>
      <c r="N2248" s="325">
        <v>0.54166666666666696</v>
      </c>
    </row>
    <row r="2249" spans="1:14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5"/>
        <v>07,24</v>
      </c>
      <c r="L2249" s="75" t="s">
        <v>265</v>
      </c>
      <c r="M2249" s="75">
        <v>13304.88</v>
      </c>
      <c r="N2249" s="322">
        <v>0.375</v>
      </c>
    </row>
    <row r="2250" spans="1:14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5"/>
        <v>07,24</v>
      </c>
      <c r="L2250" s="40" t="s">
        <v>265</v>
      </c>
      <c r="M2250" s="40">
        <v>17175.04</v>
      </c>
      <c r="N2250" s="317">
        <v>0.375</v>
      </c>
    </row>
    <row r="2251" spans="1:14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5"/>
        <v>07,24</v>
      </c>
      <c r="L2251" s="75" t="s">
        <v>266</v>
      </c>
      <c r="M2251" s="75">
        <v>17402.099999999999</v>
      </c>
      <c r="N2251" s="322">
        <v>0.41666666666666702</v>
      </c>
    </row>
    <row r="2252" spans="1:14" ht="19.5" hidden="1" thickBot="1" x14ac:dyDescent="0.3">
      <c r="A2252" s="731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5"/>
        <v>07,24</v>
      </c>
      <c r="L2252" s="82" t="s">
        <v>28</v>
      </c>
      <c r="M2252" s="82">
        <v>5119.2</v>
      </c>
      <c r="N2252" s="319">
        <v>0.45833333333333298</v>
      </c>
    </row>
    <row r="2253" spans="1:14" ht="19.5" hidden="1" thickBot="1" x14ac:dyDescent="0.3">
      <c r="A2253" s="731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5"/>
        <v>07,24</v>
      </c>
      <c r="L2253" s="98" t="s">
        <v>28</v>
      </c>
      <c r="M2253" s="98">
        <v>7759.8</v>
      </c>
      <c r="N2253" s="364">
        <v>0.45833333333333298</v>
      </c>
    </row>
    <row r="2254" spans="1:14" ht="19.5" hidden="1" thickBot="1" x14ac:dyDescent="0.3">
      <c r="A2254" s="731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5"/>
        <v>07,24</v>
      </c>
      <c r="L2254" s="90" t="s">
        <v>28</v>
      </c>
      <c r="M2254" s="90">
        <v>4379.04</v>
      </c>
      <c r="N2254" s="325">
        <v>0.45833333333333298</v>
      </c>
    </row>
    <row r="2255" spans="1:14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5"/>
        <v>07,24</v>
      </c>
      <c r="L2255" s="75" t="s">
        <v>265</v>
      </c>
      <c r="M2255" s="75">
        <v>17143.14</v>
      </c>
      <c r="N2255" s="322">
        <v>0.375</v>
      </c>
    </row>
    <row r="2256" spans="1:14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5"/>
        <v>07,24</v>
      </c>
      <c r="L2256" s="40" t="s">
        <v>266</v>
      </c>
      <c r="M2256" s="40">
        <v>17620.5</v>
      </c>
      <c r="N2256" s="317">
        <v>0.41666666666666702</v>
      </c>
    </row>
    <row r="2257" spans="1:14" ht="19.5" hidden="1" thickBot="1" x14ac:dyDescent="0.3">
      <c r="A2257" s="732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5"/>
        <v>07,24</v>
      </c>
      <c r="L2257" s="48" t="s">
        <v>28</v>
      </c>
      <c r="M2257" s="48">
        <v>2935.54</v>
      </c>
      <c r="N2257" s="315">
        <v>0.45833333333333298</v>
      </c>
    </row>
    <row r="2258" spans="1:14" ht="19.5" hidden="1" thickBot="1" x14ac:dyDescent="0.3">
      <c r="A2258" s="732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5"/>
        <v>07,24</v>
      </c>
      <c r="L2258" s="71" t="s">
        <v>28</v>
      </c>
      <c r="M2258" s="71">
        <v>14835.3</v>
      </c>
      <c r="N2258" s="323">
        <v>0.45833333333333298</v>
      </c>
    </row>
    <row r="2259" spans="1:14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5"/>
        <v>07,24</v>
      </c>
      <c r="L2259" s="40" t="s">
        <v>28</v>
      </c>
      <c r="M2259" s="40">
        <v>14152.38</v>
      </c>
      <c r="N2259" s="317">
        <v>0.5</v>
      </c>
    </row>
    <row r="2260" spans="1:14" ht="19.5" hidden="1" thickBot="1" x14ac:dyDescent="0.3">
      <c r="A2260" s="732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5"/>
        <v>07,24</v>
      </c>
      <c r="L2260" s="48" t="s">
        <v>28</v>
      </c>
      <c r="M2260" s="48">
        <v>2823.12</v>
      </c>
      <c r="N2260" s="315">
        <v>0.54166666666666696</v>
      </c>
    </row>
    <row r="2261" spans="1:14" ht="19.5" hidden="1" thickBot="1" x14ac:dyDescent="0.3">
      <c r="A2261" s="732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5"/>
        <v>07,24</v>
      </c>
      <c r="L2261" s="71" t="s">
        <v>28</v>
      </c>
      <c r="M2261" s="71">
        <v>14529.77</v>
      </c>
      <c r="N2261" s="323">
        <v>0.54166666666666696</v>
      </c>
    </row>
    <row r="2262" spans="1:14" ht="19.5" hidden="1" thickBot="1" x14ac:dyDescent="0.3">
      <c r="A2262" s="731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5"/>
        <v>07,24</v>
      </c>
      <c r="L2262" s="82" t="s">
        <v>28</v>
      </c>
      <c r="M2262" s="82">
        <v>8014.24</v>
      </c>
      <c r="N2262" s="319">
        <v>0.58333333333333304</v>
      </c>
    </row>
    <row r="2263" spans="1:14" ht="19.5" hidden="1" thickBot="1" x14ac:dyDescent="0.3">
      <c r="A2263" s="731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5"/>
        <v>07,24</v>
      </c>
      <c r="L2263" s="90" t="s">
        <v>28</v>
      </c>
      <c r="M2263" s="90">
        <v>9700.2000000000007</v>
      </c>
      <c r="N2263" s="325">
        <v>0.58333333333333304</v>
      </c>
    </row>
    <row r="2264" spans="1:14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5"/>
        <v>07,24</v>
      </c>
      <c r="L2264" s="75" t="s">
        <v>265</v>
      </c>
      <c r="M2264" s="75">
        <v>17335.46</v>
      </c>
      <c r="N2264" s="322">
        <v>0.375</v>
      </c>
    </row>
    <row r="2265" spans="1:14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5"/>
        <v>07,24</v>
      </c>
      <c r="L2265" s="40" t="s">
        <v>28</v>
      </c>
      <c r="M2265" s="40">
        <v>13357.52</v>
      </c>
      <c r="N2265" s="317">
        <v>0.375</v>
      </c>
    </row>
    <row r="2266" spans="1:14" ht="19.5" hidden="1" thickBot="1" x14ac:dyDescent="0.3">
      <c r="A2266" s="732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5"/>
        <v>07,24</v>
      </c>
      <c r="L2266" s="48" t="s">
        <v>28</v>
      </c>
      <c r="M2266" s="48">
        <v>2264.6</v>
      </c>
      <c r="N2266" s="315">
        <v>0.41666666666666702</v>
      </c>
    </row>
    <row r="2267" spans="1:14" ht="19.5" hidden="1" thickBot="1" x14ac:dyDescent="0.3">
      <c r="A2267" s="732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5"/>
        <v>07,24</v>
      </c>
      <c r="L2267" s="23" t="s">
        <v>28</v>
      </c>
      <c r="M2267" s="23">
        <v>5157.76</v>
      </c>
      <c r="N2267" s="329">
        <v>0.41666666666666702</v>
      </c>
    </row>
    <row r="2268" spans="1:14" ht="19.5" hidden="1" thickBot="1" x14ac:dyDescent="0.3">
      <c r="A2268" s="732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5"/>
        <v>07,24</v>
      </c>
      <c r="L2268" s="71" t="s">
        <v>28</v>
      </c>
      <c r="M2268" s="71">
        <v>5690.2</v>
      </c>
      <c r="N2268" s="323">
        <v>0.41666666666666702</v>
      </c>
    </row>
    <row r="2269" spans="1:14" ht="19.5" hidden="1" thickBot="1" x14ac:dyDescent="0.3">
      <c r="A2269" s="110">
        <f t="shared" ref="A2269:A2275" si="57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5"/>
        <v>07,24</v>
      </c>
      <c r="L2269" s="40" t="s">
        <v>28</v>
      </c>
      <c r="M2269" s="40">
        <v>13178.48</v>
      </c>
      <c r="N2269" s="317">
        <v>0.375</v>
      </c>
    </row>
    <row r="2270" spans="1:14" ht="19.5" hidden="1" thickBot="1" x14ac:dyDescent="0.3">
      <c r="A2270" s="111">
        <f t="shared" si="57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5"/>
        <v>07,24</v>
      </c>
      <c r="L2270" s="75" t="s">
        <v>266</v>
      </c>
      <c r="M2270" s="75">
        <v>5861.4</v>
      </c>
      <c r="N2270" s="322">
        <v>0.45833333333333298</v>
      </c>
    </row>
    <row r="2271" spans="1:14" ht="19.5" hidden="1" thickBot="1" x14ac:dyDescent="0.3">
      <c r="A2271" s="110">
        <f t="shared" si="57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5"/>
        <v>07,24</v>
      </c>
      <c r="L2271" s="40" t="s">
        <v>266</v>
      </c>
      <c r="M2271" s="40">
        <v>17676.330000000002</v>
      </c>
      <c r="N2271" s="317">
        <v>0.5</v>
      </c>
    </row>
    <row r="2272" spans="1:14" ht="19.5" hidden="1" thickBot="1" x14ac:dyDescent="0.3">
      <c r="A2272" s="111">
        <f t="shared" si="57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5"/>
        <v>07,24</v>
      </c>
      <c r="L2272" s="75" t="s">
        <v>266</v>
      </c>
      <c r="M2272" s="75">
        <v>17777.12</v>
      </c>
      <c r="N2272" s="322">
        <v>0.375</v>
      </c>
    </row>
    <row r="2273" spans="1:14" ht="19.5" hidden="1" thickBot="1" x14ac:dyDescent="0.3">
      <c r="A2273" s="110">
        <f t="shared" si="57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5"/>
        <v>07,24</v>
      </c>
      <c r="L2273" s="40" t="s">
        <v>266</v>
      </c>
      <c r="M2273" s="40">
        <v>17961.599999999999</v>
      </c>
      <c r="N2273" s="317">
        <v>0.41666666666666702</v>
      </c>
    </row>
    <row r="2274" spans="1:14" ht="19.5" hidden="1" thickBot="1" x14ac:dyDescent="0.3">
      <c r="A2274" s="111">
        <f t="shared" si="57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5"/>
        <v>07,24</v>
      </c>
      <c r="L2274" s="75" t="s">
        <v>266</v>
      </c>
      <c r="M2274" s="75">
        <v>18462</v>
      </c>
      <c r="N2274" s="322">
        <v>0.45833333333333298</v>
      </c>
    </row>
    <row r="2275" spans="1:14" ht="19.5" hidden="1" thickBot="1" x14ac:dyDescent="0.3">
      <c r="A2275" s="731">
        <f t="shared" si="57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5"/>
        <v>07,24</v>
      </c>
      <c r="L2275" s="82" t="s">
        <v>266</v>
      </c>
      <c r="M2275" s="82">
        <v>5172.76</v>
      </c>
      <c r="N2275" s="319">
        <v>0.5</v>
      </c>
    </row>
    <row r="2276" spans="1:14" ht="19.5" hidden="1" thickBot="1" x14ac:dyDescent="0.3">
      <c r="A2276" s="731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5"/>
        <v>07,24</v>
      </c>
      <c r="L2276" s="98" t="s">
        <v>266</v>
      </c>
      <c r="M2276" s="98">
        <v>3502.2</v>
      </c>
      <c r="N2276" s="364">
        <v>0.5</v>
      </c>
    </row>
    <row r="2277" spans="1:14" ht="19.5" hidden="1" thickBot="1" x14ac:dyDescent="0.3">
      <c r="A2277" s="731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5"/>
        <v>07,24</v>
      </c>
      <c r="L2277" s="90" t="s">
        <v>266</v>
      </c>
      <c r="M2277" s="90">
        <v>8170.55</v>
      </c>
      <c r="N2277" s="325">
        <v>0.5</v>
      </c>
    </row>
    <row r="2278" spans="1:14" ht="19.5" hidden="1" thickBot="1" x14ac:dyDescent="0.3">
      <c r="A2278" s="111">
        <f t="shared" ref="A2278:A2283" si="58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5"/>
        <v>07,24</v>
      </c>
      <c r="L2278" s="75" t="s">
        <v>266</v>
      </c>
      <c r="M2278" s="75">
        <v>8023.59</v>
      </c>
      <c r="N2278" s="322">
        <v>0.54166666666666696</v>
      </c>
    </row>
    <row r="2279" spans="1:14" ht="19.5" hidden="1" thickBot="1" x14ac:dyDescent="0.3">
      <c r="A2279" s="110">
        <f t="shared" si="58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5"/>
        <v>07,24</v>
      </c>
      <c r="L2279" s="40" t="s">
        <v>265</v>
      </c>
      <c r="M2279" s="40">
        <v>13048.92</v>
      </c>
      <c r="N2279" s="317">
        <v>0.375</v>
      </c>
    </row>
    <row r="2280" spans="1:14" ht="19.5" hidden="1" thickBot="1" x14ac:dyDescent="0.3">
      <c r="A2280" s="111">
        <f t="shared" si="58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5"/>
        <v>07,24</v>
      </c>
      <c r="L2280" s="75" t="s">
        <v>265</v>
      </c>
      <c r="M2280" s="75">
        <v>17067.66</v>
      </c>
      <c r="N2280" s="322">
        <v>0.375</v>
      </c>
    </row>
    <row r="2281" spans="1:14" ht="19.5" hidden="1" thickBot="1" x14ac:dyDescent="0.3">
      <c r="A2281" s="149">
        <f t="shared" si="58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5"/>
        <v>07,24</v>
      </c>
      <c r="L2281" s="122" t="s">
        <v>28</v>
      </c>
      <c r="M2281" s="122">
        <v>15871.44</v>
      </c>
      <c r="N2281" s="365">
        <v>0.41666666666666702</v>
      </c>
    </row>
    <row r="2282" spans="1:14" ht="19.5" hidden="1" thickBot="1" x14ac:dyDescent="0.3">
      <c r="A2282" s="111">
        <f t="shared" si="58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5"/>
        <v>07,24</v>
      </c>
      <c r="L2282" s="75" t="s">
        <v>265</v>
      </c>
      <c r="M2282" s="75">
        <v>17244.96</v>
      </c>
      <c r="N2282" s="322">
        <v>0.375</v>
      </c>
    </row>
    <row r="2283" spans="1:14" ht="19.5" hidden="1" thickBot="1" x14ac:dyDescent="0.3">
      <c r="A2283" s="731">
        <f t="shared" si="58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5"/>
        <v>07,24</v>
      </c>
      <c r="L2283" s="82" t="s">
        <v>28</v>
      </c>
      <c r="M2283" s="82">
        <v>2811.07</v>
      </c>
      <c r="N2283" s="319">
        <v>0.41666666666666702</v>
      </c>
    </row>
    <row r="2284" spans="1:14" ht="19.5" hidden="1" thickBot="1" x14ac:dyDescent="0.3">
      <c r="A2284" s="731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5"/>
        <v>07,24</v>
      </c>
      <c r="L2284" s="98" t="s">
        <v>28</v>
      </c>
      <c r="M2284" s="98">
        <v>9015.19</v>
      </c>
      <c r="N2284" s="364">
        <v>0.41666666666666702</v>
      </c>
    </row>
    <row r="2285" spans="1:14" ht="19.5" hidden="1" thickBot="1" x14ac:dyDescent="0.3">
      <c r="A2285" s="731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5"/>
        <v>07,24</v>
      </c>
      <c r="L2285" s="90" t="s">
        <v>28</v>
      </c>
      <c r="M2285" s="90">
        <v>6012.06</v>
      </c>
      <c r="N2285" s="325">
        <v>0.41666666666666702</v>
      </c>
    </row>
    <row r="2286" spans="1:14" ht="19.5" hidden="1" thickBot="1" x14ac:dyDescent="0.3">
      <c r="A2286" s="732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5"/>
        <v>07,24</v>
      </c>
      <c r="L2286" s="48" t="s">
        <v>28</v>
      </c>
      <c r="M2286" s="48">
        <v>14738.96</v>
      </c>
      <c r="N2286" s="315">
        <v>0.45833333333333298</v>
      </c>
    </row>
    <row r="2287" spans="1:14" ht="19.5" hidden="1" thickBot="1" x14ac:dyDescent="0.3">
      <c r="A2287" s="732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5"/>
        <v>07,24</v>
      </c>
      <c r="L2287" s="71" t="s">
        <v>28</v>
      </c>
      <c r="M2287" s="71">
        <v>2961.6</v>
      </c>
      <c r="N2287" s="323">
        <v>0.45833333333333298</v>
      </c>
    </row>
    <row r="2288" spans="1:14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5"/>
        <v>07,24</v>
      </c>
      <c r="L2288" s="122" t="s">
        <v>28</v>
      </c>
      <c r="M2288" s="122">
        <v>17692.84</v>
      </c>
      <c r="N2288" s="365">
        <v>0.5</v>
      </c>
    </row>
    <row r="2289" spans="1:14" ht="19.5" hidden="1" thickBot="1" x14ac:dyDescent="0.3">
      <c r="A2289" s="732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5"/>
        <v>07,24</v>
      </c>
      <c r="L2289" s="48" t="s">
        <v>265</v>
      </c>
      <c r="M2289" s="48">
        <v>13040.76</v>
      </c>
      <c r="N2289" s="315">
        <v>0.375</v>
      </c>
    </row>
    <row r="2290" spans="1:14" ht="38.25" hidden="1" thickBot="1" x14ac:dyDescent="0.3">
      <c r="A2290" s="732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5"/>
        <v>07,24</v>
      </c>
      <c r="L2290" s="71" t="s">
        <v>265</v>
      </c>
      <c r="M2290" s="71">
        <v>261</v>
      </c>
      <c r="N2290" s="323">
        <v>0.375</v>
      </c>
    </row>
    <row r="2291" spans="1:14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5"/>
        <v>07,24</v>
      </c>
      <c r="L2291" s="40" t="s">
        <v>265</v>
      </c>
      <c r="M2291" s="40">
        <v>17186.080000000002</v>
      </c>
      <c r="N2291" s="317">
        <v>0.375</v>
      </c>
    </row>
    <row r="2292" spans="1:14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5"/>
        <v>07,24</v>
      </c>
      <c r="L2292" s="75" t="s">
        <v>28</v>
      </c>
      <c r="M2292" s="75">
        <v>16031.81</v>
      </c>
      <c r="N2292" s="322">
        <v>0.41666666666666702</v>
      </c>
    </row>
    <row r="2293" spans="1:14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5"/>
        <v>07,24</v>
      </c>
      <c r="L2293" s="40" t="s">
        <v>265</v>
      </c>
      <c r="M2293" s="40">
        <v>17177.2</v>
      </c>
      <c r="N2293" s="317">
        <v>0.375</v>
      </c>
    </row>
    <row r="2294" spans="1:14" ht="19.5" hidden="1" thickBot="1" x14ac:dyDescent="0.3">
      <c r="A2294" s="732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5"/>
        <v>07,24</v>
      </c>
      <c r="L2294" s="48" t="s">
        <v>28</v>
      </c>
      <c r="M2294" s="48">
        <v>3023.48</v>
      </c>
      <c r="N2294" s="315">
        <v>0.41666666666666702</v>
      </c>
    </row>
    <row r="2295" spans="1:14" ht="19.5" hidden="1" thickBot="1" x14ac:dyDescent="0.3">
      <c r="A2295" s="732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5"/>
        <v>07,24</v>
      </c>
      <c r="L2295" s="23" t="s">
        <v>28</v>
      </c>
      <c r="M2295" s="23">
        <v>4243.1099999999997</v>
      </c>
      <c r="N2295" s="329">
        <v>0.41666666666666702</v>
      </c>
    </row>
    <row r="2296" spans="1:14" ht="19.5" hidden="1" thickBot="1" x14ac:dyDescent="0.3">
      <c r="A2296" s="732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5"/>
        <v>07,24</v>
      </c>
      <c r="L2296" s="71" t="s">
        <v>28</v>
      </c>
      <c r="M2296" s="71">
        <v>10121.700000000001</v>
      </c>
      <c r="N2296" s="323">
        <v>0.41666666666666702</v>
      </c>
    </row>
    <row r="2297" spans="1:14" ht="19.5" hidden="1" thickBot="1" x14ac:dyDescent="0.3">
      <c r="A2297" s="731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5"/>
        <v>07,24</v>
      </c>
      <c r="L2297" s="82" t="s">
        <v>28</v>
      </c>
      <c r="M2297" s="82">
        <v>5692.3</v>
      </c>
      <c r="N2297" s="319">
        <v>0.45833333333333298</v>
      </c>
    </row>
    <row r="2298" spans="1:14" ht="19.5" hidden="1" thickBot="1" x14ac:dyDescent="0.3">
      <c r="A2298" s="731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5"/>
        <v>07,24</v>
      </c>
      <c r="L2298" s="90" t="s">
        <v>28</v>
      </c>
      <c r="M2298" s="90">
        <v>11747.35</v>
      </c>
      <c r="N2298" s="325">
        <v>0.45833333333333298</v>
      </c>
    </row>
    <row r="2299" spans="1:14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59">RIGHT(I2299,5)</f>
        <v>07,24</v>
      </c>
      <c r="L2299" s="75" t="s">
        <v>265</v>
      </c>
      <c r="M2299" s="75">
        <v>17127.990000000002</v>
      </c>
      <c r="N2299" s="322">
        <v>0.375</v>
      </c>
    </row>
    <row r="2300" spans="1:14" ht="19.5" hidden="1" thickBot="1" x14ac:dyDescent="0.3">
      <c r="A2300" s="731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59"/>
        <v>07,24</v>
      </c>
      <c r="L2300" s="82" t="s">
        <v>28</v>
      </c>
      <c r="M2300" s="82">
        <v>5661.36</v>
      </c>
      <c r="N2300" s="319">
        <v>0.41666666666666702</v>
      </c>
    </row>
    <row r="2301" spans="1:14" ht="19.5" hidden="1" thickBot="1" x14ac:dyDescent="0.3">
      <c r="A2301" s="731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59"/>
        <v>07,24</v>
      </c>
      <c r="L2301" s="90" t="s">
        <v>28</v>
      </c>
      <c r="M2301" s="90">
        <v>11635.3</v>
      </c>
      <c r="N2301" s="325">
        <v>0.41666666666666702</v>
      </c>
    </row>
    <row r="2302" spans="1:14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59"/>
        <v>07,24</v>
      </c>
      <c r="L2302" s="75" t="s">
        <v>28</v>
      </c>
      <c r="M2302" s="75">
        <v>12733.8</v>
      </c>
      <c r="N2302" s="322">
        <v>0.375</v>
      </c>
    </row>
    <row r="2303" spans="1:14" ht="19.5" hidden="1" thickBot="1" x14ac:dyDescent="0.3">
      <c r="A2303" s="731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59"/>
        <v>07,24</v>
      </c>
      <c r="L2303" s="82" t="s">
        <v>28</v>
      </c>
      <c r="M2303" s="82">
        <v>3868.32</v>
      </c>
      <c r="N2303" s="319">
        <v>0.41666666666666702</v>
      </c>
    </row>
    <row r="2304" spans="1:14" ht="19.5" hidden="1" thickBot="1" x14ac:dyDescent="0.3">
      <c r="A2304" s="731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59"/>
        <v>07,24</v>
      </c>
      <c r="L2304" s="98" t="s">
        <v>28</v>
      </c>
      <c r="M2304" s="98">
        <v>1735.76</v>
      </c>
      <c r="N2304" s="364">
        <v>0.41666666666666702</v>
      </c>
    </row>
    <row r="2305" spans="1:14" ht="19.5" hidden="1" thickBot="1" x14ac:dyDescent="0.3">
      <c r="A2305" s="731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59"/>
        <v>07,24</v>
      </c>
      <c r="L2305" s="90" t="s">
        <v>28</v>
      </c>
      <c r="M2305" s="90">
        <v>5298</v>
      </c>
      <c r="N2305" s="325">
        <v>0.41666666666666702</v>
      </c>
    </row>
    <row r="2306" spans="1:14" ht="19.5" hidden="1" thickBot="1" x14ac:dyDescent="0.3">
      <c r="A2306" s="732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59"/>
        <v>07,24</v>
      </c>
      <c r="L2306" s="48" t="s">
        <v>28</v>
      </c>
      <c r="M2306" s="48">
        <v>10652.88</v>
      </c>
      <c r="N2306" s="315">
        <v>0.45833333333333298</v>
      </c>
    </row>
    <row r="2307" spans="1:14" ht="19.5" hidden="1" thickBot="1" x14ac:dyDescent="0.3">
      <c r="A2307" s="732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59"/>
        <v>07,24</v>
      </c>
      <c r="L2307" s="71" t="s">
        <v>28</v>
      </c>
      <c r="M2307" s="71">
        <v>1236.2</v>
      </c>
      <c r="N2307" s="323">
        <v>0.45833333333333298</v>
      </c>
    </row>
    <row r="2308" spans="1:14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59"/>
        <v>08,24</v>
      </c>
      <c r="L2308" s="122" t="s">
        <v>28</v>
      </c>
      <c r="M2308" s="122">
        <v>18030.84</v>
      </c>
      <c r="N2308" s="365">
        <v>0.41666666666666702</v>
      </c>
    </row>
    <row r="2309" spans="1:14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59"/>
        <v>08,24</v>
      </c>
      <c r="L2309" s="75" t="s">
        <v>266</v>
      </c>
      <c r="M2309" s="75">
        <v>18076.62</v>
      </c>
      <c r="N2309" s="322">
        <v>0.375</v>
      </c>
    </row>
    <row r="2310" spans="1:14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59"/>
        <v>08,24</v>
      </c>
      <c r="L2310" s="40" t="s">
        <v>266</v>
      </c>
      <c r="M2310" s="40">
        <v>17786.12</v>
      </c>
      <c r="N2310" s="317">
        <v>0.41666666666666702</v>
      </c>
    </row>
    <row r="2311" spans="1:14" ht="19.5" hidden="1" thickBot="1" x14ac:dyDescent="0.3">
      <c r="A2311" s="732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59"/>
        <v>08,24</v>
      </c>
      <c r="L2311" s="48" t="s">
        <v>266</v>
      </c>
      <c r="M2311" s="48">
        <v>5117.38</v>
      </c>
      <c r="N2311" s="315">
        <v>0.45833333333333298</v>
      </c>
    </row>
    <row r="2312" spans="1:14" ht="19.5" hidden="1" thickBot="1" x14ac:dyDescent="0.3">
      <c r="A2312" s="732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59"/>
        <v>08,24</v>
      </c>
      <c r="L2312" s="23" t="s">
        <v>266</v>
      </c>
      <c r="M2312" s="23">
        <v>5128.9799999999996</v>
      </c>
      <c r="N2312" s="329">
        <v>0.45833333333333298</v>
      </c>
    </row>
    <row r="2313" spans="1:14" ht="19.5" hidden="1" thickBot="1" x14ac:dyDescent="0.3">
      <c r="A2313" s="732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59"/>
        <v>08,24</v>
      </c>
      <c r="L2313" s="71" t="s">
        <v>266</v>
      </c>
      <c r="M2313" s="71">
        <v>6616.22</v>
      </c>
      <c r="N2313" s="323">
        <v>0.45833333333333298</v>
      </c>
    </row>
    <row r="2314" spans="1:14" ht="19.5" hidden="1" thickBot="1" x14ac:dyDescent="0.3">
      <c r="A2314" s="731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59"/>
        <v>08,24</v>
      </c>
      <c r="L2314" s="82" t="s">
        <v>266</v>
      </c>
      <c r="M2314" s="82">
        <v>4454.12</v>
      </c>
      <c r="N2314" s="319">
        <v>0.5</v>
      </c>
    </row>
    <row r="2315" spans="1:14" ht="19.5" hidden="1" thickBot="1" x14ac:dyDescent="0.3">
      <c r="A2315" s="731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59"/>
        <v>08,24</v>
      </c>
      <c r="L2315" s="98" t="s">
        <v>266</v>
      </c>
      <c r="M2315" s="98">
        <v>7426.2</v>
      </c>
      <c r="N2315" s="364">
        <v>0.5</v>
      </c>
    </row>
    <row r="2316" spans="1:14" ht="19.5" hidden="1" thickBot="1" x14ac:dyDescent="0.3">
      <c r="A2316" s="731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59"/>
        <v>08,24</v>
      </c>
      <c r="L2316" s="90" t="s">
        <v>266</v>
      </c>
      <c r="M2316" s="90">
        <v>5552.54</v>
      </c>
      <c r="N2316" s="325">
        <v>0.5</v>
      </c>
    </row>
    <row r="2317" spans="1:14" ht="19.5" hidden="1" thickBot="1" x14ac:dyDescent="0.3">
      <c r="A2317" s="153">
        <f t="shared" ref="A2317:A2326" si="60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59"/>
        <v>08,24</v>
      </c>
      <c r="L2317" s="158" t="s">
        <v>266</v>
      </c>
      <c r="M2317" s="158">
        <v>8172.22</v>
      </c>
      <c r="N2317" s="433">
        <v>0.54166666666666696</v>
      </c>
    </row>
    <row r="2318" spans="1:14" ht="19.5" hidden="1" thickBot="1" x14ac:dyDescent="0.3">
      <c r="A2318" s="110">
        <f t="shared" si="60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59"/>
        <v>08,24</v>
      </c>
      <c r="L2318" s="40" t="s">
        <v>265</v>
      </c>
      <c r="M2318" s="40">
        <v>12724.48</v>
      </c>
      <c r="N2318" s="317">
        <v>0.375</v>
      </c>
    </row>
    <row r="2319" spans="1:14" ht="19.5" hidden="1" thickBot="1" x14ac:dyDescent="0.3">
      <c r="A2319" s="111">
        <f t="shared" si="60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59"/>
        <v>08,24</v>
      </c>
      <c r="L2319" s="75" t="s">
        <v>265</v>
      </c>
      <c r="M2319" s="75">
        <v>16304.3</v>
      </c>
      <c r="N2319" s="322">
        <v>0.375</v>
      </c>
    </row>
    <row r="2320" spans="1:14" ht="57" hidden="1" thickBot="1" x14ac:dyDescent="0.3">
      <c r="A2320" s="110">
        <f t="shared" si="60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59"/>
        <v>08,24</v>
      </c>
      <c r="L2320" s="40" t="s">
        <v>266</v>
      </c>
      <c r="M2320" s="40">
        <v>17245.87</v>
      </c>
      <c r="N2320" s="317">
        <v>0.41666666666666702</v>
      </c>
    </row>
    <row r="2321" spans="1:14" ht="19.5" hidden="1" thickBot="1" x14ac:dyDescent="0.3">
      <c r="A2321" s="153">
        <f t="shared" si="60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59"/>
        <v>08,24</v>
      </c>
      <c r="L2321" s="158" t="s">
        <v>28</v>
      </c>
      <c r="M2321" s="158">
        <v>15968.18</v>
      </c>
      <c r="N2321" s="433">
        <v>0.45833333333333298</v>
      </c>
    </row>
    <row r="2322" spans="1:14" ht="19.5" hidden="1" thickBot="1" x14ac:dyDescent="0.3">
      <c r="A2322" s="110">
        <f t="shared" si="60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59"/>
        <v>08,24</v>
      </c>
      <c r="L2322" s="40" t="s">
        <v>265</v>
      </c>
      <c r="M2322" s="40">
        <v>17128.98</v>
      </c>
      <c r="N2322" s="317">
        <v>0.375</v>
      </c>
    </row>
    <row r="2323" spans="1:14" ht="19.5" hidden="1" thickBot="1" x14ac:dyDescent="0.3">
      <c r="A2323" s="111">
        <f t="shared" si="60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59"/>
        <v>08,24</v>
      </c>
      <c r="L2323" s="75" t="s">
        <v>28</v>
      </c>
      <c r="M2323" s="75">
        <v>17311.54</v>
      </c>
      <c r="N2323" s="322">
        <v>0.41666666666666702</v>
      </c>
    </row>
    <row r="2324" spans="1:14" ht="19.5" hidden="1" thickBot="1" x14ac:dyDescent="0.3">
      <c r="A2324" s="110">
        <f t="shared" si="60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59"/>
        <v>08,24</v>
      </c>
      <c r="L2324" s="40" t="s">
        <v>28</v>
      </c>
      <c r="M2324" s="40">
        <v>17322.45</v>
      </c>
      <c r="N2324" s="317">
        <v>0.45833333333333298</v>
      </c>
    </row>
    <row r="2325" spans="1:14" ht="19.5" hidden="1" thickBot="1" x14ac:dyDescent="0.3">
      <c r="A2325" s="111">
        <f t="shared" si="60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59"/>
        <v>08,24</v>
      </c>
      <c r="L2325" s="75" t="s">
        <v>28</v>
      </c>
      <c r="M2325" s="75">
        <v>17508.419999999998</v>
      </c>
      <c r="N2325" s="322">
        <v>0.5</v>
      </c>
    </row>
    <row r="2326" spans="1:14" ht="19.5" hidden="1" thickBot="1" x14ac:dyDescent="0.3">
      <c r="A2326" s="731">
        <f t="shared" si="60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59"/>
        <v>08,24</v>
      </c>
      <c r="L2326" s="82" t="s">
        <v>28</v>
      </c>
      <c r="M2326" s="82">
        <v>13356.82</v>
      </c>
      <c r="N2326" s="319">
        <v>0.54166666666666696</v>
      </c>
    </row>
    <row r="2327" spans="1:14" ht="19.5" hidden="1" thickBot="1" x14ac:dyDescent="0.3">
      <c r="A2327" s="731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59"/>
        <v>08,24</v>
      </c>
      <c r="L2327" s="90" t="s">
        <v>28</v>
      </c>
      <c r="M2327" s="90">
        <v>4018.2</v>
      </c>
      <c r="N2327" s="325">
        <v>0.54166666666666696</v>
      </c>
    </row>
    <row r="2328" spans="1:14" ht="19.5" hidden="1" thickBot="1" x14ac:dyDescent="0.3">
      <c r="A2328" s="735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59"/>
        <v>08,24</v>
      </c>
      <c r="L2328" s="48" t="s">
        <v>28</v>
      </c>
      <c r="M2328" s="48">
        <v>15312.4</v>
      </c>
      <c r="N2328" s="315">
        <v>0.58333333333333304</v>
      </c>
    </row>
    <row r="2329" spans="1:14" ht="19.5" hidden="1" thickBot="1" x14ac:dyDescent="0.3">
      <c r="A2329" s="735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59"/>
        <v>08,24</v>
      </c>
      <c r="L2329" s="293" t="s">
        <v>28</v>
      </c>
      <c r="M2329" s="293">
        <v>2010</v>
      </c>
      <c r="N2329" s="389">
        <v>0.58333333333333304</v>
      </c>
    </row>
    <row r="2330" spans="1:14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59"/>
        <v>08,24</v>
      </c>
      <c r="L2330" s="40" t="s">
        <v>265</v>
      </c>
      <c r="M2330" s="40">
        <v>13063.64</v>
      </c>
      <c r="N2330" s="317">
        <v>0.375</v>
      </c>
    </row>
    <row r="2331" spans="1:14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59"/>
        <v>08,24</v>
      </c>
      <c r="L2331" s="75" t="s">
        <v>265</v>
      </c>
      <c r="M2331" s="75">
        <v>17243.46</v>
      </c>
      <c r="N2331" s="322">
        <v>0.375</v>
      </c>
    </row>
    <row r="2332" spans="1:14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59"/>
        <v>08,24</v>
      </c>
      <c r="L2332" s="40" t="s">
        <v>28</v>
      </c>
      <c r="M2332" s="40">
        <v>15833.42</v>
      </c>
      <c r="N2332" s="317">
        <v>0.41666666666666702</v>
      </c>
    </row>
    <row r="2333" spans="1:14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59"/>
        <v>08,24</v>
      </c>
      <c r="L2333" s="75" t="s">
        <v>265</v>
      </c>
      <c r="M2333" s="75">
        <v>17345.96</v>
      </c>
      <c r="N2333" s="322">
        <v>0.375</v>
      </c>
    </row>
    <row r="2334" spans="1:14" ht="19.5" hidden="1" thickBot="1" x14ac:dyDescent="0.3">
      <c r="A2334" s="731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59"/>
        <v>08,24</v>
      </c>
      <c r="L2334" s="82" t="s">
        <v>28</v>
      </c>
      <c r="M2334" s="82">
        <v>1215</v>
      </c>
      <c r="N2334" s="319">
        <v>0.41666666666666702</v>
      </c>
    </row>
    <row r="2335" spans="1:14" ht="19.5" hidden="1" thickBot="1" x14ac:dyDescent="0.3">
      <c r="A2335" s="731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59"/>
        <v>08,24</v>
      </c>
      <c r="L2335" s="98" t="s">
        <v>28</v>
      </c>
      <c r="M2335" s="98">
        <v>6990.12</v>
      </c>
      <c r="N2335" s="364">
        <v>0.41666666666666702</v>
      </c>
    </row>
    <row r="2336" spans="1:14" ht="19.5" hidden="1" thickBot="1" x14ac:dyDescent="0.3">
      <c r="A2336" s="731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59"/>
        <v>08,24</v>
      </c>
      <c r="L2336" s="90" t="s">
        <v>28</v>
      </c>
      <c r="M2336" s="90">
        <v>9282.82</v>
      </c>
      <c r="N2336" s="325">
        <v>0.41666666666666702</v>
      </c>
    </row>
    <row r="2337" spans="1:14" ht="19.5" hidden="1" thickBot="1" x14ac:dyDescent="0.3">
      <c r="A2337" s="732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59"/>
        <v>08,24</v>
      </c>
      <c r="L2337" s="48" t="s">
        <v>28</v>
      </c>
      <c r="M2337" s="48">
        <v>2504</v>
      </c>
      <c r="N2337" s="315">
        <v>0.45833333333333298</v>
      </c>
    </row>
    <row r="2338" spans="1:14" ht="19.5" hidden="1" thickBot="1" x14ac:dyDescent="0.3">
      <c r="A2338" s="732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59"/>
        <v>08,24</v>
      </c>
      <c r="L2338" s="71" t="s">
        <v>28</v>
      </c>
      <c r="M2338" s="71">
        <v>14534.1</v>
      </c>
      <c r="N2338" s="323">
        <v>0.45833333333333298</v>
      </c>
    </row>
    <row r="2339" spans="1:14" ht="19.5" hidden="1" thickBot="1" x14ac:dyDescent="0.3">
      <c r="A2339" s="731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59"/>
        <v>08,24</v>
      </c>
      <c r="L2339" s="82" t="s">
        <v>28</v>
      </c>
      <c r="M2339" s="82">
        <v>13696.47</v>
      </c>
      <c r="N2339" s="319">
        <v>0.5</v>
      </c>
    </row>
    <row r="2340" spans="1:14" ht="19.5" hidden="1" thickBot="1" x14ac:dyDescent="0.3">
      <c r="A2340" s="731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59"/>
        <v>08,24</v>
      </c>
      <c r="L2340" s="90" t="s">
        <v>28</v>
      </c>
      <c r="M2340" s="90">
        <v>3640.51</v>
      </c>
      <c r="N2340" s="325">
        <v>0.5</v>
      </c>
    </row>
    <row r="2341" spans="1:14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59"/>
        <v>08,24</v>
      </c>
      <c r="L2341" s="75" t="s">
        <v>265</v>
      </c>
      <c r="M2341" s="75">
        <v>17468.68</v>
      </c>
      <c r="N2341" s="322">
        <v>0.375</v>
      </c>
    </row>
    <row r="2342" spans="1:14" ht="19.5" hidden="1" thickBot="1" x14ac:dyDescent="0.3">
      <c r="A2342" s="731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59"/>
        <v>08,24</v>
      </c>
      <c r="L2342" s="82" t="s">
        <v>28</v>
      </c>
      <c r="M2342" s="82">
        <v>6189.64</v>
      </c>
      <c r="N2342" s="319">
        <v>0.375</v>
      </c>
    </row>
    <row r="2343" spans="1:14" ht="19.5" hidden="1" thickBot="1" x14ac:dyDescent="0.3">
      <c r="A2343" s="731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59"/>
        <v>08,24</v>
      </c>
      <c r="L2343" s="98" t="s">
        <v>28</v>
      </c>
      <c r="M2343" s="98">
        <v>3990</v>
      </c>
      <c r="N2343" s="364">
        <v>0.375</v>
      </c>
    </row>
    <row r="2344" spans="1:14" ht="19.5" hidden="1" thickBot="1" x14ac:dyDescent="0.3">
      <c r="A2344" s="731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59"/>
        <v>08,24</v>
      </c>
      <c r="L2344" s="98" t="s">
        <v>28</v>
      </c>
      <c r="M2344" s="98">
        <v>2540.16</v>
      </c>
      <c r="N2344" s="364">
        <v>0.375</v>
      </c>
    </row>
    <row r="2345" spans="1:14" ht="38.25" hidden="1" thickBot="1" x14ac:dyDescent="0.3">
      <c r="A2345" s="731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59"/>
        <v>нет</v>
      </c>
      <c r="L2345" s="98" t="s">
        <v>28</v>
      </c>
      <c r="M2345" s="98">
        <v>0.06</v>
      </c>
      <c r="N2345" s="364">
        <v>0.375</v>
      </c>
    </row>
    <row r="2346" spans="1:14" ht="38.25" hidden="1" thickBot="1" x14ac:dyDescent="0.3">
      <c r="A2346" s="731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59"/>
        <v>нет</v>
      </c>
      <c r="L2346" s="90" t="s">
        <v>28</v>
      </c>
      <c r="M2346" s="90">
        <v>0.06</v>
      </c>
      <c r="N2346" s="325">
        <v>0.375</v>
      </c>
    </row>
    <row r="2347" spans="1:14" ht="19.5" hidden="1" thickBot="1" x14ac:dyDescent="0.3">
      <c r="A2347" s="732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59"/>
        <v>08,24</v>
      </c>
      <c r="L2347" s="48" t="s">
        <v>28</v>
      </c>
      <c r="M2347" s="48">
        <v>6736.8</v>
      </c>
      <c r="N2347" s="315">
        <v>0.41666666666666702</v>
      </c>
    </row>
    <row r="2348" spans="1:14" ht="19.5" hidden="1" thickBot="1" x14ac:dyDescent="0.3">
      <c r="A2348" s="732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59"/>
        <v>08,24</v>
      </c>
      <c r="L2348" s="23" t="s">
        <v>28</v>
      </c>
      <c r="M2348" s="23">
        <v>5791.28</v>
      </c>
      <c r="N2348" s="329">
        <v>0.41666666666666702</v>
      </c>
    </row>
    <row r="2349" spans="1:14" ht="38.25" hidden="1" thickBot="1" x14ac:dyDescent="0.3">
      <c r="A2349" s="732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59"/>
        <v>нет</v>
      </c>
      <c r="L2349" s="23" t="s">
        <v>28</v>
      </c>
      <c r="M2349" s="23">
        <v>0.06</v>
      </c>
      <c r="N2349" s="329">
        <v>0.41666666666666702</v>
      </c>
    </row>
    <row r="2350" spans="1:14" ht="38.25" hidden="1" thickBot="1" x14ac:dyDescent="0.3">
      <c r="A2350" s="732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59"/>
        <v>нет</v>
      </c>
      <c r="L2350" s="71" t="s">
        <v>28</v>
      </c>
      <c r="M2350" s="71">
        <v>0.06</v>
      </c>
      <c r="N2350" s="323">
        <v>0.41666666666666702</v>
      </c>
    </row>
    <row r="2351" spans="1:14" ht="19.5" hidden="1" thickBot="1" x14ac:dyDescent="0.3">
      <c r="A2351" s="149">
        <f t="shared" ref="A2351:A2356" si="61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59"/>
        <v>08,24</v>
      </c>
      <c r="L2351" s="122" t="s">
        <v>266</v>
      </c>
      <c r="M2351" s="122">
        <v>16054.2</v>
      </c>
      <c r="N2351" s="365">
        <v>0.5</v>
      </c>
    </row>
    <row r="2352" spans="1:14" ht="19.5" hidden="1" thickBot="1" x14ac:dyDescent="0.3">
      <c r="A2352" s="111">
        <f t="shared" si="61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59"/>
        <v>08,24</v>
      </c>
      <c r="L2352" s="75" t="s">
        <v>266</v>
      </c>
      <c r="M2352" s="75">
        <v>18056</v>
      </c>
      <c r="N2352" s="322">
        <v>0.375</v>
      </c>
    </row>
    <row r="2353" spans="1:14" ht="19.5" hidden="1" thickBot="1" x14ac:dyDescent="0.3">
      <c r="A2353" s="110">
        <f t="shared" si="61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59"/>
        <v>08,24</v>
      </c>
      <c r="L2353" s="40" t="s">
        <v>266</v>
      </c>
      <c r="M2353" s="40">
        <v>18050.939999999999</v>
      </c>
      <c r="N2353" s="317">
        <v>0.41666666666666702</v>
      </c>
    </row>
    <row r="2354" spans="1:14" ht="19.5" hidden="1" thickBot="1" x14ac:dyDescent="0.3">
      <c r="A2354" s="111">
        <f t="shared" si="61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59"/>
        <v>08,24</v>
      </c>
      <c r="L2354" s="75" t="s">
        <v>265</v>
      </c>
      <c r="M2354" s="75">
        <v>6015</v>
      </c>
      <c r="N2354" s="322">
        <v>0.45833333333333298</v>
      </c>
    </row>
    <row r="2355" spans="1:14" ht="19.5" hidden="1" thickBot="1" x14ac:dyDescent="0.3">
      <c r="A2355" s="110">
        <f t="shared" si="61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59"/>
        <v>08,24</v>
      </c>
      <c r="L2355" s="40" t="s">
        <v>266</v>
      </c>
      <c r="M2355" s="40">
        <v>7800</v>
      </c>
      <c r="N2355" s="317">
        <v>0.5</v>
      </c>
    </row>
    <row r="2356" spans="1:14" ht="19.5" hidden="1" thickBot="1" x14ac:dyDescent="0.3">
      <c r="A2356" s="732">
        <f t="shared" si="61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59"/>
        <v>08,24</v>
      </c>
      <c r="L2356" s="48" t="s">
        <v>266</v>
      </c>
      <c r="M2356" s="48">
        <v>5391.75</v>
      </c>
      <c r="N2356" s="315">
        <v>0.54166666666666696</v>
      </c>
    </row>
    <row r="2357" spans="1:14" ht="19.5" hidden="1" thickBot="1" x14ac:dyDescent="0.3">
      <c r="A2357" s="732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59"/>
        <v>08,24</v>
      </c>
      <c r="L2357" s="23" t="s">
        <v>266</v>
      </c>
      <c r="M2357" s="23">
        <v>3127.2</v>
      </c>
      <c r="N2357" s="329">
        <v>0.54166666666666696</v>
      </c>
    </row>
    <row r="2358" spans="1:14" ht="19.5" hidden="1" thickBot="1" x14ac:dyDescent="0.3">
      <c r="A2358" s="732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59"/>
        <v>08,24</v>
      </c>
      <c r="L2358" s="23" t="s">
        <v>266</v>
      </c>
      <c r="M2358" s="23">
        <v>4665.3599999999997</v>
      </c>
      <c r="N2358" s="329">
        <v>0.54166666666666696</v>
      </c>
    </row>
    <row r="2359" spans="1:14" ht="19.5" hidden="1" thickBot="1" x14ac:dyDescent="0.3">
      <c r="A2359" s="732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59"/>
        <v>08,24</v>
      </c>
      <c r="L2359" s="71" t="s">
        <v>266</v>
      </c>
      <c r="M2359" s="71">
        <v>4661.0600000000004</v>
      </c>
      <c r="N2359" s="323">
        <v>0.54166666666666696</v>
      </c>
    </row>
    <row r="2360" spans="1:14" ht="19.5" hidden="1" thickBot="1" x14ac:dyDescent="0.3">
      <c r="A2360" s="110">
        <f t="shared" ref="A2360:A2368" si="62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59"/>
        <v>08,24</v>
      </c>
      <c r="L2360" s="40" t="s">
        <v>265</v>
      </c>
      <c r="M2360" s="40">
        <v>13392.36</v>
      </c>
      <c r="N2360" s="317">
        <v>0.375</v>
      </c>
    </row>
    <row r="2361" spans="1:14" ht="19.5" hidden="1" thickBot="1" x14ac:dyDescent="0.3">
      <c r="A2361" s="153">
        <f t="shared" si="62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59"/>
        <v>08,24</v>
      </c>
      <c r="L2361" s="158" t="s">
        <v>265</v>
      </c>
      <c r="M2361" s="158">
        <v>16637.38</v>
      </c>
      <c r="N2361" s="433">
        <v>0.375</v>
      </c>
    </row>
    <row r="2362" spans="1:14" ht="19.5" hidden="1" thickBot="1" x14ac:dyDescent="0.3">
      <c r="A2362" s="110">
        <f t="shared" si="62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59"/>
        <v>08,24</v>
      </c>
      <c r="L2362" s="40" t="s">
        <v>265</v>
      </c>
      <c r="M2362" s="40">
        <v>17290.93</v>
      </c>
      <c r="N2362" s="317">
        <v>0.33333333333333298</v>
      </c>
    </row>
    <row r="2363" spans="1:14" ht="19.5" hidden="1" thickBot="1" x14ac:dyDescent="0.3">
      <c r="A2363" s="111">
        <f t="shared" si="62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3">RIGHT(I2363,5)</f>
        <v>08,24</v>
      </c>
      <c r="L2363" s="75" t="s">
        <v>265</v>
      </c>
      <c r="M2363" s="75">
        <v>17313.21</v>
      </c>
      <c r="N2363" s="322">
        <v>0.375</v>
      </c>
    </row>
    <row r="2364" spans="1:14" ht="19.5" hidden="1" thickBot="1" x14ac:dyDescent="0.3">
      <c r="A2364" s="110">
        <f t="shared" si="62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3"/>
        <v>08,24</v>
      </c>
      <c r="L2364" s="40" t="s">
        <v>28</v>
      </c>
      <c r="M2364" s="40">
        <v>15698.46</v>
      </c>
      <c r="N2364" s="317">
        <v>0.41666666666666702</v>
      </c>
    </row>
    <row r="2365" spans="1:14" ht="38.25" hidden="1" thickBot="1" x14ac:dyDescent="0.3">
      <c r="A2365" s="111">
        <f t="shared" si="62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3"/>
        <v>08,24</v>
      </c>
      <c r="L2365" s="75" t="s">
        <v>266</v>
      </c>
      <c r="M2365" s="75">
        <v>17404.59</v>
      </c>
      <c r="N2365" s="322">
        <v>0.45833333333333298</v>
      </c>
    </row>
    <row r="2366" spans="1:14" ht="19.5" hidden="1" thickBot="1" x14ac:dyDescent="0.3">
      <c r="A2366" s="110">
        <f t="shared" si="62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3"/>
        <v>08,24</v>
      </c>
      <c r="L2366" s="40" t="s">
        <v>28</v>
      </c>
      <c r="M2366" s="40">
        <v>17767.2</v>
      </c>
      <c r="N2366" s="317">
        <v>0.5</v>
      </c>
    </row>
    <row r="2367" spans="1:14" ht="19.5" hidden="1" thickBot="1" x14ac:dyDescent="0.3">
      <c r="A2367" s="111">
        <f t="shared" si="62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3"/>
        <v>08,24</v>
      </c>
      <c r="L2367" s="75" t="s">
        <v>28</v>
      </c>
      <c r="M2367" s="75">
        <v>17880.62</v>
      </c>
      <c r="N2367" s="322">
        <v>0.54166666666666696</v>
      </c>
    </row>
    <row r="2368" spans="1:14" ht="19.5" hidden="1" thickBot="1" x14ac:dyDescent="0.3">
      <c r="A2368" s="733">
        <f t="shared" si="62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3"/>
        <v>08,24</v>
      </c>
      <c r="L2368" s="82" t="s">
        <v>28</v>
      </c>
      <c r="M2368" s="82">
        <v>2992.98</v>
      </c>
      <c r="N2368" s="319">
        <v>0.58333333333333304</v>
      </c>
    </row>
    <row r="2369" spans="1:14" ht="19.5" hidden="1" thickBot="1" x14ac:dyDescent="0.3">
      <c r="A2369" s="73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3"/>
        <v>08,24</v>
      </c>
      <c r="L2369" s="98" t="s">
        <v>28</v>
      </c>
      <c r="M2369" s="98">
        <v>5303.76</v>
      </c>
      <c r="N2369" s="364">
        <v>0.58333333333333304</v>
      </c>
    </row>
    <row r="2370" spans="1:14" ht="19.5" hidden="1" thickBot="1" x14ac:dyDescent="0.3">
      <c r="A2370" s="73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3"/>
        <v>08,24</v>
      </c>
      <c r="L2370" s="65" t="s">
        <v>28</v>
      </c>
      <c r="M2370" s="65">
        <v>9041.2199999999993</v>
      </c>
      <c r="N2370" s="434">
        <v>0.58333333333333304</v>
      </c>
    </row>
    <row r="2371" spans="1:14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3"/>
        <v>08,24</v>
      </c>
      <c r="L2371" s="75" t="s">
        <v>265</v>
      </c>
      <c r="M2371" s="75">
        <v>13290.12</v>
      </c>
      <c r="N2371" s="322">
        <v>0.375</v>
      </c>
    </row>
    <row r="2372" spans="1:14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3"/>
        <v>08,24</v>
      </c>
      <c r="L2372" s="40" t="s">
        <v>265</v>
      </c>
      <c r="M2372" s="40">
        <v>17192.900000000001</v>
      </c>
      <c r="N2372" s="317">
        <v>0.375</v>
      </c>
    </row>
    <row r="2373" spans="1:14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3"/>
        <v>08,24</v>
      </c>
      <c r="L2373" s="75" t="s">
        <v>266</v>
      </c>
      <c r="M2373" s="75">
        <v>17226.16</v>
      </c>
      <c r="N2373" s="322">
        <v>0.41666666666666702</v>
      </c>
    </row>
    <row r="2374" spans="1:14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3"/>
        <v>08,24</v>
      </c>
      <c r="L2374" s="122" t="s">
        <v>28</v>
      </c>
      <c r="M2374" s="122">
        <v>15228.22</v>
      </c>
      <c r="N2374" s="365">
        <v>0.45833333333333298</v>
      </c>
    </row>
    <row r="2375" spans="1:14" ht="19.5" hidden="1" thickBot="1" x14ac:dyDescent="0.3">
      <c r="A2375" s="732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3"/>
        <v>08,24</v>
      </c>
      <c r="L2375" s="48" t="s">
        <v>265</v>
      </c>
      <c r="M2375" s="48">
        <v>13047.32</v>
      </c>
      <c r="N2375" s="315">
        <v>0.375</v>
      </c>
    </row>
    <row r="2376" spans="1:14" ht="38.25" hidden="1" thickBot="1" x14ac:dyDescent="0.3">
      <c r="A2376" s="732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3"/>
        <v>08,24</v>
      </c>
      <c r="L2376" s="31" t="s">
        <v>265</v>
      </c>
      <c r="M2376" s="31">
        <v>152</v>
      </c>
      <c r="N2376" s="316">
        <v>0.375</v>
      </c>
    </row>
    <row r="2377" spans="1:14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3"/>
        <v>08,24</v>
      </c>
      <c r="L2377" s="90" t="s">
        <v>265</v>
      </c>
      <c r="M2377" s="90">
        <v>17194.39</v>
      </c>
      <c r="N2377" s="325">
        <v>0.375</v>
      </c>
    </row>
    <row r="2378" spans="1:14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3"/>
        <v>08,24</v>
      </c>
      <c r="L2378" s="75" t="s">
        <v>28</v>
      </c>
      <c r="M2378" s="75">
        <v>17292.96</v>
      </c>
      <c r="N2378" s="322">
        <v>0.41666666666666702</v>
      </c>
    </row>
    <row r="2379" spans="1:14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3"/>
        <v>08,24</v>
      </c>
      <c r="L2379" s="40" t="s">
        <v>28</v>
      </c>
      <c r="M2379" s="40">
        <v>17686.080000000002</v>
      </c>
      <c r="N2379" s="317">
        <v>0.45833333333333298</v>
      </c>
    </row>
    <row r="2380" spans="1:14" ht="19.5" hidden="1" thickBot="1" x14ac:dyDescent="0.3">
      <c r="A2380" s="732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3"/>
        <v>08,24</v>
      </c>
      <c r="L2380" s="48" t="s">
        <v>28</v>
      </c>
      <c r="M2380" s="48">
        <v>5561.56</v>
      </c>
      <c r="N2380" s="315">
        <v>0.5</v>
      </c>
    </row>
    <row r="2381" spans="1:14" ht="19.5" hidden="1" thickBot="1" x14ac:dyDescent="0.3">
      <c r="A2381" s="732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3"/>
        <v>08,24</v>
      </c>
      <c r="L2381" s="23" t="s">
        <v>28</v>
      </c>
      <c r="M2381" s="23">
        <v>2914.08</v>
      </c>
      <c r="N2381" s="329">
        <v>0.5</v>
      </c>
    </row>
    <row r="2382" spans="1:14" ht="19.5" hidden="1" thickBot="1" x14ac:dyDescent="0.3">
      <c r="A2382" s="732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3"/>
        <v>08,24</v>
      </c>
      <c r="L2382" s="71" t="s">
        <v>28</v>
      </c>
      <c r="M2382" s="71">
        <v>8680.24</v>
      </c>
      <c r="N2382" s="323">
        <v>0.5</v>
      </c>
    </row>
    <row r="2383" spans="1:14" ht="19.5" hidden="1" thickBot="1" x14ac:dyDescent="0.3">
      <c r="A2383" s="731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3"/>
        <v>08,24</v>
      </c>
      <c r="L2383" s="82" t="s">
        <v>28</v>
      </c>
      <c r="M2383" s="82">
        <v>4645.54</v>
      </c>
      <c r="N2383" s="319">
        <v>0.54166666666666696</v>
      </c>
    </row>
    <row r="2384" spans="1:14" ht="19.5" hidden="1" thickBot="1" x14ac:dyDescent="0.3">
      <c r="A2384" s="731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3"/>
        <v>08,24</v>
      </c>
      <c r="L2384" s="90" t="s">
        <v>28</v>
      </c>
      <c r="M2384" s="90">
        <v>12495.66</v>
      </c>
      <c r="N2384" s="325">
        <v>0.54166666666666696</v>
      </c>
    </row>
    <row r="2385" spans="1:14" ht="19.5" hidden="1" thickBot="1" x14ac:dyDescent="0.3">
      <c r="A2385" s="732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3"/>
        <v>08,24</v>
      </c>
      <c r="L2385" s="48" t="s">
        <v>28</v>
      </c>
      <c r="M2385" s="48">
        <v>4843.92</v>
      </c>
      <c r="N2385" s="315">
        <v>0.41666666666666702</v>
      </c>
    </row>
    <row r="2386" spans="1:14" ht="19.5" hidden="1" thickBot="1" x14ac:dyDescent="0.3">
      <c r="A2386" s="732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3"/>
        <v>08,24</v>
      </c>
      <c r="L2386" s="23" t="s">
        <v>28</v>
      </c>
      <c r="M2386" s="23">
        <v>6680.72</v>
      </c>
      <c r="N2386" s="329">
        <v>0.41666666666666702</v>
      </c>
    </row>
    <row r="2387" spans="1:14" ht="38.25" hidden="1" thickBot="1" x14ac:dyDescent="0.3">
      <c r="A2387" s="732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3"/>
        <v>нет</v>
      </c>
      <c r="L2387" s="71" t="s">
        <v>28</v>
      </c>
      <c r="M2387" s="71">
        <v>120</v>
      </c>
      <c r="N2387" s="323">
        <v>0.41666666666666702</v>
      </c>
    </row>
    <row r="2388" spans="1:14" ht="19.5" hidden="1" thickBot="1" x14ac:dyDescent="0.3">
      <c r="A2388" s="731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3"/>
        <v>08,24</v>
      </c>
      <c r="L2388" s="82" t="s">
        <v>28</v>
      </c>
      <c r="M2388" s="82">
        <v>9283.7999999999993</v>
      </c>
      <c r="N2388" s="319">
        <v>0.45833333333333298</v>
      </c>
    </row>
    <row r="2389" spans="1:14" ht="19.5" hidden="1" thickBot="1" x14ac:dyDescent="0.3">
      <c r="A2389" s="731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3"/>
        <v>08,24</v>
      </c>
      <c r="L2389" s="98" t="s">
        <v>28</v>
      </c>
      <c r="M2389" s="98">
        <v>1440</v>
      </c>
      <c r="N2389" s="364">
        <v>0.45833333333333298</v>
      </c>
    </row>
    <row r="2390" spans="1:14" ht="19.5" hidden="1" thickBot="1" x14ac:dyDescent="0.3">
      <c r="A2390" s="731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3"/>
        <v>08,24</v>
      </c>
      <c r="L2390" s="98" t="s">
        <v>28</v>
      </c>
      <c r="M2390" s="98">
        <v>2463</v>
      </c>
      <c r="N2390" s="364">
        <v>0.45833333333333298</v>
      </c>
    </row>
    <row r="2391" spans="1:14" ht="38.25" hidden="1" thickBot="1" x14ac:dyDescent="0.3">
      <c r="A2391" s="731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3"/>
        <v>нет</v>
      </c>
      <c r="L2391" s="98" t="s">
        <v>28</v>
      </c>
      <c r="M2391" s="98">
        <v>60</v>
      </c>
      <c r="N2391" s="364">
        <v>0.45833333333333298</v>
      </c>
    </row>
    <row r="2392" spans="1:14" ht="38.25" hidden="1" thickBot="1" x14ac:dyDescent="0.3">
      <c r="A2392" s="731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3"/>
        <v>нет</v>
      </c>
      <c r="L2392" s="90" t="s">
        <v>28</v>
      </c>
      <c r="M2392" s="90">
        <v>96</v>
      </c>
      <c r="N2392" s="325">
        <v>0.45833333333333298</v>
      </c>
    </row>
    <row r="2393" spans="1:14" ht="19.5" hidden="1" thickBot="1" x14ac:dyDescent="0.3">
      <c r="A2393" s="732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3"/>
        <v>08,24</v>
      </c>
      <c r="L2393" s="48" t="s">
        <v>28</v>
      </c>
      <c r="M2393" s="48">
        <v>14003.72</v>
      </c>
      <c r="N2393" s="315">
        <v>0.5</v>
      </c>
    </row>
    <row r="2394" spans="1:14" ht="38.25" hidden="1" thickBot="1" x14ac:dyDescent="0.3">
      <c r="A2394" s="732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3"/>
        <v>нет</v>
      </c>
      <c r="L2394" s="71" t="s">
        <v>28</v>
      </c>
      <c r="M2394" s="71">
        <v>141</v>
      </c>
      <c r="N2394" s="323">
        <v>0.5</v>
      </c>
    </row>
    <row r="2395" spans="1:14" ht="19.5" hidden="1" thickBot="1" x14ac:dyDescent="0.3">
      <c r="A2395" s="110">
        <f t="shared" ref="A2395:A2400" si="64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3"/>
        <v>08,24</v>
      </c>
      <c r="L2395" s="40" t="s">
        <v>265</v>
      </c>
      <c r="M2395" s="40">
        <v>17195.54</v>
      </c>
      <c r="N2395" s="317">
        <v>0.375</v>
      </c>
    </row>
    <row r="2396" spans="1:14" ht="19.5" hidden="1" thickBot="1" x14ac:dyDescent="0.3">
      <c r="A2396" s="153">
        <f t="shared" si="64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3"/>
        <v>08,24</v>
      </c>
      <c r="L2396" s="158" t="s">
        <v>266</v>
      </c>
      <c r="M2396" s="158">
        <v>6042.44</v>
      </c>
      <c r="N2396" s="433">
        <v>0.54166666666666696</v>
      </c>
    </row>
    <row r="2397" spans="1:14" ht="19.5" hidden="1" thickBot="1" x14ac:dyDescent="0.3">
      <c r="A2397" s="110">
        <f t="shared" si="64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3"/>
        <v>08,24</v>
      </c>
      <c r="L2397" s="40" t="s">
        <v>266</v>
      </c>
      <c r="M2397" s="40">
        <v>18018.02</v>
      </c>
      <c r="N2397" s="317">
        <v>0.375</v>
      </c>
    </row>
    <row r="2398" spans="1:14" ht="19.5" hidden="1" thickBot="1" x14ac:dyDescent="0.3">
      <c r="A2398" s="111">
        <f t="shared" si="64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3"/>
        <v>08,24</v>
      </c>
      <c r="L2398" s="75" t="s">
        <v>266</v>
      </c>
      <c r="M2398" s="75">
        <v>18143.48</v>
      </c>
      <c r="N2398" s="322">
        <v>0.41666666666666702</v>
      </c>
    </row>
    <row r="2399" spans="1:14" ht="19.5" hidden="1" thickBot="1" x14ac:dyDescent="0.3">
      <c r="A2399" s="110">
        <f t="shared" si="64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3"/>
        <v>08,24</v>
      </c>
      <c r="L2399" s="40" t="s">
        <v>266</v>
      </c>
      <c r="M2399" s="40">
        <v>18001.8</v>
      </c>
      <c r="N2399" s="317">
        <v>0.45833333333333298</v>
      </c>
    </row>
    <row r="2400" spans="1:14" ht="19.5" hidden="1" thickBot="1" x14ac:dyDescent="0.3">
      <c r="A2400" s="732">
        <f t="shared" si="64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3"/>
        <v>08,24</v>
      </c>
      <c r="L2400" s="48" t="s">
        <v>266</v>
      </c>
      <c r="M2400" s="48">
        <v>4071.52</v>
      </c>
      <c r="N2400" s="315">
        <v>0.5</v>
      </c>
    </row>
    <row r="2401" spans="1:14" ht="19.5" hidden="1" thickBot="1" x14ac:dyDescent="0.3">
      <c r="A2401" s="732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3"/>
        <v>08,24</v>
      </c>
      <c r="L2401" s="23" t="s">
        <v>266</v>
      </c>
      <c r="M2401" s="23">
        <v>9482.0400000000009</v>
      </c>
      <c r="N2401" s="329">
        <v>0.5</v>
      </c>
    </row>
    <row r="2402" spans="1:14" ht="19.5" hidden="1" thickBot="1" x14ac:dyDescent="0.3">
      <c r="A2402" s="732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3"/>
        <v>08,24</v>
      </c>
      <c r="L2402" s="71" t="s">
        <v>266</v>
      </c>
      <c r="M2402" s="71">
        <v>4399.66</v>
      </c>
      <c r="N2402" s="323">
        <v>0.5</v>
      </c>
    </row>
    <row r="2403" spans="1:14" ht="19.5" hidden="1" thickBot="1" x14ac:dyDescent="0.3">
      <c r="A2403" s="73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3"/>
        <v>08,24</v>
      </c>
      <c r="L2403" s="82" t="s">
        <v>266</v>
      </c>
      <c r="M2403" s="82">
        <v>5853.6</v>
      </c>
      <c r="N2403" s="319">
        <v>0.54166666666666696</v>
      </c>
    </row>
    <row r="2404" spans="1:14" ht="19.5" hidden="1" thickBot="1" x14ac:dyDescent="0.3">
      <c r="A2404" s="73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3"/>
        <v>08,24</v>
      </c>
      <c r="L2404" s="98" t="s">
        <v>266</v>
      </c>
      <c r="M2404" s="98">
        <v>5674.08</v>
      </c>
      <c r="N2404" s="364">
        <v>0.54166666666666696</v>
      </c>
    </row>
    <row r="2405" spans="1:14" ht="19.5" hidden="1" thickBot="1" x14ac:dyDescent="0.3">
      <c r="A2405" s="73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3"/>
        <v>08,24</v>
      </c>
      <c r="L2405" s="65" t="s">
        <v>266</v>
      </c>
      <c r="M2405" s="65">
        <v>6284.18</v>
      </c>
      <c r="N2405" s="434">
        <v>0.54166666666666696</v>
      </c>
    </row>
    <row r="2406" spans="1:14" ht="19.5" hidden="1" thickBot="1" x14ac:dyDescent="0.3">
      <c r="A2406" s="111">
        <f t="shared" ref="A2406:A2412" si="65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3"/>
        <v>08,24</v>
      </c>
      <c r="L2406" s="75" t="s">
        <v>265</v>
      </c>
      <c r="M2406" s="75">
        <v>13152</v>
      </c>
      <c r="N2406" s="322">
        <v>0.375</v>
      </c>
    </row>
    <row r="2407" spans="1:14" ht="19.5" hidden="1" thickBot="1" x14ac:dyDescent="0.3">
      <c r="A2407" s="110">
        <f t="shared" si="65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3"/>
        <v>08,24</v>
      </c>
      <c r="L2407" s="40" t="s">
        <v>265</v>
      </c>
      <c r="M2407" s="40">
        <v>16137.02</v>
      </c>
      <c r="N2407" s="317">
        <v>0.375</v>
      </c>
    </row>
    <row r="2408" spans="1:14" ht="19.5" hidden="1" thickBot="1" x14ac:dyDescent="0.3">
      <c r="A2408" s="153">
        <f t="shared" si="65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3"/>
        <v>08,24</v>
      </c>
      <c r="L2408" s="158" t="s">
        <v>28</v>
      </c>
      <c r="M2408" s="158">
        <v>15197.72</v>
      </c>
      <c r="N2408" s="433">
        <v>0.41666666666666702</v>
      </c>
    </row>
    <row r="2409" spans="1:14" ht="19.5" hidden="1" thickBot="1" x14ac:dyDescent="0.3">
      <c r="A2409" s="110">
        <f t="shared" si="65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3"/>
        <v>08,24</v>
      </c>
      <c r="L2409" s="40" t="s">
        <v>265</v>
      </c>
      <c r="M2409" s="40">
        <v>17255.990000000002</v>
      </c>
      <c r="N2409" s="317">
        <v>0.375</v>
      </c>
    </row>
    <row r="2410" spans="1:14" ht="19.5" hidden="1" thickBot="1" x14ac:dyDescent="0.3">
      <c r="A2410" s="111">
        <f t="shared" si="65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3"/>
        <v>08,24</v>
      </c>
      <c r="L2410" s="75" t="s">
        <v>28</v>
      </c>
      <c r="M2410" s="75">
        <v>17282.2</v>
      </c>
      <c r="N2410" s="322">
        <v>0.41666666666666702</v>
      </c>
    </row>
    <row r="2411" spans="1:14" ht="19.5" hidden="1" thickBot="1" x14ac:dyDescent="0.3">
      <c r="A2411" s="110">
        <f t="shared" si="65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3"/>
        <v>08,24</v>
      </c>
      <c r="L2411" s="40" t="s">
        <v>28</v>
      </c>
      <c r="M2411" s="40">
        <v>17075.7</v>
      </c>
      <c r="N2411" s="317">
        <v>0.45833333333333298</v>
      </c>
    </row>
    <row r="2412" spans="1:14" ht="19.5" hidden="1" thickBot="1" x14ac:dyDescent="0.3">
      <c r="A2412" s="732">
        <f t="shared" si="65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3"/>
        <v>08,24</v>
      </c>
      <c r="L2412" s="48" t="s">
        <v>28</v>
      </c>
      <c r="M2412" s="48">
        <v>13052.74</v>
      </c>
      <c r="N2412" s="315">
        <v>0.5</v>
      </c>
    </row>
    <row r="2413" spans="1:14" ht="19.5" hidden="1" thickBot="1" x14ac:dyDescent="0.3">
      <c r="A2413" s="732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3"/>
        <v>08,24</v>
      </c>
      <c r="L2413" s="71" t="s">
        <v>28</v>
      </c>
      <c r="M2413" s="71">
        <v>4169.88</v>
      </c>
      <c r="N2413" s="323">
        <v>0.5</v>
      </c>
    </row>
    <row r="2414" spans="1:14" ht="19.5" hidden="1" thickBot="1" x14ac:dyDescent="0.3">
      <c r="A2414" s="73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3"/>
        <v>08,24</v>
      </c>
      <c r="L2414" s="82" t="s">
        <v>28</v>
      </c>
      <c r="M2414" s="82">
        <v>8759.2000000000007</v>
      </c>
      <c r="N2414" s="319">
        <v>0.54166666666666696</v>
      </c>
    </row>
    <row r="2415" spans="1:14" ht="19.5" hidden="1" thickBot="1" x14ac:dyDescent="0.3">
      <c r="A2415" s="73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3"/>
        <v>08,24</v>
      </c>
      <c r="L2415" s="65" t="s">
        <v>28</v>
      </c>
      <c r="M2415" s="65">
        <v>8590.11</v>
      </c>
      <c r="N2415" s="434">
        <v>0.54166666666666696</v>
      </c>
    </row>
    <row r="2416" spans="1:14" ht="19.5" hidden="1" thickBot="1" x14ac:dyDescent="0.3">
      <c r="A2416" s="111">
        <f t="shared" ref="A2416:A2422" si="66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3"/>
        <v>08,24</v>
      </c>
      <c r="L2416" s="75" t="s">
        <v>265</v>
      </c>
      <c r="M2416" s="75">
        <v>13267.16</v>
      </c>
      <c r="N2416" s="322">
        <v>0.375</v>
      </c>
    </row>
    <row r="2417" spans="1:14" ht="19.5" hidden="1" thickBot="1" x14ac:dyDescent="0.3">
      <c r="A2417" s="110">
        <f t="shared" si="66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3"/>
        <v>08,24</v>
      </c>
      <c r="L2417" s="40" t="s">
        <v>265</v>
      </c>
      <c r="M2417" s="40">
        <v>17215.98</v>
      </c>
      <c r="N2417" s="317">
        <v>0.375</v>
      </c>
    </row>
    <row r="2418" spans="1:14" ht="38.25" hidden="1" thickBot="1" x14ac:dyDescent="0.3">
      <c r="A2418" s="111">
        <f t="shared" si="66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3"/>
        <v>08,24</v>
      </c>
      <c r="L2418" s="75" t="s">
        <v>28</v>
      </c>
      <c r="M2418" s="75">
        <v>18057.48</v>
      </c>
      <c r="N2418" s="322">
        <v>0.41666666666666702</v>
      </c>
    </row>
    <row r="2419" spans="1:14" ht="19.5" hidden="1" thickBot="1" x14ac:dyDescent="0.3">
      <c r="A2419" s="110">
        <f t="shared" si="66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3"/>
        <v>08,24</v>
      </c>
      <c r="L2419" s="40" t="s">
        <v>265</v>
      </c>
      <c r="M2419" s="40">
        <v>17188.580000000002</v>
      </c>
      <c r="N2419" s="317">
        <v>0.375</v>
      </c>
    </row>
    <row r="2420" spans="1:14" ht="19.5" hidden="1" thickBot="1" x14ac:dyDescent="0.3">
      <c r="A2420" s="111">
        <f t="shared" si="66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3"/>
        <v>08,24</v>
      </c>
      <c r="L2420" s="75" t="s">
        <v>28</v>
      </c>
      <c r="M2420" s="75">
        <v>17098.21</v>
      </c>
      <c r="N2420" s="322">
        <v>0.41666666666666702</v>
      </c>
    </row>
    <row r="2421" spans="1:14" ht="19.5" hidden="1" thickBot="1" x14ac:dyDescent="0.3">
      <c r="A2421" s="110">
        <f t="shared" si="66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3"/>
        <v>08,24</v>
      </c>
      <c r="L2421" s="40" t="s">
        <v>28</v>
      </c>
      <c r="M2421" s="40">
        <v>17225.580000000002</v>
      </c>
      <c r="N2421" s="317">
        <v>0.45833333333333298</v>
      </c>
    </row>
    <row r="2422" spans="1:14" ht="19.5" hidden="1" thickBot="1" x14ac:dyDescent="0.3">
      <c r="A2422" s="732">
        <f t="shared" si="66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3"/>
        <v>08,24</v>
      </c>
      <c r="L2422" s="48" t="s">
        <v>28</v>
      </c>
      <c r="M2422" s="48">
        <v>3196.58</v>
      </c>
      <c r="N2422" s="315">
        <v>0.5</v>
      </c>
    </row>
    <row r="2423" spans="1:14" ht="19.5" hidden="1" thickBot="1" x14ac:dyDescent="0.3">
      <c r="A2423" s="732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3"/>
        <v>08,24</v>
      </c>
      <c r="L2423" s="23" t="s">
        <v>28</v>
      </c>
      <c r="M2423" s="23">
        <v>5143.45</v>
      </c>
      <c r="N2423" s="329">
        <v>0.5</v>
      </c>
    </row>
    <row r="2424" spans="1:14" ht="19.5" hidden="1" thickBot="1" x14ac:dyDescent="0.3">
      <c r="A2424" s="732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3"/>
        <v>08,24</v>
      </c>
      <c r="L2424" s="71" t="s">
        <v>28</v>
      </c>
      <c r="M2424" s="71">
        <v>8879.7000000000007</v>
      </c>
      <c r="N2424" s="323">
        <v>0.5</v>
      </c>
    </row>
    <row r="2425" spans="1:14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3"/>
        <v>08,24</v>
      </c>
      <c r="L2425" s="40" t="s">
        <v>265</v>
      </c>
      <c r="M2425" s="40">
        <v>17215.560000000001</v>
      </c>
      <c r="N2425" s="317">
        <v>0.375</v>
      </c>
    </row>
    <row r="2426" spans="1:14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3"/>
        <v>08,24</v>
      </c>
      <c r="L2426" s="75" t="s">
        <v>266</v>
      </c>
      <c r="M2426" s="75">
        <v>17926.32</v>
      </c>
      <c r="N2426" s="322">
        <v>0.41666666666666702</v>
      </c>
    </row>
    <row r="2427" spans="1:14" ht="19.5" hidden="1" thickBot="1" x14ac:dyDescent="0.3">
      <c r="A2427" s="731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7">RIGHT(I2427,5)</f>
        <v>08,24</v>
      </c>
      <c r="L2427" s="82" t="s">
        <v>28</v>
      </c>
      <c r="M2427" s="82">
        <v>6097.08</v>
      </c>
      <c r="N2427" s="319">
        <v>0.41666666666666702</v>
      </c>
    </row>
    <row r="2428" spans="1:14" ht="19.5" hidden="1" thickBot="1" x14ac:dyDescent="0.3">
      <c r="A2428" s="731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7"/>
        <v>08,24</v>
      </c>
      <c r="L2428" s="98" t="s">
        <v>28</v>
      </c>
      <c r="M2428" s="98">
        <v>6478.2</v>
      </c>
      <c r="N2428" s="364">
        <v>0.41666666666666702</v>
      </c>
    </row>
    <row r="2429" spans="1:14" ht="38.25" hidden="1" thickBot="1" x14ac:dyDescent="0.3">
      <c r="A2429" s="731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7"/>
        <v>08,24</v>
      </c>
      <c r="L2429" s="98" t="s">
        <v>28</v>
      </c>
      <c r="M2429" s="98">
        <v>138</v>
      </c>
      <c r="N2429" s="364">
        <v>0.41666666666666702</v>
      </c>
    </row>
    <row r="2430" spans="1:14" ht="38.25" hidden="1" thickBot="1" x14ac:dyDescent="0.3">
      <c r="A2430" s="731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7"/>
        <v>08,24</v>
      </c>
      <c r="L2430" s="90" t="s">
        <v>28</v>
      </c>
      <c r="M2430" s="90">
        <v>56</v>
      </c>
      <c r="N2430" s="325">
        <v>0.41666666666666702</v>
      </c>
    </row>
    <row r="2431" spans="1:14" ht="19.5" hidden="1" thickBot="1" x14ac:dyDescent="0.3">
      <c r="A2431" s="732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7"/>
        <v>08,24</v>
      </c>
      <c r="L2431" s="48" t="s">
        <v>28</v>
      </c>
      <c r="M2431" s="48">
        <v>8796.1200000000008</v>
      </c>
      <c r="N2431" s="315">
        <v>0.45833333333333298</v>
      </c>
    </row>
    <row r="2432" spans="1:14" ht="19.5" hidden="1" thickBot="1" x14ac:dyDescent="0.3">
      <c r="A2432" s="732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7"/>
        <v>08,24</v>
      </c>
      <c r="L2432" s="23" t="s">
        <v>28</v>
      </c>
      <c r="M2432" s="23">
        <v>2244.4</v>
      </c>
      <c r="N2432" s="329">
        <v>0.45833333333333298</v>
      </c>
    </row>
    <row r="2433" spans="1:14" ht="19.5" hidden="1" thickBot="1" x14ac:dyDescent="0.3">
      <c r="A2433" s="732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7"/>
        <v>08,24</v>
      </c>
      <c r="L2433" s="23" t="s">
        <v>28</v>
      </c>
      <c r="M2433" s="23">
        <v>1534.8</v>
      </c>
      <c r="N2433" s="329">
        <v>0.45833333333333298</v>
      </c>
    </row>
    <row r="2434" spans="1:14" ht="38.25" hidden="1" thickBot="1" x14ac:dyDescent="0.3">
      <c r="A2434" s="732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7"/>
        <v>нет</v>
      </c>
      <c r="L2434" s="23" t="s">
        <v>28</v>
      </c>
      <c r="M2434" s="23">
        <v>117</v>
      </c>
      <c r="N2434" s="329">
        <v>0.45833333333333298</v>
      </c>
    </row>
    <row r="2435" spans="1:14" ht="38.25" hidden="1" thickBot="1" x14ac:dyDescent="0.3">
      <c r="A2435" s="732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7"/>
        <v>08,24</v>
      </c>
      <c r="L2435" s="71" t="s">
        <v>28</v>
      </c>
      <c r="M2435" s="71">
        <v>105</v>
      </c>
      <c r="N2435" s="323">
        <v>0.45833333333333298</v>
      </c>
    </row>
    <row r="2436" spans="1:14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7"/>
        <v>08,24</v>
      </c>
      <c r="L2436" s="122" t="s">
        <v>266</v>
      </c>
      <c r="M2436" s="122">
        <v>14565.4</v>
      </c>
      <c r="N2436" s="365">
        <v>0.5</v>
      </c>
    </row>
    <row r="2437" spans="1:14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7"/>
        <v>08,24</v>
      </c>
      <c r="L2437" s="75" t="s">
        <v>266</v>
      </c>
      <c r="M2437" s="75">
        <v>17913.599999999999</v>
      </c>
      <c r="N2437" s="322">
        <v>0.375</v>
      </c>
    </row>
    <row r="2438" spans="1:14" ht="19.5" hidden="1" thickBot="1" x14ac:dyDescent="0.3">
      <c r="A2438" s="731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7"/>
        <v>08,24</v>
      </c>
      <c r="L2438" s="82" t="s">
        <v>266</v>
      </c>
      <c r="M2438" s="82">
        <v>5922.6</v>
      </c>
      <c r="N2438" s="319">
        <v>0.41666666666666702</v>
      </c>
    </row>
    <row r="2439" spans="1:14" ht="19.5" hidden="1" thickBot="1" x14ac:dyDescent="0.3">
      <c r="A2439" s="731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7"/>
        <v>08,24</v>
      </c>
      <c r="L2439" s="90" t="s">
        <v>266</v>
      </c>
      <c r="M2439" s="90">
        <v>9605.7000000000007</v>
      </c>
      <c r="N2439" s="325">
        <v>0.41666666666666702</v>
      </c>
    </row>
    <row r="2440" spans="1:14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7"/>
        <v>08,24</v>
      </c>
      <c r="L2440" s="75" t="s">
        <v>266</v>
      </c>
      <c r="M2440" s="75">
        <v>18001.2</v>
      </c>
      <c r="N2440" s="322">
        <v>0.45833333333333298</v>
      </c>
    </row>
    <row r="2441" spans="1:14" ht="19.5" hidden="1" thickBot="1" x14ac:dyDescent="0.3">
      <c r="A2441" s="731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7"/>
        <v>08,24</v>
      </c>
      <c r="L2441" s="82" t="s">
        <v>266</v>
      </c>
      <c r="M2441" s="82">
        <v>2842.58</v>
      </c>
      <c r="N2441" s="319">
        <v>0.5</v>
      </c>
    </row>
    <row r="2442" spans="1:14" ht="19.5" hidden="1" thickBot="1" x14ac:dyDescent="0.3">
      <c r="A2442" s="731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7"/>
        <v>08,24</v>
      </c>
      <c r="L2442" s="98" t="s">
        <v>266</v>
      </c>
      <c r="M2442" s="98">
        <v>4905.18</v>
      </c>
      <c r="N2442" s="364">
        <v>0.5</v>
      </c>
    </row>
    <row r="2443" spans="1:14" ht="19.5" hidden="1" thickBot="1" x14ac:dyDescent="0.3">
      <c r="A2443" s="731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7"/>
        <v>08,24</v>
      </c>
      <c r="L2443" s="98" t="s">
        <v>266</v>
      </c>
      <c r="M2443" s="98">
        <v>3502.2</v>
      </c>
      <c r="N2443" s="364">
        <v>0.5</v>
      </c>
    </row>
    <row r="2444" spans="1:14" ht="19.5" hidden="1" thickBot="1" x14ac:dyDescent="0.3">
      <c r="A2444" s="731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7"/>
        <v>08,24</v>
      </c>
      <c r="L2444" s="90" t="s">
        <v>266</v>
      </c>
      <c r="M2444" s="90">
        <v>6095.76</v>
      </c>
      <c r="N2444" s="325">
        <v>0.5</v>
      </c>
    </row>
    <row r="2445" spans="1:14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7"/>
        <v>08,24</v>
      </c>
      <c r="L2445" s="75" t="s">
        <v>265</v>
      </c>
      <c r="M2445" s="75">
        <v>11781.4</v>
      </c>
      <c r="N2445" s="322">
        <v>0.375</v>
      </c>
    </row>
    <row r="2446" spans="1:14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7"/>
        <v>08,24</v>
      </c>
      <c r="L2446" s="122" t="s">
        <v>265</v>
      </c>
      <c r="M2446" s="122">
        <v>16594.2</v>
      </c>
      <c r="N2446" s="365">
        <v>0.375</v>
      </c>
    </row>
    <row r="2447" spans="1:14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7"/>
        <v>08,24</v>
      </c>
      <c r="L2447" s="75" t="s">
        <v>265</v>
      </c>
      <c r="M2447" s="75">
        <v>16851.099999999999</v>
      </c>
      <c r="N2447" s="322">
        <v>0.375</v>
      </c>
    </row>
    <row r="2448" spans="1:14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7"/>
        <v>08,24</v>
      </c>
      <c r="L2448" s="40" t="s">
        <v>28</v>
      </c>
      <c r="M2448" s="40">
        <v>17515.310000000001</v>
      </c>
      <c r="N2448" s="317">
        <v>0.41666666666666702</v>
      </c>
    </row>
    <row r="2449" spans="1:14" ht="19.5" hidden="1" thickBot="1" x14ac:dyDescent="0.3">
      <c r="A2449" s="732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7"/>
        <v>08,24</v>
      </c>
      <c r="L2449" s="48" t="s">
        <v>28</v>
      </c>
      <c r="M2449" s="48">
        <v>2006.28</v>
      </c>
      <c r="N2449" s="315">
        <v>0.45833333333333298</v>
      </c>
    </row>
    <row r="2450" spans="1:14" ht="19.5" hidden="1" thickBot="1" x14ac:dyDescent="0.3">
      <c r="A2450" s="732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7"/>
        <v>08,24</v>
      </c>
      <c r="L2450" s="71" t="s">
        <v>28</v>
      </c>
      <c r="M2450" s="71">
        <v>15508.81</v>
      </c>
      <c r="N2450" s="323">
        <v>0.45833333333333298</v>
      </c>
    </row>
    <row r="2451" spans="1:14" ht="19.5" hidden="1" thickBot="1" x14ac:dyDescent="0.3">
      <c r="A2451" s="731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7"/>
        <v>08,24</v>
      </c>
      <c r="L2451" s="82" t="s">
        <v>28</v>
      </c>
      <c r="M2451" s="82">
        <v>6728.12</v>
      </c>
      <c r="N2451" s="319">
        <v>0.5</v>
      </c>
    </row>
    <row r="2452" spans="1:14" ht="19.5" hidden="1" thickBot="1" x14ac:dyDescent="0.3">
      <c r="A2452" s="731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7"/>
        <v>08,24</v>
      </c>
      <c r="L2452" s="90" t="s">
        <v>28</v>
      </c>
      <c r="M2452" s="90">
        <v>10671.72</v>
      </c>
      <c r="N2452" s="325">
        <v>0.5</v>
      </c>
    </row>
    <row r="2453" spans="1:14" ht="19.5" hidden="1" thickBot="1" x14ac:dyDescent="0.3">
      <c r="A2453" s="735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7"/>
        <v>08,24</v>
      </c>
      <c r="L2453" s="48" t="s">
        <v>28</v>
      </c>
      <c r="M2453" s="48">
        <v>3355.4</v>
      </c>
      <c r="N2453" s="315">
        <v>0.54166666666666696</v>
      </c>
    </row>
    <row r="2454" spans="1:14" ht="19.5" hidden="1" thickBot="1" x14ac:dyDescent="0.3">
      <c r="A2454" s="735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7"/>
        <v>08,24</v>
      </c>
      <c r="L2454" s="293" t="s">
        <v>28</v>
      </c>
      <c r="M2454" s="293">
        <v>14769.54</v>
      </c>
      <c r="N2454" s="389">
        <v>0.54166666666666696</v>
      </c>
    </row>
    <row r="2455" spans="1:14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7"/>
        <v>08,24</v>
      </c>
      <c r="L2455" s="40" t="s">
        <v>265</v>
      </c>
      <c r="M2455" s="40">
        <v>13048.72</v>
      </c>
      <c r="N2455" s="317">
        <v>0.375</v>
      </c>
    </row>
    <row r="2456" spans="1:14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7"/>
        <v>08,24</v>
      </c>
      <c r="L2456" s="75" t="s">
        <v>28</v>
      </c>
      <c r="M2456" s="75">
        <v>15154.38</v>
      </c>
      <c r="N2456" s="322">
        <v>0.375</v>
      </c>
    </row>
    <row r="2457" spans="1:14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7"/>
        <v>08,24</v>
      </c>
      <c r="L2457" s="40" t="s">
        <v>28</v>
      </c>
      <c r="M2457" s="40">
        <v>17648.759999999998</v>
      </c>
      <c r="N2457" s="317">
        <v>0.41666666666666702</v>
      </c>
    </row>
    <row r="2458" spans="1:14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7"/>
        <v>08,24</v>
      </c>
      <c r="L2458" s="75" t="s">
        <v>265</v>
      </c>
      <c r="M2458" s="75">
        <v>17181.3</v>
      </c>
      <c r="N2458" s="322">
        <v>0.375</v>
      </c>
    </row>
    <row r="2459" spans="1:14" ht="19.5" hidden="1" thickBot="1" x14ac:dyDescent="0.3">
      <c r="A2459" s="731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7"/>
        <v>08,24</v>
      </c>
      <c r="L2459" s="82" t="s">
        <v>28</v>
      </c>
      <c r="M2459" s="82">
        <v>1872.15</v>
      </c>
      <c r="N2459" s="319">
        <v>0.41666666666666702</v>
      </c>
    </row>
    <row r="2460" spans="1:14" ht="19.5" hidden="1" thickBot="1" x14ac:dyDescent="0.3">
      <c r="A2460" s="731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7"/>
        <v>08,24</v>
      </c>
      <c r="L2460" s="98" t="s">
        <v>28</v>
      </c>
      <c r="M2460" s="98">
        <v>13479.72</v>
      </c>
      <c r="N2460" s="364">
        <v>0.41666666666666702</v>
      </c>
    </row>
    <row r="2461" spans="1:14" ht="19.5" hidden="1" thickBot="1" x14ac:dyDescent="0.3">
      <c r="A2461" s="731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7"/>
        <v>08,24</v>
      </c>
      <c r="L2461" s="90" t="s">
        <v>28</v>
      </c>
      <c r="M2461" s="90">
        <v>2204.7600000000002</v>
      </c>
      <c r="N2461" s="325">
        <v>0.41666666666666702</v>
      </c>
    </row>
    <row r="2462" spans="1:14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7"/>
        <v>08,24</v>
      </c>
      <c r="L2462" s="75" t="s">
        <v>28</v>
      </c>
      <c r="M2462" s="75">
        <v>19838.928</v>
      </c>
      <c r="N2462" s="322">
        <v>0.45833333333333298</v>
      </c>
    </row>
    <row r="2463" spans="1:14" ht="19.5" hidden="1" thickBot="1" x14ac:dyDescent="0.3">
      <c r="A2463" s="731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7"/>
        <v>08,24</v>
      </c>
      <c r="L2463" s="82" t="s">
        <v>28</v>
      </c>
      <c r="M2463" s="82">
        <v>9705.74</v>
      </c>
      <c r="N2463" s="319">
        <v>0.5</v>
      </c>
    </row>
    <row r="2464" spans="1:14" ht="19.5" hidden="1" thickBot="1" x14ac:dyDescent="0.3">
      <c r="A2464" s="731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7"/>
        <v>08,24</v>
      </c>
      <c r="L2464" s="90" t="s">
        <v>28</v>
      </c>
      <c r="M2464" s="90">
        <v>7884.3</v>
      </c>
      <c r="N2464" s="325">
        <v>0.5</v>
      </c>
    </row>
    <row r="2465" spans="1:14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7"/>
        <v>08,24</v>
      </c>
      <c r="L2465" s="75" t="s">
        <v>265</v>
      </c>
      <c r="M2465" s="75">
        <v>17218.759999999998</v>
      </c>
      <c r="N2465" s="322">
        <v>0.375</v>
      </c>
    </row>
    <row r="2466" spans="1:14" ht="19.5" hidden="1" thickBot="1" x14ac:dyDescent="0.3">
      <c r="A2466" s="731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7"/>
        <v>08,24</v>
      </c>
      <c r="L2466" s="82" t="s">
        <v>28</v>
      </c>
      <c r="M2466" s="82">
        <v>7752.68</v>
      </c>
      <c r="N2466" s="319">
        <v>0.375</v>
      </c>
    </row>
    <row r="2467" spans="1:14" ht="19.5" hidden="1" thickBot="1" x14ac:dyDescent="0.3">
      <c r="A2467" s="731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7"/>
        <v>08,24</v>
      </c>
      <c r="L2467" s="90" t="s">
        <v>28</v>
      </c>
      <c r="M2467" s="90">
        <v>4721.3599999999997</v>
      </c>
      <c r="N2467" s="325">
        <v>0.375</v>
      </c>
    </row>
    <row r="2468" spans="1:14" ht="19.5" hidden="1" thickBot="1" x14ac:dyDescent="0.3">
      <c r="A2468" s="732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7"/>
        <v>08,24</v>
      </c>
      <c r="L2468" s="48" t="s">
        <v>28</v>
      </c>
      <c r="M2468" s="48">
        <v>793.8</v>
      </c>
      <c r="N2468" s="315">
        <v>0.41666666666666702</v>
      </c>
    </row>
    <row r="2469" spans="1:14" ht="19.5" hidden="1" thickBot="1" x14ac:dyDescent="0.3">
      <c r="A2469" s="732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7"/>
        <v>08,24</v>
      </c>
      <c r="L2469" s="71" t="s">
        <v>28</v>
      </c>
      <c r="M2469" s="71">
        <v>10944.08</v>
      </c>
      <c r="N2469" s="323">
        <v>0.41666666666666702</v>
      </c>
    </row>
    <row r="2470" spans="1:14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7"/>
        <v>08,24</v>
      </c>
      <c r="L2470" s="40" t="s">
        <v>28</v>
      </c>
      <c r="M2470" s="40">
        <v>13109.68</v>
      </c>
      <c r="N2470" s="317">
        <v>0.45833333333333298</v>
      </c>
    </row>
    <row r="2471" spans="1:14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7"/>
        <v>08,24</v>
      </c>
      <c r="L2471" s="158" t="s">
        <v>28</v>
      </c>
      <c r="M2471" s="158">
        <v>11869.68</v>
      </c>
      <c r="N2471" s="433">
        <v>0.5</v>
      </c>
    </row>
    <row r="2472" spans="1:14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7"/>
        <v>08,24</v>
      </c>
      <c r="L2472" s="40" t="s">
        <v>265</v>
      </c>
      <c r="M2472" s="40">
        <v>8031.6</v>
      </c>
      <c r="N2472" s="317">
        <v>0.375</v>
      </c>
    </row>
    <row r="2473" spans="1:14" ht="19.5" hidden="1" thickBot="1" x14ac:dyDescent="0.3">
      <c r="A2473" s="732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7"/>
        <v>08,24</v>
      </c>
      <c r="L2473" s="48" t="s">
        <v>266</v>
      </c>
      <c r="M2473" s="48">
        <v>4376.8100000000004</v>
      </c>
      <c r="N2473" s="315">
        <v>0.41666666666666702</v>
      </c>
    </row>
    <row r="2474" spans="1:14" ht="19.5" hidden="1" thickBot="1" x14ac:dyDescent="0.3">
      <c r="A2474" s="732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7"/>
        <v>08,24</v>
      </c>
      <c r="L2474" s="23" t="s">
        <v>266</v>
      </c>
      <c r="M2474" s="23">
        <v>8453.85</v>
      </c>
      <c r="N2474" s="329">
        <v>0.41666666666666702</v>
      </c>
    </row>
    <row r="2475" spans="1:14" ht="19.5" hidden="1" thickBot="1" x14ac:dyDescent="0.3">
      <c r="A2475" s="732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7"/>
        <v>08,24</v>
      </c>
      <c r="L2475" s="71" t="s">
        <v>266</v>
      </c>
      <c r="M2475" s="71">
        <v>4919.84</v>
      </c>
      <c r="N2475" s="323">
        <v>0.41666666666666702</v>
      </c>
    </row>
    <row r="2476" spans="1:14" ht="19.5" hidden="1" thickBot="1" x14ac:dyDescent="0.3">
      <c r="A2476" s="731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7"/>
        <v>08,24</v>
      </c>
      <c r="L2476" s="82" t="s">
        <v>266</v>
      </c>
      <c r="M2476" s="82">
        <v>5062.74</v>
      </c>
      <c r="N2476" s="319">
        <v>0.45833333333333298</v>
      </c>
    </row>
    <row r="2477" spans="1:14" ht="19.5" hidden="1" thickBot="1" x14ac:dyDescent="0.3">
      <c r="A2477" s="731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7"/>
        <v>08,24</v>
      </c>
      <c r="L2477" s="90" t="s">
        <v>266</v>
      </c>
      <c r="M2477" s="90">
        <v>11111.46</v>
      </c>
      <c r="N2477" s="325">
        <v>0.45833333333333298</v>
      </c>
    </row>
    <row r="2478" spans="1:14" ht="19.5" hidden="1" thickBot="1" x14ac:dyDescent="0.3">
      <c r="A2478" s="153">
        <f t="shared" ref="A2478:A2485" si="68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7"/>
        <v>08,24</v>
      </c>
      <c r="L2478" s="158" t="s">
        <v>266</v>
      </c>
      <c r="M2478" s="158">
        <v>18128.7</v>
      </c>
      <c r="N2478" s="433">
        <v>0.5</v>
      </c>
    </row>
    <row r="2479" spans="1:14" ht="19.5" hidden="1" thickBot="1" x14ac:dyDescent="0.3">
      <c r="A2479" s="111">
        <f t="shared" si="68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7"/>
        <v>08,24</v>
      </c>
      <c r="L2479" s="75" t="s">
        <v>265</v>
      </c>
      <c r="M2479" s="75">
        <v>12987.8</v>
      </c>
      <c r="N2479" s="322">
        <v>0.375</v>
      </c>
    </row>
    <row r="2480" spans="1:14" ht="19.5" hidden="1" thickBot="1" x14ac:dyDescent="0.3">
      <c r="A2480" s="110">
        <f t="shared" si="68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7"/>
        <v>08,24</v>
      </c>
      <c r="L2480" s="40" t="s">
        <v>265</v>
      </c>
      <c r="M2480" s="40">
        <v>16725.8</v>
      </c>
      <c r="N2480" s="317">
        <v>0.375</v>
      </c>
    </row>
    <row r="2481" spans="1:14" ht="19.5" hidden="1" thickBot="1" x14ac:dyDescent="0.3">
      <c r="A2481" s="111">
        <f t="shared" si="68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7"/>
        <v>09,24</v>
      </c>
      <c r="L2481" s="75" t="s">
        <v>266</v>
      </c>
      <c r="M2481" s="75">
        <v>5077.28</v>
      </c>
      <c r="N2481" s="322">
        <v>0.41666666666666702</v>
      </c>
    </row>
    <row r="2482" spans="1:14" ht="19.5" hidden="1" thickBot="1" x14ac:dyDescent="0.3">
      <c r="A2482" s="149">
        <f t="shared" si="68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7"/>
        <v>08,24</v>
      </c>
      <c r="L2482" s="122" t="s">
        <v>28</v>
      </c>
      <c r="M2482" s="122">
        <v>15302.76</v>
      </c>
      <c r="N2482" s="365">
        <v>0.41666666666666702</v>
      </c>
    </row>
    <row r="2483" spans="1:14" ht="19.5" hidden="1" thickBot="1" x14ac:dyDescent="0.3">
      <c r="A2483" s="111">
        <f t="shared" si="68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7"/>
        <v>08,24</v>
      </c>
      <c r="L2483" s="75" t="s">
        <v>265</v>
      </c>
      <c r="M2483" s="75">
        <v>17175.689999999999</v>
      </c>
      <c r="N2483" s="322">
        <v>0.375</v>
      </c>
    </row>
    <row r="2484" spans="1:14" ht="19.5" hidden="1" thickBot="1" x14ac:dyDescent="0.3">
      <c r="A2484" s="110">
        <f t="shared" si="68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7"/>
        <v>09,24</v>
      </c>
      <c r="L2484" s="40" t="s">
        <v>28</v>
      </c>
      <c r="M2484" s="40">
        <v>17291.439999999999</v>
      </c>
      <c r="N2484" s="317">
        <v>0.41666666666666702</v>
      </c>
    </row>
    <row r="2485" spans="1:14" ht="19.5" hidden="1" thickBot="1" x14ac:dyDescent="0.3">
      <c r="A2485" s="732">
        <f t="shared" si="68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7"/>
        <v>08,24</v>
      </c>
      <c r="L2485" s="48" t="s">
        <v>28</v>
      </c>
      <c r="M2485" s="48">
        <v>5257.03</v>
      </c>
      <c r="N2485" s="315">
        <v>0.45833333333333298</v>
      </c>
    </row>
    <row r="2486" spans="1:14" ht="19.5" hidden="1" thickBot="1" x14ac:dyDescent="0.3">
      <c r="A2486" s="732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7"/>
        <v>08,24</v>
      </c>
      <c r="L2486" s="71" t="s">
        <v>28</v>
      </c>
      <c r="M2486" s="71">
        <v>12137.84</v>
      </c>
      <c r="N2486" s="323">
        <v>0.45833333333333298</v>
      </c>
    </row>
    <row r="2487" spans="1:14" ht="19.5" hidden="1" thickBot="1" x14ac:dyDescent="0.3">
      <c r="A2487" s="731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7"/>
        <v>08,24</v>
      </c>
      <c r="L2487" s="82" t="s">
        <v>28</v>
      </c>
      <c r="M2487" s="82">
        <v>3234.24</v>
      </c>
      <c r="N2487" s="319">
        <v>0.5</v>
      </c>
    </row>
    <row r="2488" spans="1:14" ht="19.5" hidden="1" thickBot="1" x14ac:dyDescent="0.3">
      <c r="A2488" s="731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7"/>
        <v>08,24</v>
      </c>
      <c r="L2488" s="90" t="s">
        <v>28</v>
      </c>
      <c r="M2488" s="90">
        <v>14010.38</v>
      </c>
      <c r="N2488" s="325">
        <v>0.5</v>
      </c>
    </row>
    <row r="2489" spans="1:14" ht="19.5" hidden="1" thickBot="1" x14ac:dyDescent="0.3">
      <c r="A2489" s="735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7"/>
        <v>08,24</v>
      </c>
      <c r="L2489" s="48" t="s">
        <v>28</v>
      </c>
      <c r="M2489" s="48">
        <v>14313.72</v>
      </c>
      <c r="N2489" s="315">
        <v>0.54166666666666696</v>
      </c>
    </row>
    <row r="2490" spans="1:14" ht="19.5" hidden="1" thickBot="1" x14ac:dyDescent="0.3">
      <c r="A2490" s="735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7"/>
        <v>08,24</v>
      </c>
      <c r="L2490" s="293" t="s">
        <v>28</v>
      </c>
      <c r="M2490" s="293">
        <v>2700</v>
      </c>
      <c r="N2490" s="389">
        <v>0.54166666666666696</v>
      </c>
    </row>
    <row r="2491" spans="1:14" ht="19.5" hidden="1" thickBot="1" x14ac:dyDescent="0.3">
      <c r="A2491" s="731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69">RIGHT(I2491,5)</f>
        <v>08,24</v>
      </c>
      <c r="L2491" s="82" t="s">
        <v>265</v>
      </c>
      <c r="M2491" s="82">
        <v>12161.2</v>
      </c>
      <c r="N2491" s="319">
        <v>0.375</v>
      </c>
    </row>
    <row r="2492" spans="1:14" ht="38.25" hidden="1" thickBot="1" x14ac:dyDescent="0.3">
      <c r="A2492" s="731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69"/>
        <v>нет</v>
      </c>
      <c r="L2492" s="90" t="s">
        <v>265</v>
      </c>
      <c r="M2492" s="90">
        <v>207</v>
      </c>
      <c r="N2492" s="325">
        <v>0.375</v>
      </c>
    </row>
    <row r="2493" spans="1:14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69"/>
        <v>09,24</v>
      </c>
      <c r="L2493" s="75" t="s">
        <v>28</v>
      </c>
      <c r="M2493" s="75">
        <v>17189.099999999999</v>
      </c>
      <c r="N2493" s="322">
        <v>0.375</v>
      </c>
    </row>
    <row r="2494" spans="1:14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69"/>
        <v>09,24</v>
      </c>
      <c r="L2494" s="40" t="s">
        <v>266</v>
      </c>
      <c r="M2494" s="40">
        <v>17958.8</v>
      </c>
      <c r="N2494" s="317">
        <v>0.41666666666666702</v>
      </c>
    </row>
    <row r="2495" spans="1:14" ht="113.2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69"/>
        <v>09,24</v>
      </c>
      <c r="L2495" s="75" t="s">
        <v>28</v>
      </c>
      <c r="M2495" s="75">
        <v>10257.84</v>
      </c>
      <c r="N2495" s="322">
        <v>0.41666666666666702</v>
      </c>
    </row>
    <row r="2496" spans="1:14" ht="19.5" hidden="1" thickBot="1" x14ac:dyDescent="0.3">
      <c r="A2496" s="731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69"/>
        <v>09,24</v>
      </c>
      <c r="L2496" s="82" t="s">
        <v>28</v>
      </c>
      <c r="M2496" s="82">
        <v>5471.52</v>
      </c>
      <c r="N2496" s="319">
        <v>0.45833333333333298</v>
      </c>
    </row>
    <row r="2497" spans="1:14" ht="19.5" hidden="1" thickBot="1" x14ac:dyDescent="0.3">
      <c r="A2497" s="731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69"/>
        <v>09,24</v>
      </c>
      <c r="L2497" s="98" t="s">
        <v>28</v>
      </c>
      <c r="M2497" s="98">
        <v>1042.56</v>
      </c>
      <c r="N2497" s="364">
        <v>0.45833333333333298</v>
      </c>
    </row>
    <row r="2498" spans="1:14" ht="19.5" hidden="1" thickBot="1" x14ac:dyDescent="0.3">
      <c r="A2498" s="731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69"/>
        <v>09,24</v>
      </c>
      <c r="L2498" s="90" t="s">
        <v>28</v>
      </c>
      <c r="M2498" s="90">
        <v>6417.6</v>
      </c>
      <c r="N2498" s="325">
        <v>0.45833333333333298</v>
      </c>
    </row>
    <row r="2499" spans="1:14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69"/>
        <v>09,24</v>
      </c>
      <c r="L2499" s="75" t="s">
        <v>265</v>
      </c>
      <c r="M2499" s="75">
        <v>17349.82</v>
      </c>
      <c r="N2499" s="322">
        <v>0.375</v>
      </c>
    </row>
    <row r="2500" spans="1:14" ht="19.5" hidden="1" thickBot="1" x14ac:dyDescent="0.3">
      <c r="A2500" s="731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69"/>
        <v>09,24</v>
      </c>
      <c r="L2500" s="82" t="s">
        <v>28</v>
      </c>
      <c r="M2500" s="82">
        <v>4661.93</v>
      </c>
      <c r="N2500" s="319">
        <v>0.41666666666666702</v>
      </c>
    </row>
    <row r="2501" spans="1:14" ht="19.5" hidden="1" thickBot="1" x14ac:dyDescent="0.3">
      <c r="A2501" s="731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69"/>
        <v>09,24</v>
      </c>
      <c r="L2501" s="90" t="s">
        <v>28</v>
      </c>
      <c r="M2501" s="90">
        <v>12588.76</v>
      </c>
      <c r="N2501" s="325">
        <v>0.41666666666666702</v>
      </c>
    </row>
    <row r="2502" spans="1:14" ht="19.5" hidden="1" thickBot="1" x14ac:dyDescent="0.3">
      <c r="A2502" s="732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69"/>
        <v>09,24</v>
      </c>
      <c r="L2502" s="48" t="s">
        <v>28</v>
      </c>
      <c r="M2502" s="48">
        <v>2781.81</v>
      </c>
      <c r="N2502" s="315">
        <v>0.45833333333333298</v>
      </c>
    </row>
    <row r="2503" spans="1:14" ht="19.5" hidden="1" thickBot="1" x14ac:dyDescent="0.3">
      <c r="A2503" s="732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69"/>
        <v>09,24</v>
      </c>
      <c r="L2503" s="23" t="s">
        <v>28</v>
      </c>
      <c r="M2503" s="23">
        <v>9380.7999999999993</v>
      </c>
      <c r="N2503" s="329">
        <v>0.45833333333333298</v>
      </c>
    </row>
    <row r="2504" spans="1:14" ht="19.5" hidden="1" thickBot="1" x14ac:dyDescent="0.3">
      <c r="A2504" s="732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69"/>
        <v>09,24</v>
      </c>
      <c r="L2504" s="71" t="s">
        <v>28</v>
      </c>
      <c r="M2504" s="71">
        <v>5495.8</v>
      </c>
      <c r="N2504" s="323">
        <v>0.45833333333333298</v>
      </c>
    </row>
    <row r="2505" spans="1:14" ht="19.5" hidden="1" thickBot="1" x14ac:dyDescent="0.3">
      <c r="A2505" s="731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69"/>
        <v>09,24</v>
      </c>
      <c r="L2505" s="82" t="s">
        <v>28</v>
      </c>
      <c r="M2505" s="82">
        <v>15725.88</v>
      </c>
      <c r="N2505" s="319">
        <v>0.5</v>
      </c>
    </row>
    <row r="2506" spans="1:14" ht="19.5" hidden="1" thickBot="1" x14ac:dyDescent="0.3">
      <c r="A2506" s="731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69"/>
        <v>09,24</v>
      </c>
      <c r="L2506" s="90" t="s">
        <v>28</v>
      </c>
      <c r="M2506" s="90">
        <v>1151.52</v>
      </c>
      <c r="N2506" s="325">
        <v>0.5</v>
      </c>
    </row>
    <row r="2507" spans="1:14" ht="19.5" hidden="1" thickBot="1" x14ac:dyDescent="0.3">
      <c r="A2507" s="111">
        <f t="shared" ref="A2507:A2513" si="70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69"/>
        <v>09,24</v>
      </c>
      <c r="L2507" s="75" t="s">
        <v>28</v>
      </c>
      <c r="M2507" s="75">
        <v>15266.75</v>
      </c>
      <c r="N2507" s="322">
        <v>0.45833333333333298</v>
      </c>
    </row>
    <row r="2508" spans="1:14" ht="19.5" hidden="1" thickBot="1" x14ac:dyDescent="0.3">
      <c r="A2508" s="149">
        <f t="shared" si="70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69"/>
        <v>09,24</v>
      </c>
      <c r="L2508" s="122" t="s">
        <v>266</v>
      </c>
      <c r="M2508" s="122">
        <v>15855.49</v>
      </c>
      <c r="N2508" s="365">
        <v>0.375</v>
      </c>
    </row>
    <row r="2509" spans="1:14" ht="19.5" hidden="1" thickBot="1" x14ac:dyDescent="0.3">
      <c r="A2509" s="111">
        <f t="shared" si="70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69"/>
        <v>09,24</v>
      </c>
      <c r="L2509" s="75" t="s">
        <v>266</v>
      </c>
      <c r="M2509" s="75">
        <v>18034.78</v>
      </c>
      <c r="N2509" s="322">
        <v>0.375</v>
      </c>
    </row>
    <row r="2510" spans="1:14" ht="19.5" hidden="1" thickBot="1" x14ac:dyDescent="0.3">
      <c r="A2510" s="110">
        <f t="shared" si="70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69"/>
        <v>09,24</v>
      </c>
      <c r="L2510" s="40" t="s">
        <v>266</v>
      </c>
      <c r="M2510" s="40">
        <v>17968.68</v>
      </c>
      <c r="N2510" s="317">
        <v>0.41666666666666702</v>
      </c>
    </row>
    <row r="2511" spans="1:14" ht="19.5" hidden="1" thickBot="1" x14ac:dyDescent="0.3">
      <c r="A2511" s="111">
        <f t="shared" si="70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69"/>
        <v>09,24</v>
      </c>
      <c r="L2511" s="75" t="s">
        <v>265</v>
      </c>
      <c r="M2511" s="75">
        <v>7053.9</v>
      </c>
      <c r="N2511" s="322">
        <v>0.45833333333333298</v>
      </c>
    </row>
    <row r="2512" spans="1:14" ht="19.5" hidden="1" thickBot="1" x14ac:dyDescent="0.3">
      <c r="A2512" s="110">
        <f t="shared" si="70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69"/>
        <v>09,24</v>
      </c>
      <c r="L2512" s="40" t="s">
        <v>266</v>
      </c>
      <c r="M2512" s="40">
        <v>8362.92</v>
      </c>
      <c r="N2512" s="317">
        <v>0.5</v>
      </c>
    </row>
    <row r="2513" spans="1:14" ht="19.5" hidden="1" thickBot="1" x14ac:dyDescent="0.3">
      <c r="A2513" s="732">
        <f t="shared" si="70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69"/>
        <v>09,24</v>
      </c>
      <c r="L2513" s="48" t="s">
        <v>266</v>
      </c>
      <c r="M2513" s="48">
        <v>3824</v>
      </c>
      <c r="N2513" s="315">
        <v>0.54166666666666696</v>
      </c>
    </row>
    <row r="2514" spans="1:14" ht="19.5" hidden="1" thickBot="1" x14ac:dyDescent="0.3">
      <c r="A2514" s="732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69"/>
        <v>09,24</v>
      </c>
      <c r="L2514" s="23" t="s">
        <v>266</v>
      </c>
      <c r="M2514" s="23">
        <v>2205.06</v>
      </c>
      <c r="N2514" s="329">
        <v>0.54166666666666696</v>
      </c>
    </row>
    <row r="2515" spans="1:14" ht="19.5" hidden="1" thickBot="1" x14ac:dyDescent="0.3">
      <c r="A2515" s="732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69"/>
        <v>09,24</v>
      </c>
      <c r="L2515" s="23" t="s">
        <v>266</v>
      </c>
      <c r="M2515" s="23">
        <v>4355.8599999999997</v>
      </c>
      <c r="N2515" s="329">
        <v>0.54166666666666696</v>
      </c>
    </row>
    <row r="2516" spans="1:14" ht="19.5" hidden="1" thickBot="1" x14ac:dyDescent="0.3">
      <c r="A2516" s="732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69"/>
        <v>09,24</v>
      </c>
      <c r="L2516" s="23" t="s">
        <v>266</v>
      </c>
      <c r="M2516" s="23">
        <v>1729.32</v>
      </c>
      <c r="N2516" s="329">
        <v>0.54166666666666696</v>
      </c>
    </row>
    <row r="2517" spans="1:14" ht="19.5" hidden="1" thickBot="1" x14ac:dyDescent="0.3">
      <c r="A2517" s="732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69"/>
        <v>09,24</v>
      </c>
      <c r="L2517" s="71" t="s">
        <v>266</v>
      </c>
      <c r="M2517" s="71">
        <v>3816.26</v>
      </c>
      <c r="N2517" s="323">
        <v>0.54166666666666696</v>
      </c>
    </row>
    <row r="2518" spans="1:14" ht="19.5" hidden="1" thickBot="1" x14ac:dyDescent="0.3">
      <c r="A2518" s="110">
        <f t="shared" ref="A2518:A2523" si="71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69"/>
        <v>09,24</v>
      </c>
      <c r="L2518" s="40" t="s">
        <v>265</v>
      </c>
      <c r="M2518" s="40">
        <v>13054.36</v>
      </c>
      <c r="N2518" s="317">
        <v>0.375</v>
      </c>
    </row>
    <row r="2519" spans="1:14" ht="19.5" hidden="1" thickBot="1" x14ac:dyDescent="0.3">
      <c r="A2519" s="153">
        <f t="shared" si="71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69"/>
        <v>09,24</v>
      </c>
      <c r="L2519" s="158" t="s">
        <v>265</v>
      </c>
      <c r="M2519" s="158">
        <v>17085.7</v>
      </c>
      <c r="N2519" s="433">
        <v>0.5</v>
      </c>
    </row>
    <row r="2520" spans="1:14" ht="19.5" hidden="1" thickBot="1" x14ac:dyDescent="0.3">
      <c r="A2520" s="110">
        <f t="shared" si="71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69"/>
        <v>09,24</v>
      </c>
      <c r="L2520" s="40" t="s">
        <v>265</v>
      </c>
      <c r="M2520" s="40">
        <v>17106.54</v>
      </c>
      <c r="N2520" s="317">
        <v>0.375</v>
      </c>
    </row>
    <row r="2521" spans="1:14" ht="19.5" hidden="1" thickBot="1" x14ac:dyDescent="0.3">
      <c r="A2521" s="111">
        <f t="shared" si="71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69"/>
        <v>09,24</v>
      </c>
      <c r="L2521" s="75" t="s">
        <v>28</v>
      </c>
      <c r="M2521" s="75">
        <v>17504.13</v>
      </c>
      <c r="N2521" s="322">
        <v>0.41666666666666702</v>
      </c>
    </row>
    <row r="2522" spans="1:14" ht="19.5" hidden="1" thickBot="1" x14ac:dyDescent="0.3">
      <c r="A2522" s="110">
        <f t="shared" si="71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69"/>
        <v>09,24</v>
      </c>
      <c r="L2522" s="40" t="s">
        <v>28</v>
      </c>
      <c r="M2522" s="40">
        <v>17210.419999999998</v>
      </c>
      <c r="N2522" s="317">
        <v>0.45833333333333298</v>
      </c>
    </row>
    <row r="2523" spans="1:14" ht="19.5" hidden="1" thickBot="1" x14ac:dyDescent="0.3">
      <c r="A2523" s="735">
        <f t="shared" si="71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69"/>
        <v>09,24</v>
      </c>
      <c r="L2523" s="48" t="s">
        <v>28</v>
      </c>
      <c r="M2523" s="48">
        <v>4976.4399999999996</v>
      </c>
      <c r="N2523" s="315">
        <v>0.5</v>
      </c>
    </row>
    <row r="2524" spans="1:14" ht="19.5" hidden="1" thickBot="1" x14ac:dyDescent="0.3">
      <c r="A2524" s="735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69"/>
        <v>09,24</v>
      </c>
      <c r="L2524" s="23" t="s">
        <v>28</v>
      </c>
      <c r="M2524" s="23">
        <v>6453.42</v>
      </c>
      <c r="N2524" s="329">
        <v>0.5</v>
      </c>
    </row>
    <row r="2525" spans="1:14" ht="19.5" hidden="1" thickBot="1" x14ac:dyDescent="0.3">
      <c r="A2525" s="735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69"/>
        <v>09,24</v>
      </c>
      <c r="L2525" s="293" t="s">
        <v>28</v>
      </c>
      <c r="M2525" s="293">
        <v>6127.5</v>
      </c>
      <c r="N2525" s="389">
        <v>0.5</v>
      </c>
    </row>
    <row r="2526" spans="1:14" ht="19.5" hidden="1" thickBot="1" x14ac:dyDescent="0.3">
      <c r="A2526" s="731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69"/>
        <v>09,24</v>
      </c>
      <c r="L2526" s="82" t="s">
        <v>265</v>
      </c>
      <c r="M2526" s="82">
        <v>6453.8</v>
      </c>
      <c r="N2526" s="319">
        <v>0.33333333333333298</v>
      </c>
    </row>
    <row r="2527" spans="1:14" ht="38.25" hidden="1" thickBot="1" x14ac:dyDescent="0.3">
      <c r="A2527" s="731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69"/>
        <v>09,24</v>
      </c>
      <c r="L2527" s="98" t="s">
        <v>265</v>
      </c>
      <c r="M2527" s="98">
        <v>102</v>
      </c>
      <c r="N2527" s="364">
        <v>0.33333333333333298</v>
      </c>
    </row>
    <row r="2528" spans="1:14" ht="19.5" hidden="1" thickBot="1" x14ac:dyDescent="0.3">
      <c r="A2528" s="731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69"/>
        <v>09,24</v>
      </c>
      <c r="L2528" s="90" t="s">
        <v>265</v>
      </c>
      <c r="M2528" s="90">
        <v>7588.56</v>
      </c>
      <c r="N2528" s="325">
        <v>0.41666666666666702</v>
      </c>
    </row>
    <row r="2529" spans="1:14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69"/>
        <v>09,24</v>
      </c>
      <c r="L2529" s="75" t="s">
        <v>28</v>
      </c>
      <c r="M2529" s="75">
        <v>15853.34</v>
      </c>
      <c r="N2529" s="322">
        <v>0.45833333333333298</v>
      </c>
    </row>
    <row r="2530" spans="1:14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69"/>
        <v>09,24</v>
      </c>
      <c r="L2530" s="40" t="s">
        <v>28</v>
      </c>
      <c r="M2530" s="40">
        <v>17527.439999999999</v>
      </c>
      <c r="N2530" s="317">
        <v>0.5</v>
      </c>
    </row>
    <row r="2531" spans="1:14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69"/>
        <v>09,24</v>
      </c>
      <c r="L2531" s="75" t="s">
        <v>265</v>
      </c>
      <c r="M2531" s="75">
        <v>17708.72</v>
      </c>
      <c r="N2531" s="322">
        <v>0.375</v>
      </c>
    </row>
    <row r="2532" spans="1:14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69"/>
        <v>09,24</v>
      </c>
      <c r="L2532" s="40" t="s">
        <v>28</v>
      </c>
      <c r="M2532" s="40">
        <v>17272.96</v>
      </c>
      <c r="N2532" s="317">
        <v>0.41666666666666702</v>
      </c>
    </row>
    <row r="2533" spans="1:14" ht="19.5" hidden="1" thickBot="1" x14ac:dyDescent="0.3">
      <c r="A2533" s="732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69"/>
        <v>09,24</v>
      </c>
      <c r="L2533" s="48" t="s">
        <v>28</v>
      </c>
      <c r="M2533" s="48">
        <v>3625.99</v>
      </c>
      <c r="N2533" s="315">
        <v>0.45833333333333298</v>
      </c>
    </row>
    <row r="2534" spans="1:14" ht="19.5" hidden="1" thickBot="1" x14ac:dyDescent="0.3">
      <c r="A2534" s="732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69"/>
        <v>09,24</v>
      </c>
      <c r="L2534" s="71" t="s">
        <v>28</v>
      </c>
      <c r="M2534" s="71">
        <v>13875.44</v>
      </c>
      <c r="N2534" s="323">
        <v>0.45833333333333298</v>
      </c>
    </row>
    <row r="2535" spans="1:14" ht="19.5" hidden="1" thickBot="1" x14ac:dyDescent="0.3">
      <c r="A2535" s="731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69"/>
        <v>09,24</v>
      </c>
      <c r="L2535" s="82" t="s">
        <v>28</v>
      </c>
      <c r="M2535" s="82">
        <v>9005.0400000000009</v>
      </c>
      <c r="N2535" s="319">
        <v>0.5</v>
      </c>
    </row>
    <row r="2536" spans="1:14" ht="19.5" hidden="1" thickBot="1" x14ac:dyDescent="0.3">
      <c r="A2536" s="731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69"/>
        <v>09,24</v>
      </c>
      <c r="L2536" s="90" t="s">
        <v>28</v>
      </c>
      <c r="M2536" s="90">
        <v>8277.2999999999993</v>
      </c>
      <c r="N2536" s="325">
        <v>0.5</v>
      </c>
    </row>
    <row r="2537" spans="1:14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69"/>
        <v>09,24</v>
      </c>
      <c r="L2537" s="75" t="s">
        <v>28</v>
      </c>
      <c r="M2537" s="75">
        <v>14812.36</v>
      </c>
      <c r="N2537" s="322">
        <v>0.375</v>
      </c>
    </row>
    <row r="2538" spans="1:14" ht="19.5" hidden="1" thickBot="1" x14ac:dyDescent="0.3">
      <c r="A2538" s="731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69"/>
        <v>09,24</v>
      </c>
      <c r="L2538" s="82" t="s">
        <v>28</v>
      </c>
      <c r="M2538" s="82">
        <v>3976.76</v>
      </c>
      <c r="N2538" s="319">
        <v>0.41666666666666702</v>
      </c>
    </row>
    <row r="2539" spans="1:14" ht="19.5" hidden="1" thickBot="1" x14ac:dyDescent="0.3">
      <c r="A2539" s="731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69"/>
        <v>09,24</v>
      </c>
      <c r="L2539" s="98" t="s">
        <v>28</v>
      </c>
      <c r="M2539" s="98">
        <v>4609.32</v>
      </c>
      <c r="N2539" s="364">
        <v>0.41666666666666702</v>
      </c>
    </row>
    <row r="2540" spans="1:14" ht="19.5" hidden="1" thickBot="1" x14ac:dyDescent="0.3">
      <c r="A2540" s="731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69"/>
        <v>09,24</v>
      </c>
      <c r="L2540" s="90" t="s">
        <v>28</v>
      </c>
      <c r="M2540" s="90">
        <v>3931.6</v>
      </c>
      <c r="N2540" s="325">
        <v>0.41666666666666702</v>
      </c>
    </row>
    <row r="2541" spans="1:14" ht="19.5" hidden="1" thickBot="1" x14ac:dyDescent="0.3">
      <c r="A2541" s="111">
        <f t="shared" ref="A2541:A2546" si="72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69"/>
        <v>09,24</v>
      </c>
      <c r="L2541" s="75" t="s">
        <v>265</v>
      </c>
      <c r="M2541" s="75">
        <v>17283.009999999998</v>
      </c>
      <c r="N2541" s="322">
        <v>0.375</v>
      </c>
    </row>
    <row r="2542" spans="1:14" ht="57" hidden="1" thickBot="1" x14ac:dyDescent="0.3">
      <c r="A2542" s="149">
        <f t="shared" si="72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69"/>
        <v>09,24</v>
      </c>
      <c r="L2542" s="122" t="s">
        <v>266</v>
      </c>
      <c r="M2542" s="122">
        <v>17080.45</v>
      </c>
      <c r="N2542" s="365">
        <v>0.41666666666666702</v>
      </c>
    </row>
    <row r="2543" spans="1:14" ht="19.5" hidden="1" thickBot="1" x14ac:dyDescent="0.3">
      <c r="A2543" s="111">
        <f t="shared" si="72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69"/>
        <v>09,24</v>
      </c>
      <c r="L2543" s="75" t="s">
        <v>265</v>
      </c>
      <c r="M2543" s="75">
        <v>6487.5</v>
      </c>
      <c r="N2543" s="322">
        <v>0.375</v>
      </c>
    </row>
    <row r="2544" spans="1:14" ht="19.5" hidden="1" thickBot="1" x14ac:dyDescent="0.3">
      <c r="A2544" s="110">
        <f t="shared" si="72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69"/>
        <v>09,24</v>
      </c>
      <c r="L2544" s="40" t="s">
        <v>266</v>
      </c>
      <c r="M2544" s="40">
        <v>18119.64</v>
      </c>
      <c r="N2544" s="317">
        <v>0.41666666666666702</v>
      </c>
    </row>
    <row r="2545" spans="1:14" ht="19.5" hidden="1" thickBot="1" x14ac:dyDescent="0.3">
      <c r="A2545" s="111">
        <f t="shared" si="72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69"/>
        <v>09,24</v>
      </c>
      <c r="L2545" s="75" t="s">
        <v>266</v>
      </c>
      <c r="M2545" s="75">
        <v>17722.12</v>
      </c>
      <c r="N2545" s="322">
        <v>0.45833333333333298</v>
      </c>
    </row>
    <row r="2546" spans="1:14" ht="19.5" hidden="1" customHeight="1" thickBot="1" x14ac:dyDescent="0.3">
      <c r="A2546" s="731">
        <f t="shared" si="72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734" t="s">
        <v>467</v>
      </c>
      <c r="H2546" s="82" t="s">
        <v>595</v>
      </c>
      <c r="I2546" s="147" t="s">
        <v>595</v>
      </c>
      <c r="J2546" s="86"/>
      <c r="K2546" s="82" t="str">
        <f t="shared" si="69"/>
        <v>09,24</v>
      </c>
      <c r="L2546" s="82" t="s">
        <v>266</v>
      </c>
      <c r="M2546" s="82">
        <v>1510.95</v>
      </c>
      <c r="N2546" s="319">
        <v>0.5</v>
      </c>
    </row>
    <row r="2547" spans="1:14" ht="19.5" hidden="1" thickBot="1" x14ac:dyDescent="0.3">
      <c r="A2547" s="731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734"/>
      <c r="H2547" s="98" t="s">
        <v>595</v>
      </c>
      <c r="I2547" s="181" t="s">
        <v>595</v>
      </c>
      <c r="J2547" s="140"/>
      <c r="K2547" s="98" t="str">
        <f t="shared" si="69"/>
        <v>09,24</v>
      </c>
      <c r="L2547" s="98" t="s">
        <v>266</v>
      </c>
      <c r="M2547" s="98">
        <v>2004.6</v>
      </c>
      <c r="N2547" s="364">
        <v>0.5</v>
      </c>
    </row>
    <row r="2548" spans="1:14" ht="19.5" hidden="1" thickBot="1" x14ac:dyDescent="0.3">
      <c r="A2548" s="731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734"/>
      <c r="H2548" s="90" t="s">
        <v>595</v>
      </c>
      <c r="I2548" s="172" t="s">
        <v>595</v>
      </c>
      <c r="J2548" s="173"/>
      <c r="K2548" s="90" t="str">
        <f t="shared" si="69"/>
        <v>09,24</v>
      </c>
      <c r="L2548" s="90" t="s">
        <v>266</v>
      </c>
      <c r="M2548" s="90">
        <v>4823.92</v>
      </c>
      <c r="N2548" s="325">
        <v>0.5</v>
      </c>
    </row>
    <row r="2549" spans="1:14" ht="19.5" hidden="1" thickBot="1" x14ac:dyDescent="0.3">
      <c r="A2549" s="735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69"/>
        <v>09,24</v>
      </c>
      <c r="L2549" s="48" t="s">
        <v>266</v>
      </c>
      <c r="M2549" s="48">
        <v>2247.2600000000002</v>
      </c>
      <c r="N2549" s="315">
        <v>0.54166666666666696</v>
      </c>
    </row>
    <row r="2550" spans="1:14" ht="19.5" hidden="1" thickBot="1" x14ac:dyDescent="0.3">
      <c r="A2550" s="735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69"/>
        <v>09,24</v>
      </c>
      <c r="L2550" s="23" t="s">
        <v>266</v>
      </c>
      <c r="M2550" s="23">
        <v>5666.84</v>
      </c>
      <c r="N2550" s="329">
        <v>0.54166666666666696</v>
      </c>
    </row>
    <row r="2551" spans="1:14" ht="19.5" hidden="1" thickBot="1" x14ac:dyDescent="0.3">
      <c r="A2551" s="735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69"/>
        <v>09,24</v>
      </c>
      <c r="L2551" s="23" t="s">
        <v>266</v>
      </c>
      <c r="M2551" s="23">
        <v>6709.92</v>
      </c>
      <c r="N2551" s="329">
        <v>0.54166666666666696</v>
      </c>
    </row>
    <row r="2552" spans="1:14" ht="19.5" hidden="1" thickBot="1" x14ac:dyDescent="0.3">
      <c r="A2552" s="735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69"/>
        <v>09,24</v>
      </c>
      <c r="L2552" s="293" t="s">
        <v>266</v>
      </c>
      <c r="M2552" s="293">
        <v>2384.1999999999998</v>
      </c>
      <c r="N2552" s="389">
        <v>0.54166666666666696</v>
      </c>
    </row>
    <row r="2553" spans="1:14" ht="19.5" hidden="1" thickBot="1" x14ac:dyDescent="0.3">
      <c r="A2553" s="110">
        <f t="shared" ref="A2553:A2558" si="73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69"/>
        <v>09,24</v>
      </c>
      <c r="L2553" s="40" t="s">
        <v>265</v>
      </c>
      <c r="M2553" s="40">
        <v>13068.76</v>
      </c>
      <c r="N2553" s="317">
        <v>0.375</v>
      </c>
    </row>
    <row r="2554" spans="1:14" ht="19.5" hidden="1" thickBot="1" x14ac:dyDescent="0.3">
      <c r="A2554" s="111">
        <f t="shared" si="73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69"/>
        <v>09,24</v>
      </c>
      <c r="L2554" s="75" t="s">
        <v>265</v>
      </c>
      <c r="M2554" s="75">
        <v>16574.259999999998</v>
      </c>
      <c r="N2554" s="322">
        <v>0.375</v>
      </c>
    </row>
    <row r="2555" spans="1:14" ht="19.5" hidden="1" thickBot="1" x14ac:dyDescent="0.3">
      <c r="A2555" s="149">
        <f t="shared" si="73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4">RIGHT(I2555,5)</f>
        <v>09,24</v>
      </c>
      <c r="L2555" s="122" t="s">
        <v>28</v>
      </c>
      <c r="M2555" s="122">
        <v>15654.52</v>
      </c>
      <c r="N2555" s="365">
        <v>0.41666666666666702</v>
      </c>
    </row>
    <row r="2556" spans="1:14" ht="19.5" hidden="1" thickBot="1" x14ac:dyDescent="0.3">
      <c r="A2556" s="111">
        <f t="shared" si="73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4"/>
        <v>09,24</v>
      </c>
      <c r="L2556" s="75" t="s">
        <v>265</v>
      </c>
      <c r="M2556" s="75">
        <v>17213.18</v>
      </c>
      <c r="N2556" s="322">
        <v>0.375</v>
      </c>
    </row>
    <row r="2557" spans="1:14" ht="19.5" hidden="1" thickBot="1" x14ac:dyDescent="0.3">
      <c r="A2557" s="110">
        <f t="shared" si="73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4"/>
        <v>09,24</v>
      </c>
      <c r="L2557" s="40" t="s">
        <v>28</v>
      </c>
      <c r="M2557" s="40">
        <v>17700.41</v>
      </c>
      <c r="N2557" s="317">
        <v>0.41666666666666702</v>
      </c>
    </row>
    <row r="2558" spans="1:14" ht="19.5" hidden="1" thickBot="1" x14ac:dyDescent="0.3">
      <c r="A2558" s="732">
        <f t="shared" si="73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4"/>
        <v>09,24</v>
      </c>
      <c r="L2558" s="48" t="s">
        <v>28</v>
      </c>
      <c r="M2558" s="48">
        <v>6497.52</v>
      </c>
      <c r="N2558" s="315">
        <v>0.45833333333333298</v>
      </c>
    </row>
    <row r="2559" spans="1:14" ht="19.5" hidden="1" thickBot="1" x14ac:dyDescent="0.3">
      <c r="A2559" s="732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4"/>
        <v>09,24</v>
      </c>
      <c r="L2559" s="71" t="s">
        <v>28</v>
      </c>
      <c r="M2559" s="71">
        <v>11571.1</v>
      </c>
      <c r="N2559" s="323">
        <v>0.45833333333333298</v>
      </c>
    </row>
    <row r="2560" spans="1:14" ht="19.5" hidden="1" thickBot="1" x14ac:dyDescent="0.3">
      <c r="A2560" s="731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4"/>
        <v>09,24</v>
      </c>
      <c r="L2560" s="82" t="s">
        <v>28</v>
      </c>
      <c r="M2560" s="82">
        <v>12598.4</v>
      </c>
      <c r="N2560" s="319">
        <v>0.5</v>
      </c>
    </row>
    <row r="2561" spans="1:14" ht="19.5" hidden="1" thickBot="1" x14ac:dyDescent="0.3">
      <c r="A2561" s="731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4"/>
        <v>09,24</v>
      </c>
      <c r="L2561" s="90" t="s">
        <v>28</v>
      </c>
      <c r="M2561" s="90">
        <v>5257.58</v>
      </c>
      <c r="N2561" s="325">
        <v>0.5</v>
      </c>
    </row>
    <row r="2562" spans="1:14" ht="19.5" hidden="1" thickBot="1" x14ac:dyDescent="0.3">
      <c r="A2562" s="735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4"/>
        <v>09,24</v>
      </c>
      <c r="L2562" s="48" t="s">
        <v>28</v>
      </c>
      <c r="M2562" s="48">
        <v>8660.0499999999993</v>
      </c>
      <c r="N2562" s="315">
        <v>0.54166666666666696</v>
      </c>
    </row>
    <row r="2563" spans="1:14" ht="19.5" hidden="1" thickBot="1" x14ac:dyDescent="0.3">
      <c r="A2563" s="735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4"/>
        <v>09,24</v>
      </c>
      <c r="L2563" s="293" t="s">
        <v>28</v>
      </c>
      <c r="M2563" s="293">
        <v>9230.8799999999992</v>
      </c>
      <c r="N2563" s="389">
        <v>0.54166666666666696</v>
      </c>
    </row>
    <row r="2564" spans="1:14" ht="19.5" hidden="1" customHeight="1" thickBot="1" x14ac:dyDescent="0.3">
      <c r="A2564" s="731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734" t="s">
        <v>72</v>
      </c>
      <c r="H2564" s="82" t="s">
        <v>598</v>
      </c>
      <c r="I2564" s="147" t="s">
        <v>598</v>
      </c>
      <c r="J2564" s="86"/>
      <c r="K2564" s="82" t="str">
        <f t="shared" si="74"/>
        <v>09,24</v>
      </c>
      <c r="L2564" s="82" t="s">
        <v>265</v>
      </c>
      <c r="M2564" s="82">
        <v>9038.84</v>
      </c>
      <c r="N2564" s="319">
        <v>0.33333333333333298</v>
      </c>
    </row>
    <row r="2565" spans="1:14" ht="19.5" hidden="1" thickBot="1" x14ac:dyDescent="0.3">
      <c r="A2565" s="731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734"/>
      <c r="H2565" s="90" t="s">
        <v>598</v>
      </c>
      <c r="I2565" s="172" t="s">
        <v>598</v>
      </c>
      <c r="J2565" s="173"/>
      <c r="K2565" s="90" t="str">
        <f t="shared" si="74"/>
        <v>09,24</v>
      </c>
      <c r="L2565" s="90" t="s">
        <v>265</v>
      </c>
      <c r="M2565" s="90">
        <v>5062.92</v>
      </c>
      <c r="N2565" s="325">
        <v>0.41666666666666702</v>
      </c>
    </row>
    <row r="2566" spans="1:14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4"/>
        <v>09,24</v>
      </c>
      <c r="L2566" s="75" t="s">
        <v>28</v>
      </c>
      <c r="M2566" s="75">
        <v>17883.72</v>
      </c>
      <c r="N2566" s="322">
        <v>0.5</v>
      </c>
    </row>
    <row r="2567" spans="1:14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4"/>
        <v>09,24</v>
      </c>
      <c r="L2567" s="40" t="s">
        <v>265</v>
      </c>
      <c r="M2567" s="40">
        <v>17336.98</v>
      </c>
      <c r="N2567" s="317">
        <v>0.375</v>
      </c>
    </row>
    <row r="2568" spans="1:14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4"/>
        <v>09,24</v>
      </c>
      <c r="L2568" s="75" t="s">
        <v>28</v>
      </c>
      <c r="M2568" s="75">
        <v>17541.54</v>
      </c>
      <c r="N2568" s="322">
        <v>0.41666666666666702</v>
      </c>
    </row>
    <row r="2569" spans="1:14" ht="19.5" hidden="1" thickBot="1" x14ac:dyDescent="0.3">
      <c r="A2569" s="731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4"/>
        <v>09,24</v>
      </c>
      <c r="L2569" s="82" t="s">
        <v>28</v>
      </c>
      <c r="M2569" s="82">
        <v>7696.56</v>
      </c>
      <c r="N2569" s="319">
        <v>0.45833333333333298</v>
      </c>
    </row>
    <row r="2570" spans="1:14" ht="19.5" hidden="1" thickBot="1" x14ac:dyDescent="0.3">
      <c r="A2570" s="731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4"/>
        <v>09,24</v>
      </c>
      <c r="L2570" s="90" t="s">
        <v>28</v>
      </c>
      <c r="M2570" s="90">
        <v>9488.4</v>
      </c>
      <c r="N2570" s="325">
        <v>0.45833333333333298</v>
      </c>
    </row>
    <row r="2571" spans="1:14" ht="19.5" hidden="1" thickBot="1" x14ac:dyDescent="0.3">
      <c r="A2571" s="732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4"/>
        <v>09,24</v>
      </c>
      <c r="L2571" s="48" t="s">
        <v>28</v>
      </c>
      <c r="M2571" s="48">
        <v>8194.1</v>
      </c>
      <c r="N2571" s="315">
        <v>0.5</v>
      </c>
    </row>
    <row r="2572" spans="1:14" ht="19.5" hidden="1" thickBot="1" x14ac:dyDescent="0.3">
      <c r="A2572" s="732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4"/>
        <v>09,24</v>
      </c>
      <c r="L2572" s="71" t="s">
        <v>28</v>
      </c>
      <c r="M2572" s="71">
        <v>9450.16</v>
      </c>
      <c r="N2572" s="323">
        <v>0.5</v>
      </c>
    </row>
    <row r="2573" spans="1:14" ht="19.5" hidden="1" thickBot="1" x14ac:dyDescent="0.3">
      <c r="A2573" s="731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4"/>
        <v>09,24</v>
      </c>
      <c r="L2573" s="82" t="s">
        <v>28</v>
      </c>
      <c r="M2573" s="82">
        <v>10790.61</v>
      </c>
      <c r="N2573" s="319">
        <v>0.54166666666666696</v>
      </c>
    </row>
    <row r="2574" spans="1:14" ht="19.5" hidden="1" thickBot="1" x14ac:dyDescent="0.3">
      <c r="A2574" s="731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4"/>
        <v>09,24</v>
      </c>
      <c r="L2574" s="90" t="s">
        <v>28</v>
      </c>
      <c r="M2574" s="90">
        <v>6218.36</v>
      </c>
      <c r="N2574" s="325">
        <v>0.54166666666666696</v>
      </c>
    </row>
    <row r="2575" spans="1:14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4"/>
        <v>09,24</v>
      </c>
      <c r="L2575" s="75" t="s">
        <v>265</v>
      </c>
      <c r="M2575" s="75">
        <v>17311.53</v>
      </c>
      <c r="N2575" s="322">
        <v>0.375</v>
      </c>
    </row>
    <row r="2576" spans="1:14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4"/>
        <v>09,24</v>
      </c>
      <c r="L2576" s="40" t="s">
        <v>28</v>
      </c>
      <c r="M2576" s="40">
        <v>11160.72</v>
      </c>
      <c r="N2576" s="317">
        <v>0.375</v>
      </c>
    </row>
    <row r="2577" spans="1:14" ht="19.5" hidden="1" thickBot="1" x14ac:dyDescent="0.3">
      <c r="A2577" s="732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4"/>
        <v>09,24</v>
      </c>
      <c r="L2577" s="48" t="s">
        <v>28</v>
      </c>
      <c r="M2577" s="48">
        <v>9816.56</v>
      </c>
      <c r="N2577" s="315">
        <v>0.41666666666666702</v>
      </c>
    </row>
    <row r="2578" spans="1:14" ht="19.5" hidden="1" thickBot="1" x14ac:dyDescent="0.3">
      <c r="A2578" s="732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4"/>
        <v>09,24</v>
      </c>
      <c r="L2578" s="71" t="s">
        <v>28</v>
      </c>
      <c r="M2578" s="71">
        <v>3373.32</v>
      </c>
      <c r="N2578" s="323">
        <v>0.41666666666666702</v>
      </c>
    </row>
    <row r="2579" spans="1:14" ht="19.5" hidden="1" thickBot="1" x14ac:dyDescent="0.3">
      <c r="A2579" s="110">
        <f t="shared" ref="A2579:A2584" si="75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4"/>
        <v>09,24</v>
      </c>
      <c r="L2579" s="40" t="s">
        <v>28</v>
      </c>
      <c r="M2579" s="40">
        <v>13571.36</v>
      </c>
      <c r="N2579" s="317">
        <v>0.45833333333333298</v>
      </c>
    </row>
    <row r="2580" spans="1:14" ht="19.5" hidden="1" thickBot="1" x14ac:dyDescent="0.3">
      <c r="A2580" s="153">
        <f t="shared" si="75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4"/>
        <v>09,24</v>
      </c>
      <c r="L2580" s="158" t="s">
        <v>266</v>
      </c>
      <c r="M2580" s="158">
        <v>16695.47</v>
      </c>
      <c r="N2580" s="433">
        <v>0.5</v>
      </c>
    </row>
    <row r="2581" spans="1:14" ht="19.5" hidden="1" thickBot="1" x14ac:dyDescent="0.3">
      <c r="A2581" s="214">
        <f t="shared" si="75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4"/>
        <v>09,24</v>
      </c>
      <c r="L2581" s="219" t="s">
        <v>265</v>
      </c>
      <c r="M2581" s="219">
        <v>10066.5</v>
      </c>
      <c r="N2581" s="440">
        <v>0.375</v>
      </c>
    </row>
    <row r="2582" spans="1:14" ht="19.5" hidden="1" thickBot="1" x14ac:dyDescent="0.3">
      <c r="A2582" s="111">
        <f t="shared" si="75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4"/>
        <v>09,24</v>
      </c>
      <c r="L2582" s="75" t="s">
        <v>266</v>
      </c>
      <c r="M2582" s="75">
        <v>18080.22</v>
      </c>
      <c r="N2582" s="322">
        <v>0.41666666666666702</v>
      </c>
    </row>
    <row r="2583" spans="1:14" ht="19.5" hidden="1" thickBot="1" x14ac:dyDescent="0.3">
      <c r="A2583" s="110">
        <f t="shared" si="75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4"/>
        <v>09,24</v>
      </c>
      <c r="L2583" s="40" t="s">
        <v>266</v>
      </c>
      <c r="M2583" s="40">
        <v>18021</v>
      </c>
      <c r="N2583" s="317">
        <v>0.45833333333333298</v>
      </c>
    </row>
    <row r="2584" spans="1:14" ht="19.5" hidden="1" thickBot="1" x14ac:dyDescent="0.3">
      <c r="A2584" s="732">
        <f t="shared" si="75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4"/>
        <v>09,24</v>
      </c>
      <c r="L2584" s="48" t="s">
        <v>266</v>
      </c>
      <c r="M2584" s="48">
        <v>3851.55</v>
      </c>
      <c r="N2584" s="315">
        <v>0.5</v>
      </c>
    </row>
    <row r="2585" spans="1:14" ht="19.5" hidden="1" thickBot="1" x14ac:dyDescent="0.3">
      <c r="A2585" s="732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4"/>
        <v>09,24</v>
      </c>
      <c r="L2585" s="23" t="s">
        <v>266</v>
      </c>
      <c r="M2585" s="23">
        <v>1887.4</v>
      </c>
      <c r="N2585" s="329">
        <v>0.5</v>
      </c>
    </row>
    <row r="2586" spans="1:14" ht="19.5" hidden="1" thickBot="1" x14ac:dyDescent="0.3">
      <c r="A2586" s="732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4"/>
        <v>09,24</v>
      </c>
      <c r="L2586" s="23" t="s">
        <v>266</v>
      </c>
      <c r="M2586" s="23">
        <v>5141.82</v>
      </c>
      <c r="N2586" s="329">
        <v>0.5</v>
      </c>
    </row>
    <row r="2587" spans="1:14" ht="19.5" hidden="1" thickBot="1" x14ac:dyDescent="0.3">
      <c r="A2587" s="732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4"/>
        <v>09,24</v>
      </c>
      <c r="L2587" s="71" t="s">
        <v>266</v>
      </c>
      <c r="M2587" s="71">
        <v>6770.31</v>
      </c>
      <c r="N2587" s="323">
        <v>0.5</v>
      </c>
    </row>
    <row r="2588" spans="1:14" ht="18.75" hidden="1" customHeight="1" thickBot="1" x14ac:dyDescent="0.3">
      <c r="A2588" s="740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741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4"/>
        <v>09,24</v>
      </c>
      <c r="L2588" s="445" t="s">
        <v>266</v>
      </c>
      <c r="M2588" s="445">
        <v>3043.26</v>
      </c>
      <c r="N2588" s="448">
        <v>0.54166666666666696</v>
      </c>
    </row>
    <row r="2589" spans="1:14" ht="19.5" hidden="1" thickBot="1" x14ac:dyDescent="0.3">
      <c r="A2589" s="740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741"/>
      <c r="H2589" s="257" t="s">
        <v>603</v>
      </c>
      <c r="I2589" s="449" t="s">
        <v>603</v>
      </c>
      <c r="J2589" s="450" t="s">
        <v>604</v>
      </c>
      <c r="K2589" s="257" t="str">
        <f t="shared" si="74"/>
        <v>09,24</v>
      </c>
      <c r="L2589" s="257" t="s">
        <v>266</v>
      </c>
      <c r="M2589" s="257">
        <v>5214.6000000000004</v>
      </c>
      <c r="N2589" s="451">
        <v>0.54166666666666696</v>
      </c>
    </row>
    <row r="2590" spans="1:14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4"/>
        <v>09,24</v>
      </c>
      <c r="L2590" s="75" t="s">
        <v>265</v>
      </c>
      <c r="M2590" s="75">
        <v>12667.64</v>
      </c>
      <c r="N2590" s="322">
        <v>0.375</v>
      </c>
    </row>
    <row r="2591" spans="1:14" ht="19.5" hidden="1" thickBot="1" x14ac:dyDescent="0.3">
      <c r="A2591" s="731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4"/>
        <v>09,24</v>
      </c>
      <c r="L2591" s="82" t="s">
        <v>265</v>
      </c>
      <c r="M2591" s="82">
        <v>11103.64</v>
      </c>
      <c r="N2591" s="319">
        <v>0.375</v>
      </c>
    </row>
    <row r="2592" spans="1:14" ht="19.5" hidden="1" thickBot="1" x14ac:dyDescent="0.3">
      <c r="A2592" s="731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4"/>
        <v>09,24</v>
      </c>
      <c r="L2592" s="90" t="s">
        <v>265</v>
      </c>
      <c r="M2592" s="90">
        <v>5479.5</v>
      </c>
      <c r="N2592" s="325">
        <v>0.375</v>
      </c>
    </row>
    <row r="2593" spans="1:14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4"/>
        <v>09,24</v>
      </c>
      <c r="L2593" s="75" t="s">
        <v>28</v>
      </c>
      <c r="M2593" s="75">
        <v>15907.8</v>
      </c>
      <c r="N2593" s="322">
        <v>0.41666666666666702</v>
      </c>
    </row>
    <row r="2594" spans="1:14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4"/>
        <v>09,24</v>
      </c>
      <c r="L2594" s="122" t="s">
        <v>265</v>
      </c>
      <c r="M2594" s="122">
        <v>17267.919999999998</v>
      </c>
      <c r="N2594" s="365">
        <v>0.375</v>
      </c>
    </row>
    <row r="2595" spans="1:14" ht="18.75" hidden="1" customHeight="1" thickBot="1" x14ac:dyDescent="0.3">
      <c r="A2595" s="732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737" t="s">
        <v>72</v>
      </c>
      <c r="H2595" s="48" t="s">
        <v>607</v>
      </c>
      <c r="I2595" s="163" t="s">
        <v>607</v>
      </c>
      <c r="J2595" s="52"/>
      <c r="K2595" s="48" t="str">
        <f t="shared" si="74"/>
        <v>09,24</v>
      </c>
      <c r="L2595" s="48" t="s">
        <v>265</v>
      </c>
      <c r="M2595" s="48">
        <v>9987.08</v>
      </c>
      <c r="N2595" s="315">
        <v>0.33333333333333298</v>
      </c>
    </row>
    <row r="2596" spans="1:14" ht="19.5" hidden="1" thickBot="1" x14ac:dyDescent="0.3">
      <c r="A2596" s="732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737"/>
      <c r="H2596" s="71" t="s">
        <v>607</v>
      </c>
      <c r="I2596" s="167" t="s">
        <v>607</v>
      </c>
      <c r="J2596" s="168"/>
      <c r="K2596" s="71" t="str">
        <f t="shared" si="74"/>
        <v>09,24</v>
      </c>
      <c r="L2596" s="71" t="s">
        <v>265</v>
      </c>
      <c r="M2596" s="71">
        <v>2553.8200000000002</v>
      </c>
      <c r="N2596" s="323">
        <v>0.41666666666666702</v>
      </c>
    </row>
    <row r="2597" spans="1:14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4"/>
        <v>09,24</v>
      </c>
      <c r="L2597" s="40" t="s">
        <v>28</v>
      </c>
      <c r="M2597" s="40">
        <v>17399.64</v>
      </c>
      <c r="N2597" s="317">
        <v>0.41666666666666702</v>
      </c>
    </row>
    <row r="2598" spans="1:14" ht="19.5" hidden="1" thickBot="1" x14ac:dyDescent="0.3">
      <c r="A2598" s="732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4"/>
        <v>09,24</v>
      </c>
      <c r="L2598" s="48" t="s">
        <v>28</v>
      </c>
      <c r="M2598" s="48">
        <v>4509.05</v>
      </c>
      <c r="N2598" s="315">
        <v>0.45833333333333298</v>
      </c>
    </row>
    <row r="2599" spans="1:14" ht="19.5" hidden="1" thickBot="1" x14ac:dyDescent="0.3">
      <c r="A2599" s="732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4"/>
        <v>09,24</v>
      </c>
      <c r="L2599" s="71" t="s">
        <v>28</v>
      </c>
      <c r="M2599" s="71">
        <v>13052.39</v>
      </c>
      <c r="N2599" s="323">
        <v>0.45833333333333298</v>
      </c>
    </row>
    <row r="2600" spans="1:14" ht="19.5" hidden="1" thickBot="1" x14ac:dyDescent="0.3">
      <c r="A2600" s="73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4"/>
        <v>09,24</v>
      </c>
      <c r="L2600" s="82" t="s">
        <v>28</v>
      </c>
      <c r="M2600" s="82">
        <v>5893.94</v>
      </c>
      <c r="N2600" s="319">
        <v>0.5</v>
      </c>
    </row>
    <row r="2601" spans="1:14" ht="19.5" hidden="1" thickBot="1" x14ac:dyDescent="0.3">
      <c r="A2601" s="73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4"/>
        <v>09,24</v>
      </c>
      <c r="L2601" s="65" t="s">
        <v>28</v>
      </c>
      <c r="M2601" s="65">
        <v>11836.8</v>
      </c>
      <c r="N2601" s="434">
        <v>0.5</v>
      </c>
    </row>
    <row r="2602" spans="1:14" ht="57" hidden="1" thickBot="1" x14ac:dyDescent="0.3">
      <c r="A2602" s="111">
        <f t="shared" ref="A2602:A2607" si="76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4"/>
        <v>09,24</v>
      </c>
      <c r="L2602" s="75" t="s">
        <v>266</v>
      </c>
      <c r="M2602" s="75">
        <v>17428.080000000002</v>
      </c>
      <c r="N2602" s="322">
        <v>0.45833333333333298</v>
      </c>
    </row>
    <row r="2603" spans="1:14" ht="38.25" hidden="1" thickBot="1" x14ac:dyDescent="0.3">
      <c r="A2603" s="110">
        <f t="shared" si="76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4"/>
        <v>09,24</v>
      </c>
      <c r="L2603" s="40" t="s">
        <v>266</v>
      </c>
      <c r="M2603" s="40">
        <v>17478.060000000001</v>
      </c>
      <c r="N2603" s="317">
        <v>0.5</v>
      </c>
    </row>
    <row r="2604" spans="1:14" ht="19.5" hidden="1" thickBot="1" x14ac:dyDescent="0.3">
      <c r="A2604" s="111">
        <f t="shared" si="76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4"/>
        <v>09,24</v>
      </c>
      <c r="L2604" s="75" t="s">
        <v>266</v>
      </c>
      <c r="M2604" s="75">
        <v>5501</v>
      </c>
      <c r="N2604" s="322">
        <v>0.41666666666666702</v>
      </c>
    </row>
    <row r="2605" spans="1:14" ht="19.5" hidden="1" thickBot="1" x14ac:dyDescent="0.3">
      <c r="A2605" s="110">
        <f t="shared" si="76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4"/>
        <v>09,24</v>
      </c>
      <c r="L2605" s="40" t="s">
        <v>265</v>
      </c>
      <c r="M2605" s="40">
        <v>17247.64</v>
      </c>
      <c r="N2605" s="317">
        <v>0.375</v>
      </c>
    </row>
    <row r="2606" spans="1:14" ht="19.5" hidden="1" thickBot="1" x14ac:dyDescent="0.3">
      <c r="A2606" s="111">
        <f t="shared" si="76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4"/>
        <v>09,24</v>
      </c>
      <c r="L2606" s="75" t="s">
        <v>28</v>
      </c>
      <c r="M2606" s="75">
        <v>17208.47</v>
      </c>
      <c r="N2606" s="322">
        <v>0.41666666666666702</v>
      </c>
    </row>
    <row r="2607" spans="1:14" ht="19.5" hidden="1" thickBot="1" x14ac:dyDescent="0.3">
      <c r="A2607" s="731">
        <f t="shared" si="76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4"/>
        <v>09,24</v>
      </c>
      <c r="L2607" s="82" t="s">
        <v>28</v>
      </c>
      <c r="M2607" s="82">
        <v>4009.99</v>
      </c>
      <c r="N2607" s="319">
        <v>0.45833333333333298</v>
      </c>
    </row>
    <row r="2608" spans="1:14" ht="19.5" hidden="1" thickBot="1" x14ac:dyDescent="0.3">
      <c r="A2608" s="731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4"/>
        <v>09,24</v>
      </c>
      <c r="L2608" s="98" t="s">
        <v>28</v>
      </c>
      <c r="M2608" s="98">
        <v>7370.02</v>
      </c>
      <c r="N2608" s="364">
        <v>0.45833333333333298</v>
      </c>
    </row>
    <row r="2609" spans="1:14" ht="19.5" hidden="1" thickBot="1" x14ac:dyDescent="0.3">
      <c r="A2609" s="731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4"/>
        <v>09,24</v>
      </c>
      <c r="L2609" s="90" t="s">
        <v>28</v>
      </c>
      <c r="M2609" s="90">
        <v>6270</v>
      </c>
      <c r="N2609" s="325">
        <v>0.45833333333333298</v>
      </c>
    </row>
    <row r="2610" spans="1:14" ht="19.5" hidden="1" thickBot="1" x14ac:dyDescent="0.3">
      <c r="A2610" s="732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4"/>
        <v>09,24</v>
      </c>
      <c r="L2610" s="48" t="s">
        <v>28</v>
      </c>
      <c r="M2610" s="48">
        <v>3510</v>
      </c>
      <c r="N2610" s="315">
        <v>0.5</v>
      </c>
    </row>
    <row r="2611" spans="1:14" ht="19.5" hidden="1" thickBot="1" x14ac:dyDescent="0.3">
      <c r="A2611" s="732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4"/>
        <v>09,24</v>
      </c>
      <c r="L2611" s="71" t="s">
        <v>28</v>
      </c>
      <c r="M2611" s="71">
        <v>13748.3</v>
      </c>
      <c r="N2611" s="323">
        <v>0.5</v>
      </c>
    </row>
    <row r="2612" spans="1:14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4"/>
        <v>09,24</v>
      </c>
      <c r="L2612" s="40" t="s">
        <v>265</v>
      </c>
      <c r="M2612" s="40">
        <v>17247.849999999999</v>
      </c>
      <c r="N2612" s="317">
        <v>0.375</v>
      </c>
    </row>
    <row r="2613" spans="1:14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4"/>
        <v>09,24</v>
      </c>
      <c r="L2613" s="75" t="s">
        <v>28</v>
      </c>
      <c r="M2613" s="75">
        <v>10051.200000000001</v>
      </c>
      <c r="N2613" s="322">
        <v>0.375</v>
      </c>
    </row>
    <row r="2614" spans="1:14" ht="19.5" hidden="1" thickBot="1" x14ac:dyDescent="0.3">
      <c r="A2614" s="731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4"/>
        <v>09,24</v>
      </c>
      <c r="L2614" s="82" t="s">
        <v>28</v>
      </c>
      <c r="M2614" s="82">
        <v>3533.12</v>
      </c>
      <c r="N2614" s="319">
        <v>0.41666666666666702</v>
      </c>
    </row>
    <row r="2615" spans="1:14" ht="19.5" hidden="1" thickBot="1" x14ac:dyDescent="0.3">
      <c r="A2615" s="731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4"/>
        <v>09,24</v>
      </c>
      <c r="L2615" s="90" t="s">
        <v>28</v>
      </c>
      <c r="M2615" s="90">
        <v>8542.0400000000009</v>
      </c>
      <c r="N2615" s="325">
        <v>0.41666666666666702</v>
      </c>
    </row>
    <row r="2616" spans="1:14" ht="19.5" hidden="1" thickBot="1" x14ac:dyDescent="0.3">
      <c r="A2616" s="735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4"/>
        <v>09,24</v>
      </c>
      <c r="L2616" s="48" t="s">
        <v>28</v>
      </c>
      <c r="M2616" s="48">
        <v>5521.76</v>
      </c>
      <c r="N2616" s="315">
        <v>0.45833333333333298</v>
      </c>
    </row>
    <row r="2617" spans="1:14" ht="19.5" hidden="1" thickBot="1" x14ac:dyDescent="0.3">
      <c r="A2617" s="735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4"/>
        <v>09,24</v>
      </c>
      <c r="L2617" s="293" t="s">
        <v>28</v>
      </c>
      <c r="M2617" s="293">
        <v>8335</v>
      </c>
      <c r="N2617" s="389">
        <v>0.45833333333333298</v>
      </c>
    </row>
    <row r="2618" spans="1:14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4"/>
        <v>09,24</v>
      </c>
      <c r="L2618" s="40" t="s">
        <v>266</v>
      </c>
      <c r="M2618" s="40">
        <v>18102.400000000001</v>
      </c>
      <c r="N2618" s="317">
        <v>0.41666666666666702</v>
      </c>
    </row>
    <row r="2619" spans="1:14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7">RIGHT(I2619,5)</f>
        <v>09,24</v>
      </c>
      <c r="L2619" s="75" t="s">
        <v>266</v>
      </c>
      <c r="M2619" s="75">
        <v>18039.599999999999</v>
      </c>
      <c r="N2619" s="322">
        <v>0.45833333333333298</v>
      </c>
    </row>
    <row r="2620" spans="1:14" ht="19.5" hidden="1" thickBot="1" x14ac:dyDescent="0.3">
      <c r="A2620" s="731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7"/>
        <v>09,24</v>
      </c>
      <c r="L2620" s="82" t="s">
        <v>266</v>
      </c>
      <c r="M2620" s="82">
        <v>3737.4</v>
      </c>
      <c r="N2620" s="319">
        <v>0.5</v>
      </c>
    </row>
    <row r="2621" spans="1:14" ht="19.5" hidden="1" thickBot="1" x14ac:dyDescent="0.3">
      <c r="A2621" s="731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7"/>
        <v>09,24</v>
      </c>
      <c r="L2621" s="98" t="s">
        <v>266</v>
      </c>
      <c r="M2621" s="98">
        <v>4685.46</v>
      </c>
      <c r="N2621" s="364">
        <v>0.5</v>
      </c>
    </row>
    <row r="2622" spans="1:14" ht="19.5" hidden="1" thickBot="1" x14ac:dyDescent="0.3">
      <c r="A2622" s="731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7"/>
        <v>09,24</v>
      </c>
      <c r="L2622" s="98" t="s">
        <v>266</v>
      </c>
      <c r="M2622" s="98">
        <v>5023.53</v>
      </c>
      <c r="N2622" s="364">
        <v>0.5</v>
      </c>
    </row>
    <row r="2623" spans="1:14" ht="19.5" hidden="1" thickBot="1" x14ac:dyDescent="0.3">
      <c r="A2623" s="731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7"/>
        <v>09,24</v>
      </c>
      <c r="L2623" s="90" t="s">
        <v>266</v>
      </c>
      <c r="M2623" s="90">
        <v>4002.7</v>
      </c>
      <c r="N2623" s="325">
        <v>0.5</v>
      </c>
    </row>
    <row r="2624" spans="1:14" ht="17.25" hidden="1" customHeight="1" thickBot="1" x14ac:dyDescent="0.3">
      <c r="A2624" s="735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736" t="s">
        <v>467</v>
      </c>
      <c r="H2624" s="48" t="s">
        <v>610</v>
      </c>
      <c r="I2624" s="47" t="s">
        <v>611</v>
      </c>
      <c r="J2624" s="52"/>
      <c r="K2624" s="48" t="str">
        <f t="shared" si="77"/>
        <v>09,24</v>
      </c>
      <c r="L2624" s="48" t="s">
        <v>266</v>
      </c>
      <c r="M2624" s="48">
        <v>4014.6</v>
      </c>
      <c r="N2624" s="315">
        <v>0.54166666666666696</v>
      </c>
    </row>
    <row r="2625" spans="1:14" ht="19.5" hidden="1" thickBot="1" x14ac:dyDescent="0.3">
      <c r="A2625" s="735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736"/>
      <c r="H2625" s="293" t="s">
        <v>610</v>
      </c>
      <c r="I2625" s="292" t="s">
        <v>611</v>
      </c>
      <c r="J2625" s="296"/>
      <c r="K2625" s="293" t="str">
        <f t="shared" si="77"/>
        <v>09,24</v>
      </c>
      <c r="L2625" s="293" t="s">
        <v>266</v>
      </c>
      <c r="M2625" s="293">
        <v>4274.72</v>
      </c>
      <c r="N2625" s="389">
        <v>0.54166666666666696</v>
      </c>
    </row>
    <row r="2626" spans="1:14" ht="19.5" hidden="1" thickBot="1" x14ac:dyDescent="0.3">
      <c r="A2626" s="731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7"/>
        <v>09,24</v>
      </c>
      <c r="L2626" s="82" t="s">
        <v>265</v>
      </c>
      <c r="M2626" s="82">
        <v>12561.18</v>
      </c>
      <c r="N2626" s="319">
        <v>0.375</v>
      </c>
    </row>
    <row r="2627" spans="1:14" ht="19.5" hidden="1" thickBot="1" x14ac:dyDescent="0.3">
      <c r="A2627" s="731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7"/>
        <v>09,24</v>
      </c>
      <c r="L2627" s="90" t="s">
        <v>265</v>
      </c>
      <c r="M2627" s="90">
        <v>3592.9</v>
      </c>
      <c r="N2627" s="325">
        <v>0.375</v>
      </c>
    </row>
    <row r="2628" spans="1:14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7"/>
        <v>09,24</v>
      </c>
      <c r="L2628" s="75" t="s">
        <v>28</v>
      </c>
      <c r="M2628" s="75">
        <v>15579.44</v>
      </c>
      <c r="N2628" s="322">
        <v>0.41666666666666702</v>
      </c>
    </row>
    <row r="2629" spans="1:14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7"/>
        <v>09,24</v>
      </c>
      <c r="L2629" s="40" t="s">
        <v>265</v>
      </c>
      <c r="M2629" s="40">
        <v>17154.84</v>
      </c>
      <c r="N2629" s="317">
        <v>0.375</v>
      </c>
    </row>
    <row r="2630" spans="1:14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7"/>
        <v>09,24</v>
      </c>
      <c r="L2630" s="158" t="s">
        <v>265</v>
      </c>
      <c r="M2630" s="158">
        <v>13100.52</v>
      </c>
      <c r="N2630" s="433">
        <v>0.375</v>
      </c>
    </row>
    <row r="2631" spans="1:14" ht="19.5" hidden="1" customHeight="1" thickBot="1" x14ac:dyDescent="0.3">
      <c r="A2631" s="731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734" t="s">
        <v>72</v>
      </c>
      <c r="H2631" s="82" t="s">
        <v>614</v>
      </c>
      <c r="I2631" s="147" t="s">
        <v>614</v>
      </c>
      <c r="J2631" s="86"/>
      <c r="K2631" s="82" t="str">
        <f t="shared" si="77"/>
        <v>09,24</v>
      </c>
      <c r="L2631" s="82" t="s">
        <v>265</v>
      </c>
      <c r="M2631" s="82">
        <v>11381.24</v>
      </c>
      <c r="N2631" s="319">
        <v>0.33333333333333298</v>
      </c>
    </row>
    <row r="2632" spans="1:14" ht="19.5" hidden="1" thickBot="1" x14ac:dyDescent="0.3">
      <c r="A2632" s="731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734"/>
      <c r="H2632" s="90" t="s">
        <v>614</v>
      </c>
      <c r="I2632" s="172" t="s">
        <v>614</v>
      </c>
      <c r="J2632" s="173"/>
      <c r="K2632" s="90" t="str">
        <f t="shared" si="77"/>
        <v>09,24</v>
      </c>
      <c r="L2632" s="90" t="s">
        <v>265</v>
      </c>
      <c r="M2632" s="90">
        <v>2001.58</v>
      </c>
      <c r="N2632" s="325">
        <v>0.41666666666666702</v>
      </c>
    </row>
    <row r="2633" spans="1:14" ht="19.5" hidden="1" thickBot="1" x14ac:dyDescent="0.3">
      <c r="A2633" s="732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7"/>
        <v>09,24</v>
      </c>
      <c r="L2633" s="48" t="s">
        <v>28</v>
      </c>
      <c r="M2633" s="48">
        <v>3313.79</v>
      </c>
      <c r="N2633" s="315">
        <v>0.41666666666666702</v>
      </c>
    </row>
    <row r="2634" spans="1:14" ht="19.5" hidden="1" thickBot="1" x14ac:dyDescent="0.3">
      <c r="A2634" s="732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7"/>
        <v>09,24</v>
      </c>
      <c r="L2634" s="71" t="s">
        <v>28</v>
      </c>
      <c r="M2634" s="71">
        <v>14175.99</v>
      </c>
      <c r="N2634" s="323">
        <v>0.41666666666666702</v>
      </c>
    </row>
    <row r="2635" spans="1:14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7"/>
        <v>09,24</v>
      </c>
      <c r="L2635" s="40" t="s">
        <v>28</v>
      </c>
      <c r="M2635" s="40">
        <v>17436.71</v>
      </c>
      <c r="N2635" s="317">
        <v>0.45833333333333298</v>
      </c>
    </row>
    <row r="2636" spans="1:14" ht="19.5" hidden="1" thickBot="1" x14ac:dyDescent="0.3">
      <c r="A2636" s="732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7"/>
        <v>09,24</v>
      </c>
      <c r="L2636" s="48" t="s">
        <v>28</v>
      </c>
      <c r="M2636" s="48">
        <v>7948.41</v>
      </c>
      <c r="N2636" s="315">
        <v>0.5</v>
      </c>
    </row>
    <row r="2637" spans="1:14" ht="19.5" hidden="1" thickBot="1" x14ac:dyDescent="0.3">
      <c r="A2637" s="732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7"/>
        <v>09,24</v>
      </c>
      <c r="L2637" s="71" t="s">
        <v>28</v>
      </c>
      <c r="M2637" s="71">
        <v>9196.35</v>
      </c>
      <c r="N2637" s="323">
        <v>0.5</v>
      </c>
    </row>
    <row r="2638" spans="1:14" ht="19.5" hidden="1" thickBot="1" x14ac:dyDescent="0.3">
      <c r="A2638" s="73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7"/>
        <v>09,24</v>
      </c>
      <c r="L2638" s="82" t="s">
        <v>28</v>
      </c>
      <c r="M2638" s="82">
        <v>2066.64</v>
      </c>
      <c r="N2638" s="319">
        <v>0.54166666666666696</v>
      </c>
    </row>
    <row r="2639" spans="1:14" ht="19.5" hidden="1" thickBot="1" x14ac:dyDescent="0.3">
      <c r="A2639" s="73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7"/>
        <v>09,24</v>
      </c>
      <c r="L2639" s="65" t="s">
        <v>28</v>
      </c>
      <c r="M2639" s="65">
        <v>14943.9</v>
      </c>
      <c r="N2639" s="434">
        <v>0.54166666666666696</v>
      </c>
    </row>
    <row r="2640" spans="1:14" ht="38.25" hidden="1" thickBot="1" x14ac:dyDescent="0.3">
      <c r="A2640" s="111">
        <f t="shared" ref="A2640:A2645" si="78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7"/>
        <v>09,24</v>
      </c>
      <c r="L2640" s="75" t="s">
        <v>266</v>
      </c>
      <c r="M2640" s="75">
        <v>17412.919999999998</v>
      </c>
      <c r="N2640" s="322">
        <v>0.5</v>
      </c>
    </row>
    <row r="2641" spans="1:14" ht="19.5" hidden="1" thickBot="1" x14ac:dyDescent="0.3">
      <c r="A2641" s="110">
        <f t="shared" si="78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7"/>
        <v>09,24</v>
      </c>
      <c r="L2641" s="40" t="s">
        <v>265</v>
      </c>
      <c r="M2641" s="40">
        <v>17180.02</v>
      </c>
      <c r="N2641" s="317">
        <v>0.375</v>
      </c>
    </row>
    <row r="2642" spans="1:14" ht="38.25" hidden="1" thickBot="1" x14ac:dyDescent="0.3">
      <c r="A2642" s="111">
        <f t="shared" si="78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7"/>
        <v>09,24</v>
      </c>
      <c r="L2642" s="75" t="s">
        <v>266</v>
      </c>
      <c r="M2642" s="75">
        <v>17522.52</v>
      </c>
      <c r="N2642" s="322">
        <v>0.41666666666666702</v>
      </c>
    </row>
    <row r="2643" spans="1:14" ht="19.5" hidden="1" thickBot="1" x14ac:dyDescent="0.3">
      <c r="A2643" s="110">
        <f t="shared" si="78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7"/>
        <v>09,24</v>
      </c>
      <c r="L2643" s="40" t="s">
        <v>28</v>
      </c>
      <c r="M2643" s="40">
        <v>15544.38</v>
      </c>
      <c r="N2643" s="317">
        <v>0.45833333333333298</v>
      </c>
    </row>
    <row r="2644" spans="1:14" ht="19.5" hidden="1" thickBot="1" x14ac:dyDescent="0.3">
      <c r="A2644" s="111">
        <f t="shared" si="78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7"/>
        <v>09,24</v>
      </c>
      <c r="L2644" s="75" t="s">
        <v>28</v>
      </c>
      <c r="M2644" s="75">
        <v>17369.68</v>
      </c>
      <c r="N2644" s="322">
        <v>0.5</v>
      </c>
    </row>
    <row r="2645" spans="1:14" ht="19.5" hidden="1" thickBot="1" x14ac:dyDescent="0.3">
      <c r="A2645" s="731">
        <f t="shared" si="78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7"/>
        <v>09,24</v>
      </c>
      <c r="L2645" s="82" t="s">
        <v>28</v>
      </c>
      <c r="M2645" s="82">
        <v>5958.29</v>
      </c>
      <c r="N2645" s="319">
        <v>0.54166666666666696</v>
      </c>
    </row>
    <row r="2646" spans="1:14" ht="19.5" hidden="1" thickBot="1" x14ac:dyDescent="0.3">
      <c r="A2646" s="731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7"/>
        <v>09,24</v>
      </c>
      <c r="L2646" s="90" t="s">
        <v>28</v>
      </c>
      <c r="M2646" s="90">
        <v>11523.3</v>
      </c>
      <c r="N2646" s="325">
        <v>0.54166666666666696</v>
      </c>
    </row>
    <row r="2647" spans="1:14" ht="19.5" hidden="1" thickBot="1" x14ac:dyDescent="0.3">
      <c r="A2647" s="732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7"/>
        <v>10,24</v>
      </c>
      <c r="L2647" s="48" t="s">
        <v>28</v>
      </c>
      <c r="M2647" s="48">
        <v>4343.8</v>
      </c>
      <c r="N2647" s="315">
        <v>0.58333333333333304</v>
      </c>
    </row>
    <row r="2648" spans="1:14" ht="19.5" hidden="1" thickBot="1" x14ac:dyDescent="0.3">
      <c r="A2648" s="732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7"/>
        <v>10,24</v>
      </c>
      <c r="L2648" s="71" t="s">
        <v>28</v>
      </c>
      <c r="M2648" s="71">
        <v>13031.15</v>
      </c>
      <c r="N2648" s="323">
        <v>0.58333333333333304</v>
      </c>
    </row>
    <row r="2649" spans="1:14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7"/>
        <v>10,24</v>
      </c>
      <c r="L2649" s="40" t="s">
        <v>265</v>
      </c>
      <c r="M2649" s="40">
        <v>17261.46</v>
      </c>
      <c r="N2649" s="317">
        <v>0.375</v>
      </c>
    </row>
    <row r="2650" spans="1:14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7"/>
        <v>09,24</v>
      </c>
      <c r="L2650" s="75" t="s">
        <v>28</v>
      </c>
      <c r="M2650" s="75">
        <v>12014.52</v>
      </c>
      <c r="N2650" s="322">
        <v>0.375</v>
      </c>
    </row>
    <row r="2651" spans="1:14" ht="19.5" hidden="1" thickBot="1" x14ac:dyDescent="0.3">
      <c r="A2651" s="731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7"/>
        <v>09,24</v>
      </c>
      <c r="L2651" s="82" t="s">
        <v>28</v>
      </c>
      <c r="M2651" s="82">
        <v>7640.12</v>
      </c>
      <c r="N2651" s="319">
        <v>0.41666666666666702</v>
      </c>
    </row>
    <row r="2652" spans="1:14" ht="19.5" hidden="1" thickBot="1" x14ac:dyDescent="0.3">
      <c r="A2652" s="731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7"/>
        <v>09,24</v>
      </c>
      <c r="L2652" s="98" t="s">
        <v>28</v>
      </c>
      <c r="M2652" s="98">
        <v>4899.08</v>
      </c>
      <c r="N2652" s="364">
        <v>0.41666666666666702</v>
      </c>
    </row>
    <row r="2653" spans="1:14" ht="19.5" hidden="1" thickBot="1" x14ac:dyDescent="0.3">
      <c r="A2653" s="731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7"/>
        <v>09,24</v>
      </c>
      <c r="L2653" s="90" t="s">
        <v>28</v>
      </c>
      <c r="M2653" s="90">
        <v>252</v>
      </c>
      <c r="N2653" s="325">
        <v>0.41666666666666702</v>
      </c>
    </row>
    <row r="2654" spans="1:14" ht="19.5" hidden="1" thickBot="1" x14ac:dyDescent="0.3">
      <c r="A2654" s="732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7"/>
        <v>10,24</v>
      </c>
      <c r="L2654" s="48" t="s">
        <v>28</v>
      </c>
      <c r="M2654" s="48">
        <v>7178.52</v>
      </c>
      <c r="N2654" s="315">
        <v>0.45833333333333298</v>
      </c>
    </row>
    <row r="2655" spans="1:14" ht="19.5" hidden="1" thickBot="1" x14ac:dyDescent="0.3">
      <c r="A2655" s="732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7"/>
        <v>10,24</v>
      </c>
      <c r="L2655" s="71" t="s">
        <v>28</v>
      </c>
      <c r="M2655" s="71">
        <v>4919.6400000000003</v>
      </c>
      <c r="N2655" s="323">
        <v>0.45833333333333298</v>
      </c>
    </row>
    <row r="2656" spans="1:14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7"/>
        <v>10,24</v>
      </c>
      <c r="L2656" s="122" t="s">
        <v>266</v>
      </c>
      <c r="M2656" s="122">
        <v>16173.52</v>
      </c>
      <c r="N2656" s="365">
        <v>0.5</v>
      </c>
    </row>
    <row r="2657" spans="1:14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7"/>
        <v>10,24</v>
      </c>
      <c r="L2657" s="75" t="s">
        <v>266</v>
      </c>
      <c r="M2657" s="75">
        <v>18083.3</v>
      </c>
      <c r="N2657" s="322">
        <v>0.41666666666666702</v>
      </c>
    </row>
    <row r="2658" spans="1:14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7"/>
        <v>10,24</v>
      </c>
      <c r="L2658" s="40" t="s">
        <v>266</v>
      </c>
      <c r="M2658" s="40">
        <v>18065.080000000002</v>
      </c>
      <c r="N2658" s="317">
        <v>0.45833333333333298</v>
      </c>
    </row>
    <row r="2659" spans="1:14" ht="19.5" hidden="1" thickBot="1" x14ac:dyDescent="0.3">
      <c r="A2659" s="732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7"/>
        <v>10,24</v>
      </c>
      <c r="L2659" s="48" t="s">
        <v>266</v>
      </c>
      <c r="M2659" s="48">
        <v>3003</v>
      </c>
      <c r="N2659" s="315">
        <v>0.5</v>
      </c>
    </row>
    <row r="2660" spans="1:14" ht="19.5" hidden="1" thickBot="1" x14ac:dyDescent="0.3">
      <c r="A2660" s="732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7"/>
        <v>10,24</v>
      </c>
      <c r="L2660" s="23" t="s">
        <v>266</v>
      </c>
      <c r="M2660" s="23">
        <v>2135.7800000000002</v>
      </c>
      <c r="N2660" s="329">
        <v>0.5</v>
      </c>
    </row>
    <row r="2661" spans="1:14" ht="19.5" hidden="1" thickBot="1" x14ac:dyDescent="0.3">
      <c r="A2661" s="732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7"/>
        <v>10,24</v>
      </c>
      <c r="L2661" s="23" t="s">
        <v>266</v>
      </c>
      <c r="M2661" s="23">
        <v>3300</v>
      </c>
      <c r="N2661" s="329">
        <v>0.5</v>
      </c>
    </row>
    <row r="2662" spans="1:14" ht="19.5" hidden="1" thickBot="1" x14ac:dyDescent="0.3">
      <c r="A2662" s="732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7"/>
        <v>10,24</v>
      </c>
      <c r="L2662" s="23" t="s">
        <v>266</v>
      </c>
      <c r="M2662" s="23">
        <v>5104.5</v>
      </c>
      <c r="N2662" s="329">
        <v>0.5</v>
      </c>
    </row>
    <row r="2663" spans="1:14" ht="19.5" hidden="1" thickBot="1" x14ac:dyDescent="0.3">
      <c r="A2663" s="732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7"/>
        <v>10,24</v>
      </c>
      <c r="L2663" s="71" t="s">
        <v>266</v>
      </c>
      <c r="M2663" s="71">
        <v>3505.56</v>
      </c>
      <c r="N2663" s="323">
        <v>0.5</v>
      </c>
    </row>
    <row r="2664" spans="1:14" ht="19.5" hidden="1" thickBot="1" x14ac:dyDescent="0.3">
      <c r="A2664" s="731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7"/>
        <v>10,24</v>
      </c>
      <c r="L2664" s="82" t="s">
        <v>265</v>
      </c>
      <c r="M2664" s="82">
        <v>7947.08</v>
      </c>
      <c r="N2664" s="319">
        <v>0.375</v>
      </c>
    </row>
    <row r="2665" spans="1:14" ht="19.5" hidden="1" thickBot="1" x14ac:dyDescent="0.3">
      <c r="A2665" s="731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7"/>
        <v>10,24</v>
      </c>
      <c r="L2665" s="90" t="s">
        <v>265</v>
      </c>
      <c r="M2665" s="90">
        <v>8274.1</v>
      </c>
      <c r="N2665" s="325">
        <v>0.375</v>
      </c>
    </row>
    <row r="2666" spans="1:14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7"/>
        <v>10,24</v>
      </c>
      <c r="L2666" s="158" t="s">
        <v>265</v>
      </c>
      <c r="M2666" s="158">
        <v>12194.88</v>
      </c>
      <c r="N2666" s="433">
        <v>0.375</v>
      </c>
    </row>
    <row r="2667" spans="1:14" ht="18.75" hidden="1" customHeight="1" thickBot="1" x14ac:dyDescent="0.3">
      <c r="A2667" s="731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734" t="s">
        <v>72</v>
      </c>
      <c r="H2667" s="82" t="s">
        <v>621</v>
      </c>
      <c r="I2667" s="147" t="s">
        <v>621</v>
      </c>
      <c r="J2667" s="86"/>
      <c r="K2667" s="82" t="str">
        <f t="shared" si="77"/>
        <v>10,24</v>
      </c>
      <c r="L2667" s="82" t="s">
        <v>265</v>
      </c>
      <c r="M2667" s="82">
        <v>8009.12</v>
      </c>
      <c r="N2667" s="319">
        <v>0.33333333333333298</v>
      </c>
    </row>
    <row r="2668" spans="1:14" ht="19.5" hidden="1" thickBot="1" x14ac:dyDescent="0.3">
      <c r="A2668" s="731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734"/>
      <c r="H2668" s="90" t="s">
        <v>621</v>
      </c>
      <c r="I2668" s="172" t="s">
        <v>621</v>
      </c>
      <c r="J2668" s="173"/>
      <c r="K2668" s="90" t="str">
        <f t="shared" si="77"/>
        <v>10,24</v>
      </c>
      <c r="L2668" s="90" t="s">
        <v>265</v>
      </c>
      <c r="M2668" s="90">
        <v>5232.3</v>
      </c>
      <c r="N2668" s="325">
        <v>0.41666666666666702</v>
      </c>
    </row>
    <row r="2669" spans="1:14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7"/>
        <v>10,24</v>
      </c>
      <c r="L2669" s="75" t="s">
        <v>28</v>
      </c>
      <c r="M2669" s="75">
        <v>15794.82</v>
      </c>
      <c r="N2669" s="322">
        <v>0.375</v>
      </c>
    </row>
    <row r="2670" spans="1:14" ht="19.5" hidden="1" thickBot="1" x14ac:dyDescent="0.3">
      <c r="A2670" s="731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7"/>
        <v>10,24</v>
      </c>
      <c r="L2670" s="82" t="s">
        <v>28</v>
      </c>
      <c r="M2670" s="82">
        <v>15628.72</v>
      </c>
      <c r="N2670" s="319">
        <v>0.41666666666666702</v>
      </c>
    </row>
    <row r="2671" spans="1:14" ht="19.5" hidden="1" thickBot="1" x14ac:dyDescent="0.3">
      <c r="A2671" s="731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7"/>
        <v>10,24</v>
      </c>
      <c r="L2671" s="90" t="s">
        <v>28</v>
      </c>
      <c r="M2671" s="90">
        <v>906.08</v>
      </c>
      <c r="N2671" s="325">
        <v>0.41666666666666702</v>
      </c>
    </row>
    <row r="2672" spans="1:14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7"/>
        <v>10,24</v>
      </c>
      <c r="L2672" s="75" t="s">
        <v>28</v>
      </c>
      <c r="M2672" s="75">
        <v>17538.53</v>
      </c>
      <c r="N2672" s="322">
        <v>0.45833333333333298</v>
      </c>
    </row>
    <row r="2673" spans="1:14" ht="19.5" hidden="1" thickBot="1" x14ac:dyDescent="0.3">
      <c r="A2673" s="731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7"/>
        <v>10,24</v>
      </c>
      <c r="L2673" s="82" t="s">
        <v>28</v>
      </c>
      <c r="M2673" s="82">
        <v>3590.64</v>
      </c>
      <c r="N2673" s="319">
        <v>0.5</v>
      </c>
    </row>
    <row r="2674" spans="1:14" ht="19.5" hidden="1" thickBot="1" x14ac:dyDescent="0.3">
      <c r="A2674" s="731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7"/>
        <v>10,24</v>
      </c>
      <c r="L2674" s="90" t="s">
        <v>28</v>
      </c>
      <c r="M2674" s="90">
        <v>13786.74</v>
      </c>
      <c r="N2674" s="325">
        <v>0.5</v>
      </c>
    </row>
    <row r="2675" spans="1:14" ht="19.5" hidden="1" thickBot="1" x14ac:dyDescent="0.3">
      <c r="A2675" s="735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7"/>
        <v>10,24</v>
      </c>
      <c r="L2675" s="48" t="s">
        <v>28</v>
      </c>
      <c r="M2675" s="48">
        <v>4772.04</v>
      </c>
      <c r="N2675" s="315">
        <v>0.54166666666666696</v>
      </c>
    </row>
    <row r="2676" spans="1:14" ht="19.5" hidden="1" thickBot="1" x14ac:dyDescent="0.3">
      <c r="A2676" s="735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7"/>
        <v>10,24</v>
      </c>
      <c r="L2676" s="23" t="s">
        <v>28</v>
      </c>
      <c r="M2676" s="23">
        <v>6040.44</v>
      </c>
      <c r="N2676" s="329">
        <v>0.54166666666666696</v>
      </c>
    </row>
    <row r="2677" spans="1:14" ht="19.5" hidden="1" thickBot="1" x14ac:dyDescent="0.3">
      <c r="A2677" s="735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7"/>
        <v>10,24</v>
      </c>
      <c r="L2677" s="293" t="s">
        <v>28</v>
      </c>
      <c r="M2677" s="293">
        <v>7009.2</v>
      </c>
      <c r="N2677" s="389">
        <v>0.54166666666666696</v>
      </c>
    </row>
    <row r="2678" spans="1:14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7"/>
        <v>10,24</v>
      </c>
      <c r="L2678" s="40" t="s">
        <v>265</v>
      </c>
      <c r="M2678" s="40">
        <v>17242.939999999999</v>
      </c>
      <c r="N2678" s="317">
        <v>0.375</v>
      </c>
    </row>
    <row r="2679" spans="1:14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7"/>
        <v>10,24</v>
      </c>
      <c r="L2679" s="75" t="s">
        <v>266</v>
      </c>
      <c r="M2679" s="75">
        <v>17232.12</v>
      </c>
      <c r="N2679" s="322">
        <v>0.41666666666666702</v>
      </c>
    </row>
    <row r="2680" spans="1:14" ht="19.5" hidden="1" thickBot="1" x14ac:dyDescent="0.3">
      <c r="A2680" s="731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7"/>
        <v>10,24</v>
      </c>
      <c r="L2680" s="82" t="s">
        <v>28</v>
      </c>
      <c r="M2680" s="82">
        <v>5825.47</v>
      </c>
      <c r="N2680" s="319">
        <v>0.45833333333333298</v>
      </c>
    </row>
    <row r="2681" spans="1:14" ht="19.5" hidden="1" thickBot="1" x14ac:dyDescent="0.3">
      <c r="A2681" s="731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7"/>
        <v>10,24</v>
      </c>
      <c r="L2681" s="90" t="s">
        <v>28</v>
      </c>
      <c r="M2681" s="90">
        <v>11995.5</v>
      </c>
      <c r="N2681" s="325">
        <v>0.45833333333333298</v>
      </c>
    </row>
    <row r="2682" spans="1:14" ht="19.5" hidden="1" thickBot="1" x14ac:dyDescent="0.3">
      <c r="A2682" s="732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7"/>
        <v>10,24</v>
      </c>
      <c r="L2682" s="48" t="s">
        <v>28</v>
      </c>
      <c r="M2682" s="48">
        <v>1721.5</v>
      </c>
      <c r="N2682" s="315">
        <v>0.5</v>
      </c>
    </row>
    <row r="2683" spans="1:14" ht="19.5" hidden="1" thickBot="1" x14ac:dyDescent="0.3">
      <c r="A2683" s="732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79">RIGHT(I2683,5)</f>
        <v>10,24</v>
      </c>
      <c r="L2683" s="23" t="s">
        <v>28</v>
      </c>
      <c r="M2683" s="23">
        <v>8397.1</v>
      </c>
      <c r="N2683" s="329">
        <v>0.5</v>
      </c>
    </row>
    <row r="2684" spans="1:14" ht="19.5" hidden="1" thickBot="1" x14ac:dyDescent="0.3">
      <c r="A2684" s="732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79"/>
        <v>10,24</v>
      </c>
      <c r="L2684" s="71" t="s">
        <v>28</v>
      </c>
      <c r="M2684" s="71">
        <v>7857.42</v>
      </c>
      <c r="N2684" s="323">
        <v>0.5</v>
      </c>
    </row>
    <row r="2685" spans="1:14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79"/>
        <v>10,24</v>
      </c>
      <c r="L2685" s="40" t="s">
        <v>265</v>
      </c>
      <c r="M2685" s="40">
        <v>17307.75</v>
      </c>
      <c r="N2685" s="317">
        <v>0.375</v>
      </c>
    </row>
    <row r="2686" spans="1:14" ht="19.5" hidden="1" thickBot="1" x14ac:dyDescent="0.3">
      <c r="A2686" s="732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79"/>
        <v>10,24</v>
      </c>
      <c r="L2686" s="48" t="s">
        <v>28</v>
      </c>
      <c r="M2686" s="48">
        <v>6838.52</v>
      </c>
      <c r="N2686" s="315">
        <v>0.375</v>
      </c>
    </row>
    <row r="2687" spans="1:14" ht="19.5" hidden="1" thickBot="1" x14ac:dyDescent="0.3">
      <c r="A2687" s="732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79"/>
        <v>10,24</v>
      </c>
      <c r="L2687" s="71" t="s">
        <v>28</v>
      </c>
      <c r="M2687" s="71">
        <v>5558.88</v>
      </c>
      <c r="N2687" s="323">
        <v>0.375</v>
      </c>
    </row>
    <row r="2688" spans="1:14" ht="19.5" hidden="1" thickBot="1" x14ac:dyDescent="0.3">
      <c r="A2688" s="731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79"/>
        <v>10,24</v>
      </c>
      <c r="L2688" s="82" t="s">
        <v>28</v>
      </c>
      <c r="M2688" s="82">
        <v>3320.48</v>
      </c>
      <c r="N2688" s="319">
        <v>0.41666666666666702</v>
      </c>
    </row>
    <row r="2689" spans="1:14" ht="19.5" hidden="1" thickBot="1" x14ac:dyDescent="0.3">
      <c r="A2689" s="731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79"/>
        <v>10,24</v>
      </c>
      <c r="L2689" s="90" t="s">
        <v>28</v>
      </c>
      <c r="M2689" s="90">
        <v>9896.7999999999993</v>
      </c>
      <c r="N2689" s="325">
        <v>0.41666666666666702</v>
      </c>
    </row>
    <row r="2690" spans="1:14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79"/>
        <v>10,24</v>
      </c>
      <c r="L2690" s="158" t="s">
        <v>265</v>
      </c>
      <c r="M2690" s="158">
        <v>8041.5</v>
      </c>
      <c r="N2690" s="433">
        <v>0.375</v>
      </c>
    </row>
    <row r="2691" spans="1:14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79"/>
        <v>10,24</v>
      </c>
      <c r="L2691" s="40" t="s">
        <v>266</v>
      </c>
      <c r="M2691" s="40">
        <v>18159.080000000002</v>
      </c>
      <c r="N2691" s="317">
        <v>0.41666666666666702</v>
      </c>
    </row>
    <row r="2692" spans="1:14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79"/>
        <v>10,24</v>
      </c>
      <c r="L2692" s="75" t="s">
        <v>266</v>
      </c>
      <c r="M2692" s="75">
        <v>18069.240000000002</v>
      </c>
      <c r="N2692" s="322">
        <v>0.45833333333333298</v>
      </c>
    </row>
    <row r="2693" spans="1:14" ht="19.5" hidden="1" thickBot="1" x14ac:dyDescent="0.3">
      <c r="A2693" s="73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79"/>
        <v>10,24</v>
      </c>
      <c r="L2693" s="82" t="s">
        <v>266</v>
      </c>
      <c r="M2693" s="82">
        <v>2832.75</v>
      </c>
      <c r="N2693" s="319">
        <v>0.5</v>
      </c>
    </row>
    <row r="2694" spans="1:14" ht="19.5" hidden="1" thickBot="1" x14ac:dyDescent="0.3">
      <c r="A2694" s="73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79"/>
        <v>10,24</v>
      </c>
      <c r="L2694" s="98" t="s">
        <v>266</v>
      </c>
      <c r="M2694" s="98">
        <v>4373.38</v>
      </c>
      <c r="N2694" s="364">
        <v>0.5</v>
      </c>
    </row>
    <row r="2695" spans="1:14" ht="19.5" hidden="1" thickBot="1" x14ac:dyDescent="0.3">
      <c r="A2695" s="73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79"/>
        <v>10,24</v>
      </c>
      <c r="L2695" s="98" t="s">
        <v>266</v>
      </c>
      <c r="M2695" s="98">
        <v>2639.46</v>
      </c>
      <c r="N2695" s="364">
        <v>0.5</v>
      </c>
    </row>
    <row r="2696" spans="1:14" ht="19.5" hidden="1" thickBot="1" x14ac:dyDescent="0.3">
      <c r="A2696" s="73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79"/>
        <v>10,24</v>
      </c>
      <c r="L2696" s="98" t="s">
        <v>266</v>
      </c>
      <c r="M2696" s="98">
        <v>1005</v>
      </c>
      <c r="N2696" s="364">
        <v>0.5</v>
      </c>
    </row>
    <row r="2697" spans="1:14" ht="19.5" hidden="1" thickBot="1" x14ac:dyDescent="0.3">
      <c r="A2697" s="73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79"/>
        <v>10,24</v>
      </c>
      <c r="L2697" s="98" t="s">
        <v>266</v>
      </c>
      <c r="M2697" s="98">
        <v>2564.25</v>
      </c>
      <c r="N2697" s="364">
        <v>0.5</v>
      </c>
    </row>
    <row r="2698" spans="1:14" ht="19.5" hidden="1" thickBot="1" x14ac:dyDescent="0.3">
      <c r="A2698" s="73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79"/>
        <v>10,24</v>
      </c>
      <c r="L2698" s="65" t="s">
        <v>266</v>
      </c>
      <c r="M2698" s="65">
        <v>4209.66</v>
      </c>
      <c r="N2698" s="434">
        <v>0.5</v>
      </c>
    </row>
    <row r="2699" spans="1:14" ht="19.5" hidden="1" thickBot="1" x14ac:dyDescent="0.3">
      <c r="A2699" s="732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79"/>
        <v>10,24</v>
      </c>
      <c r="L2699" s="48" t="s">
        <v>265</v>
      </c>
      <c r="M2699" s="48">
        <v>12132.78</v>
      </c>
      <c r="N2699" s="315">
        <v>0.375</v>
      </c>
    </row>
    <row r="2700" spans="1:14" ht="19.5" hidden="1" thickBot="1" x14ac:dyDescent="0.3">
      <c r="A2700" s="732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79"/>
        <v>10,24</v>
      </c>
      <c r="L2700" s="71" t="s">
        <v>265</v>
      </c>
      <c r="M2700" s="71">
        <v>3986.5</v>
      </c>
      <c r="N2700" s="323">
        <v>0.375</v>
      </c>
    </row>
    <row r="2701" spans="1:14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79"/>
        <v>10,24</v>
      </c>
      <c r="L2701" s="40" t="s">
        <v>28</v>
      </c>
      <c r="M2701" s="40">
        <v>15597.7</v>
      </c>
      <c r="N2701" s="317">
        <v>0.41666666666666702</v>
      </c>
    </row>
    <row r="2702" spans="1:14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79"/>
        <v>10,24</v>
      </c>
      <c r="L2702" s="75" t="s">
        <v>265</v>
      </c>
      <c r="M2702" s="75">
        <v>17217</v>
      </c>
      <c r="N2702" s="322">
        <v>0.375</v>
      </c>
    </row>
    <row r="2703" spans="1:14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79"/>
        <v>10,24</v>
      </c>
      <c r="L2703" s="40" t="s">
        <v>265</v>
      </c>
      <c r="M2703" s="40">
        <v>13220.6</v>
      </c>
      <c r="N2703" s="317">
        <v>0.375</v>
      </c>
    </row>
    <row r="2704" spans="1:14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79"/>
        <v>10,24</v>
      </c>
      <c r="L2704" s="158" t="s">
        <v>28</v>
      </c>
      <c r="M2704" s="158">
        <v>13429.2</v>
      </c>
      <c r="N2704" s="433">
        <v>0.41666666666666702</v>
      </c>
    </row>
    <row r="2705" spans="1:14" ht="19.5" hidden="1" thickBot="1" x14ac:dyDescent="0.3">
      <c r="A2705" s="73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79"/>
        <v>10,24</v>
      </c>
      <c r="L2705" s="82" t="s">
        <v>265</v>
      </c>
      <c r="M2705" s="82">
        <v>13055.84</v>
      </c>
      <c r="N2705" s="319">
        <v>0.375</v>
      </c>
    </row>
    <row r="2706" spans="1:14" ht="19.5" hidden="1" thickBot="1" x14ac:dyDescent="0.3">
      <c r="A2706" s="73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79"/>
        <v>10,24</v>
      </c>
      <c r="L2706" s="107" t="s">
        <v>265</v>
      </c>
      <c r="M2706" s="107">
        <v>1036.8</v>
      </c>
      <c r="N2706" s="321">
        <v>0.375</v>
      </c>
    </row>
    <row r="2707" spans="1:14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79"/>
        <v>10,24</v>
      </c>
      <c r="L2707" s="71" t="s">
        <v>28</v>
      </c>
      <c r="M2707" s="71">
        <v>11913</v>
      </c>
      <c r="N2707" s="323">
        <v>0.41666666666666702</v>
      </c>
    </row>
    <row r="2708" spans="1:14" ht="19.5" hidden="1" thickBot="1" x14ac:dyDescent="0.3">
      <c r="A2708" s="731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79"/>
        <v>10,24</v>
      </c>
      <c r="L2708" s="82" t="s">
        <v>28</v>
      </c>
      <c r="M2708" s="82">
        <v>11229</v>
      </c>
      <c r="N2708" s="319">
        <v>0.41666666666666702</v>
      </c>
    </row>
    <row r="2709" spans="1:14" ht="19.5" hidden="1" thickBot="1" x14ac:dyDescent="0.3">
      <c r="A2709" s="731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79"/>
        <v>10,24</v>
      </c>
      <c r="L2709" s="90" t="s">
        <v>28</v>
      </c>
      <c r="M2709" s="90">
        <v>6526.08</v>
      </c>
      <c r="N2709" s="325">
        <v>0.41666666666666702</v>
      </c>
    </row>
    <row r="2710" spans="1:14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79"/>
        <v>10,24</v>
      </c>
      <c r="L2710" s="75" t="s">
        <v>28</v>
      </c>
      <c r="M2710" s="75">
        <v>17621.07</v>
      </c>
      <c r="N2710" s="322">
        <v>0.45833333333333298</v>
      </c>
    </row>
    <row r="2711" spans="1:14" ht="19.5" hidden="1" thickBot="1" x14ac:dyDescent="0.3">
      <c r="A2711" s="731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79"/>
        <v>10,24</v>
      </c>
      <c r="L2711" s="82" t="s">
        <v>28</v>
      </c>
      <c r="M2711" s="82">
        <v>8709.52</v>
      </c>
      <c r="N2711" s="319">
        <v>0.5</v>
      </c>
    </row>
    <row r="2712" spans="1:14" ht="19.5" hidden="1" thickBot="1" x14ac:dyDescent="0.3">
      <c r="A2712" s="731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79"/>
        <v>10,24</v>
      </c>
      <c r="L2712" s="90" t="s">
        <v>28</v>
      </c>
      <c r="M2712" s="90">
        <v>8950.5</v>
      </c>
      <c r="N2712" s="325">
        <v>0.5</v>
      </c>
    </row>
    <row r="2713" spans="1:14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79"/>
        <v>10,24</v>
      </c>
      <c r="L2713" s="158" t="s">
        <v>28</v>
      </c>
      <c r="M2713" s="158">
        <v>16935.599999999999</v>
      </c>
      <c r="N2713" s="433">
        <v>0.54166666666666696</v>
      </c>
    </row>
    <row r="2714" spans="1:14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79"/>
        <v>10,24</v>
      </c>
      <c r="L2714" s="40" t="s">
        <v>265</v>
      </c>
      <c r="M2714" s="40">
        <v>17723.169999999998</v>
      </c>
      <c r="N2714" s="317">
        <v>0.375</v>
      </c>
    </row>
    <row r="2715" spans="1:14" ht="19.5" hidden="1" thickBot="1" x14ac:dyDescent="0.3">
      <c r="A2715" s="732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79"/>
        <v>10,24</v>
      </c>
      <c r="L2715" s="48" t="s">
        <v>28</v>
      </c>
      <c r="M2715" s="48">
        <v>5674.28</v>
      </c>
      <c r="N2715" s="315">
        <v>0.41666666666666702</v>
      </c>
    </row>
    <row r="2716" spans="1:14" ht="19.5" hidden="1" thickBot="1" x14ac:dyDescent="0.3">
      <c r="A2716" s="732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79"/>
        <v>10,24</v>
      </c>
      <c r="L2716" s="71" t="s">
        <v>28</v>
      </c>
      <c r="M2716" s="71">
        <v>12179.79</v>
      </c>
      <c r="N2716" s="323">
        <v>0.41666666666666702</v>
      </c>
    </row>
    <row r="2717" spans="1:14" ht="19.5" hidden="1" thickBot="1" x14ac:dyDescent="0.3">
      <c r="A2717" s="731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79"/>
        <v>10,24</v>
      </c>
      <c r="L2717" s="82" t="s">
        <v>28</v>
      </c>
      <c r="M2717" s="82">
        <v>3221.85</v>
      </c>
      <c r="N2717" s="319">
        <v>0.45833333333333298</v>
      </c>
    </row>
    <row r="2718" spans="1:14" ht="19.5" hidden="1" thickBot="1" x14ac:dyDescent="0.3">
      <c r="A2718" s="731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79"/>
        <v>10,24</v>
      </c>
      <c r="L2718" s="98" t="s">
        <v>28</v>
      </c>
      <c r="M2718" s="98">
        <v>6213.22</v>
      </c>
      <c r="N2718" s="364">
        <v>0.45833333333333298</v>
      </c>
    </row>
    <row r="2719" spans="1:14" ht="19.5" hidden="1" thickBot="1" x14ac:dyDescent="0.3">
      <c r="A2719" s="731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79"/>
        <v>10,24</v>
      </c>
      <c r="L2719" s="98" t="s">
        <v>28</v>
      </c>
      <c r="M2719" s="98">
        <v>2291.2800000000002</v>
      </c>
      <c r="N2719" s="364">
        <v>0.45833333333333298</v>
      </c>
    </row>
    <row r="2720" spans="1:14" ht="19.5" hidden="1" thickBot="1" x14ac:dyDescent="0.3">
      <c r="A2720" s="731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79"/>
        <v>10,24</v>
      </c>
      <c r="L2720" s="90" t="s">
        <v>28</v>
      </c>
      <c r="M2720" s="90">
        <v>6158.94</v>
      </c>
      <c r="N2720" s="325">
        <v>0.45833333333333298</v>
      </c>
    </row>
    <row r="2721" spans="1:14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79"/>
        <v>10,24</v>
      </c>
      <c r="L2721" s="75" t="s">
        <v>28</v>
      </c>
      <c r="M2721" s="75">
        <v>9253.9599999999991</v>
      </c>
      <c r="N2721" s="322">
        <v>0.375</v>
      </c>
    </row>
    <row r="2722" spans="1:14" ht="19.5" hidden="1" thickBot="1" x14ac:dyDescent="0.3">
      <c r="A2722" s="731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79"/>
        <v>10,24</v>
      </c>
      <c r="L2722" s="82" t="s">
        <v>28</v>
      </c>
      <c r="M2722" s="82">
        <v>2820</v>
      </c>
      <c r="N2722" s="319">
        <v>0.41666666666666702</v>
      </c>
    </row>
    <row r="2723" spans="1:14" ht="19.5" hidden="1" thickBot="1" x14ac:dyDescent="0.3">
      <c r="A2723" s="731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79"/>
        <v>10,24</v>
      </c>
      <c r="L2723" s="90" t="s">
        <v>28</v>
      </c>
      <c r="M2723" s="90">
        <v>11049.8</v>
      </c>
      <c r="N2723" s="325">
        <v>0.41666666666666702</v>
      </c>
    </row>
    <row r="2724" spans="1:14" ht="19.5" hidden="1" thickBot="1" x14ac:dyDescent="0.3">
      <c r="A2724" s="732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79"/>
        <v>10,24</v>
      </c>
      <c r="L2724" s="48" t="s">
        <v>28</v>
      </c>
      <c r="M2724" s="48">
        <v>5691.32</v>
      </c>
      <c r="N2724" s="315">
        <v>0.45833333333333298</v>
      </c>
    </row>
    <row r="2725" spans="1:14" ht="19.5" hidden="1" thickBot="1" x14ac:dyDescent="0.3">
      <c r="A2725" s="732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79"/>
        <v>10,24</v>
      </c>
      <c r="L2725" s="71" t="s">
        <v>28</v>
      </c>
      <c r="M2725" s="71">
        <v>8306.36</v>
      </c>
      <c r="N2725" s="323">
        <v>0.45833333333333298</v>
      </c>
    </row>
    <row r="2726" spans="1:14" ht="19.5" hidden="1" thickBot="1" x14ac:dyDescent="0.3">
      <c r="A2726" s="110">
        <f t="shared" ref="A2726:A2733" si="80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79"/>
        <v>10,24</v>
      </c>
      <c r="L2726" s="40" t="s">
        <v>28</v>
      </c>
      <c r="M2726" s="40">
        <v>15246.78</v>
      </c>
      <c r="N2726" s="317">
        <v>0.5</v>
      </c>
    </row>
    <row r="2727" spans="1:14" ht="38.25" hidden="1" thickBot="1" x14ac:dyDescent="0.3">
      <c r="A2727" s="111">
        <f t="shared" si="80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79"/>
        <v>10,24</v>
      </c>
      <c r="L2727" s="75" t="s">
        <v>266</v>
      </c>
      <c r="M2727" s="75">
        <v>17464.080000000002</v>
      </c>
      <c r="N2727" s="322">
        <v>0.54166666666666696</v>
      </c>
    </row>
    <row r="2728" spans="1:14" ht="38.25" hidden="1" thickBot="1" x14ac:dyDescent="0.3">
      <c r="A2728" s="110">
        <f t="shared" si="80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79"/>
        <v>10,24</v>
      </c>
      <c r="L2728" s="40" t="s">
        <v>266</v>
      </c>
      <c r="M2728" s="40">
        <v>17653.439999999999</v>
      </c>
      <c r="N2728" s="317">
        <v>0.58333333333333304</v>
      </c>
    </row>
    <row r="2729" spans="1:14" ht="19.5" hidden="1" thickBot="1" x14ac:dyDescent="0.3">
      <c r="A2729" s="111">
        <f t="shared" si="80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79"/>
        <v>10,24</v>
      </c>
      <c r="L2729" s="75" t="s">
        <v>266</v>
      </c>
      <c r="M2729" s="75">
        <v>16187.23</v>
      </c>
      <c r="N2729" s="322">
        <v>0.5</v>
      </c>
    </row>
    <row r="2730" spans="1:14" ht="19.5" hidden="1" thickBot="1" x14ac:dyDescent="0.3">
      <c r="A2730" s="149">
        <f t="shared" si="80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79"/>
        <v>10,24</v>
      </c>
      <c r="L2730" s="122" t="s">
        <v>265</v>
      </c>
      <c r="M2730" s="122">
        <v>5035.5</v>
      </c>
      <c r="N2730" s="365">
        <v>0.375</v>
      </c>
    </row>
    <row r="2731" spans="1:14" ht="19.5" hidden="1" thickBot="1" x14ac:dyDescent="0.3">
      <c r="A2731" s="111">
        <f t="shared" si="80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79"/>
        <v>10,24</v>
      </c>
      <c r="L2731" s="75" t="s">
        <v>266</v>
      </c>
      <c r="M2731" s="75">
        <v>18109.36</v>
      </c>
      <c r="N2731" s="322">
        <v>0.41666666666666702</v>
      </c>
    </row>
    <row r="2732" spans="1:14" ht="19.5" hidden="1" thickBot="1" x14ac:dyDescent="0.3">
      <c r="A2732" s="110">
        <f t="shared" si="80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79"/>
        <v>10,24</v>
      </c>
      <c r="L2732" s="40" t="s">
        <v>266</v>
      </c>
      <c r="M2732" s="40">
        <v>18114.84</v>
      </c>
      <c r="N2732" s="317">
        <v>0.45833333333333298</v>
      </c>
    </row>
    <row r="2733" spans="1:14" ht="19.5" hidden="1" thickBot="1" x14ac:dyDescent="0.3">
      <c r="A2733" s="735">
        <f t="shared" si="80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79"/>
        <v>10,24</v>
      </c>
      <c r="L2733" s="48" t="s">
        <v>266</v>
      </c>
      <c r="M2733" s="48">
        <v>2661.6</v>
      </c>
      <c r="N2733" s="315">
        <v>0.5</v>
      </c>
    </row>
    <row r="2734" spans="1:14" ht="19.5" hidden="1" thickBot="1" x14ac:dyDescent="0.3">
      <c r="A2734" s="735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79"/>
        <v>10,24</v>
      </c>
      <c r="L2734" s="23" t="s">
        <v>266</v>
      </c>
      <c r="M2734" s="23">
        <v>561.76</v>
      </c>
      <c r="N2734" s="329">
        <v>0.5</v>
      </c>
    </row>
    <row r="2735" spans="1:14" ht="19.5" hidden="1" thickBot="1" x14ac:dyDescent="0.3">
      <c r="A2735" s="735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79"/>
        <v>10,24</v>
      </c>
      <c r="L2735" s="23" t="s">
        <v>266</v>
      </c>
      <c r="M2735" s="23">
        <v>3640.58</v>
      </c>
      <c r="N2735" s="329">
        <v>0.5</v>
      </c>
    </row>
    <row r="2736" spans="1:14" ht="19.5" hidden="1" thickBot="1" x14ac:dyDescent="0.3">
      <c r="A2736" s="735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79"/>
        <v>10,24</v>
      </c>
      <c r="L2736" s="23" t="s">
        <v>266</v>
      </c>
      <c r="M2736" s="23">
        <v>5202.6000000000004</v>
      </c>
      <c r="N2736" s="329">
        <v>0.5</v>
      </c>
    </row>
    <row r="2737" spans="1:14" ht="19.5" hidden="1" thickBot="1" x14ac:dyDescent="0.3">
      <c r="A2737" s="735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79"/>
        <v>10,24</v>
      </c>
      <c r="L2737" s="23" t="s">
        <v>266</v>
      </c>
      <c r="M2737" s="23">
        <v>2659.04</v>
      </c>
      <c r="N2737" s="329">
        <v>0.5</v>
      </c>
    </row>
    <row r="2738" spans="1:14" ht="19.5" hidden="1" thickBot="1" x14ac:dyDescent="0.3">
      <c r="A2738" s="735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79"/>
        <v>10,24</v>
      </c>
      <c r="L2738" s="293" t="s">
        <v>266</v>
      </c>
      <c r="M2738" s="293">
        <v>2742.22</v>
      </c>
      <c r="N2738" s="389">
        <v>0.5</v>
      </c>
    </row>
    <row r="2739" spans="1:14" ht="19.5" hidden="1" thickBot="1" x14ac:dyDescent="0.3">
      <c r="A2739" s="731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79"/>
        <v>10,24</v>
      </c>
      <c r="L2739" s="82" t="s">
        <v>265</v>
      </c>
      <c r="M2739" s="82">
        <v>11742.6</v>
      </c>
      <c r="N2739" s="319">
        <v>0.375</v>
      </c>
    </row>
    <row r="2740" spans="1:14" ht="19.5" hidden="1" thickBot="1" x14ac:dyDescent="0.3">
      <c r="A2740" s="731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79"/>
        <v>10,24</v>
      </c>
      <c r="L2740" s="90" t="s">
        <v>265</v>
      </c>
      <c r="M2740" s="90">
        <v>5006.3999999999996</v>
      </c>
      <c r="N2740" s="325">
        <v>0.375</v>
      </c>
    </row>
    <row r="2741" spans="1:14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79"/>
        <v>10,24</v>
      </c>
      <c r="L2741" s="75" t="s">
        <v>265</v>
      </c>
      <c r="M2741" s="75">
        <v>17493.7</v>
      </c>
      <c r="N2741" s="322">
        <v>0.375</v>
      </c>
    </row>
    <row r="2742" spans="1:14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79"/>
        <v>10,24</v>
      </c>
      <c r="L2742" s="40" t="s">
        <v>265</v>
      </c>
      <c r="M2742" s="40">
        <v>13164.08</v>
      </c>
      <c r="N2742" s="317">
        <v>0.375</v>
      </c>
    </row>
    <row r="2743" spans="1:14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79"/>
        <v>10,24</v>
      </c>
      <c r="L2743" s="158" t="s">
        <v>266</v>
      </c>
      <c r="M2743" s="158">
        <v>4730.16</v>
      </c>
      <c r="N2743" s="433">
        <v>0.5</v>
      </c>
    </row>
    <row r="2744" spans="1:14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79"/>
        <v>10,24</v>
      </c>
      <c r="L2744" s="40" t="s">
        <v>265</v>
      </c>
      <c r="M2744" s="40">
        <v>13276.52</v>
      </c>
      <c r="N2744" s="317">
        <v>0.375</v>
      </c>
    </row>
    <row r="2745" spans="1:14" ht="19.5" hidden="1" thickBot="1" x14ac:dyDescent="0.3">
      <c r="A2745" s="732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79"/>
        <v>10,24</v>
      </c>
      <c r="L2745" s="48" t="s">
        <v>28</v>
      </c>
      <c r="M2745" s="48">
        <v>6127.58</v>
      </c>
      <c r="N2745" s="315">
        <v>0.41666666666666702</v>
      </c>
    </row>
    <row r="2746" spans="1:14" ht="19.5" hidden="1" thickBot="1" x14ac:dyDescent="0.3">
      <c r="A2746" s="732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79"/>
        <v>10,24</v>
      </c>
      <c r="L2746" s="71" t="s">
        <v>28</v>
      </c>
      <c r="M2746" s="71">
        <v>11265.88</v>
      </c>
      <c r="N2746" s="323">
        <v>0.41666666666666702</v>
      </c>
    </row>
    <row r="2747" spans="1:14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1">RIGHT(I2747,5)</f>
        <v>10,24</v>
      </c>
      <c r="L2747" s="40" t="s">
        <v>28</v>
      </c>
      <c r="M2747" s="40">
        <v>17697.89</v>
      </c>
      <c r="N2747" s="317">
        <v>0.45833333333333298</v>
      </c>
    </row>
    <row r="2748" spans="1:14" ht="19.5" hidden="1" thickBot="1" x14ac:dyDescent="0.3">
      <c r="A2748" s="732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1"/>
        <v>10,24</v>
      </c>
      <c r="L2748" s="48" t="s">
        <v>28</v>
      </c>
      <c r="M2748" s="48">
        <v>4282.68</v>
      </c>
      <c r="N2748" s="315">
        <v>0.5</v>
      </c>
    </row>
    <row r="2749" spans="1:14" ht="19.5" hidden="1" thickBot="1" x14ac:dyDescent="0.3">
      <c r="A2749" s="732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1"/>
        <v>10,24</v>
      </c>
      <c r="L2749" s="71" t="s">
        <v>28</v>
      </c>
      <c r="M2749" s="71">
        <v>13108.15</v>
      </c>
      <c r="N2749" s="323">
        <v>0.5</v>
      </c>
    </row>
    <row r="2750" spans="1:14" ht="19.5" hidden="1" thickBot="1" x14ac:dyDescent="0.3">
      <c r="A2750" s="73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1"/>
        <v>10,24</v>
      </c>
      <c r="L2750" s="82" t="s">
        <v>28</v>
      </c>
      <c r="M2750" s="82">
        <v>2505</v>
      </c>
      <c r="N2750" s="319">
        <v>0.54166666666666696</v>
      </c>
    </row>
    <row r="2751" spans="1:14" ht="19.5" hidden="1" thickBot="1" x14ac:dyDescent="0.3">
      <c r="A2751" s="73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1"/>
        <v>10,24</v>
      </c>
      <c r="L2751" s="65" t="s">
        <v>28</v>
      </c>
      <c r="M2751" s="65">
        <v>14842.62</v>
      </c>
      <c r="N2751" s="434">
        <v>0.54166666666666696</v>
      </c>
    </row>
    <row r="2752" spans="1:14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1"/>
        <v>10,24</v>
      </c>
      <c r="L2752" s="75" t="s">
        <v>28</v>
      </c>
      <c r="M2752" s="75">
        <v>15128.2</v>
      </c>
      <c r="N2752" s="322">
        <v>0.41666666666666702</v>
      </c>
    </row>
    <row r="2753" spans="1:14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1"/>
        <v>10,24</v>
      </c>
      <c r="L2753" s="40" t="s">
        <v>266</v>
      </c>
      <c r="M2753" s="40">
        <v>18246.3</v>
      </c>
      <c r="N2753" s="317">
        <v>0.45833333333333298</v>
      </c>
    </row>
    <row r="2754" spans="1:14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1"/>
        <v>10,24</v>
      </c>
      <c r="L2754" s="75" t="s">
        <v>265</v>
      </c>
      <c r="M2754" s="75">
        <v>17176.18</v>
      </c>
      <c r="N2754" s="322">
        <v>0.375</v>
      </c>
    </row>
    <row r="2755" spans="1:14" ht="19.5" hidden="1" thickBot="1" x14ac:dyDescent="0.3">
      <c r="A2755" s="731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1"/>
        <v>10,24</v>
      </c>
      <c r="L2755" s="82" t="s">
        <v>28</v>
      </c>
      <c r="M2755" s="82">
        <v>6603.37</v>
      </c>
      <c r="N2755" s="319">
        <v>0.41666666666666702</v>
      </c>
    </row>
    <row r="2756" spans="1:14" ht="19.5" hidden="1" thickBot="1" x14ac:dyDescent="0.3">
      <c r="A2756" s="731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1"/>
        <v>10,24</v>
      </c>
      <c r="L2756" s="98" t="s">
        <v>28</v>
      </c>
      <c r="M2756" s="98">
        <v>3168.16</v>
      </c>
      <c r="N2756" s="364">
        <v>0.41666666666666702</v>
      </c>
    </row>
    <row r="2757" spans="1:14" ht="19.5" hidden="1" thickBot="1" x14ac:dyDescent="0.3">
      <c r="A2757" s="731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1"/>
        <v>10,24</v>
      </c>
      <c r="L2757" s="90" t="s">
        <v>28</v>
      </c>
      <c r="M2757" s="90">
        <v>7862.1</v>
      </c>
      <c r="N2757" s="325">
        <v>0.41666666666666702</v>
      </c>
    </row>
    <row r="2758" spans="1:14" ht="19.5" hidden="1" thickBot="1" x14ac:dyDescent="0.3">
      <c r="A2758" s="732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1"/>
        <v>10,24</v>
      </c>
      <c r="L2758" s="48" t="s">
        <v>28</v>
      </c>
      <c r="M2758" s="48">
        <v>1892.14</v>
      </c>
      <c r="N2758" s="315">
        <v>0.45833333333333298</v>
      </c>
    </row>
    <row r="2759" spans="1:14" ht="19.5" hidden="1" thickBot="1" x14ac:dyDescent="0.3">
      <c r="A2759" s="732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1"/>
        <v>10,24</v>
      </c>
      <c r="L2759" s="71" t="s">
        <v>28</v>
      </c>
      <c r="M2759" s="71">
        <v>15841.13</v>
      </c>
      <c r="N2759" s="323">
        <v>0.45833333333333298</v>
      </c>
    </row>
    <row r="2760" spans="1:14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1"/>
        <v>10,24</v>
      </c>
      <c r="L2760" s="40" t="s">
        <v>266</v>
      </c>
      <c r="M2760" s="40">
        <v>17773.5</v>
      </c>
      <c r="N2760" s="317">
        <v>0.5</v>
      </c>
    </row>
    <row r="2761" spans="1:14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1"/>
        <v>10,24</v>
      </c>
      <c r="L2761" s="75" t="s">
        <v>265</v>
      </c>
      <c r="M2761" s="75">
        <v>17308.62</v>
      </c>
      <c r="N2761" s="322">
        <v>0.375</v>
      </c>
    </row>
    <row r="2762" spans="1:14" ht="57" hidden="1" thickBot="1" x14ac:dyDescent="0.3">
      <c r="A2762" s="731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1"/>
        <v>10,24</v>
      </c>
      <c r="L2762" s="82" t="s">
        <v>28</v>
      </c>
      <c r="M2762" s="82">
        <v>5369.28</v>
      </c>
      <c r="N2762" s="319">
        <v>0.41666666666666702</v>
      </c>
    </row>
    <row r="2763" spans="1:14" ht="57" hidden="1" thickBot="1" x14ac:dyDescent="0.3">
      <c r="A2763" s="731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1"/>
        <v>10,24</v>
      </c>
      <c r="L2763" s="98" t="s">
        <v>28</v>
      </c>
      <c r="M2763" s="98">
        <v>10720.4</v>
      </c>
      <c r="N2763" s="364">
        <v>0.41666666666666702</v>
      </c>
    </row>
    <row r="2764" spans="1:14" ht="57" hidden="1" thickBot="1" x14ac:dyDescent="0.3">
      <c r="A2764" s="731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1"/>
        <v>10,24</v>
      </c>
      <c r="L2764" s="98" t="s">
        <v>28</v>
      </c>
      <c r="M2764" s="137">
        <v>0.15</v>
      </c>
      <c r="N2764" s="364">
        <v>0.41666666666666702</v>
      </c>
    </row>
    <row r="2765" spans="1:14" ht="57" hidden="1" thickBot="1" x14ac:dyDescent="0.3">
      <c r="A2765" s="731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1"/>
        <v>10,24</v>
      </c>
      <c r="L2765" s="90" t="s">
        <v>28</v>
      </c>
      <c r="M2765" s="170">
        <v>0.15</v>
      </c>
      <c r="N2765" s="325">
        <v>0.41666666666666702</v>
      </c>
    </row>
    <row r="2766" spans="1:14" ht="19.5" hidden="1" thickBot="1" x14ac:dyDescent="0.3">
      <c r="A2766" s="732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1"/>
        <v>10,24</v>
      </c>
      <c r="L2766" s="48" t="s">
        <v>28</v>
      </c>
      <c r="M2766" s="48">
        <v>2866.28</v>
      </c>
      <c r="N2766" s="315">
        <v>0.45833333333333298</v>
      </c>
    </row>
    <row r="2767" spans="1:14" ht="19.5" hidden="1" thickBot="1" x14ac:dyDescent="0.3">
      <c r="A2767" s="732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1"/>
        <v>10,24</v>
      </c>
      <c r="L2767" s="23" t="s">
        <v>28</v>
      </c>
      <c r="M2767" s="23">
        <v>9639.1200000000008</v>
      </c>
      <c r="N2767" s="329">
        <v>0.45833333333333298</v>
      </c>
    </row>
    <row r="2768" spans="1:14" ht="19.5" hidden="1" thickBot="1" x14ac:dyDescent="0.3">
      <c r="A2768" s="732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1"/>
        <v>10,24</v>
      </c>
      <c r="L2768" s="23" t="s">
        <v>28</v>
      </c>
      <c r="M2768" s="21">
        <v>0.39</v>
      </c>
      <c r="N2768" s="329">
        <v>0.45833333333333298</v>
      </c>
    </row>
    <row r="2769" spans="1:14" ht="19.5" hidden="1" thickBot="1" x14ac:dyDescent="0.3">
      <c r="A2769" s="732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1"/>
        <v>10,24</v>
      </c>
      <c r="L2769" s="71" t="s">
        <v>28</v>
      </c>
      <c r="M2769" s="165">
        <v>0.39</v>
      </c>
      <c r="N2769" s="323">
        <v>0.45833333333333298</v>
      </c>
    </row>
    <row r="2770" spans="1:14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1"/>
        <v>10,24</v>
      </c>
      <c r="L2770" s="122" t="s">
        <v>265</v>
      </c>
      <c r="M2770" s="122">
        <v>3030</v>
      </c>
      <c r="N2770" s="365">
        <v>0.375</v>
      </c>
    </row>
    <row r="2771" spans="1:14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1"/>
        <v>10,24</v>
      </c>
      <c r="L2771" s="75" t="s">
        <v>266</v>
      </c>
      <c r="M2771" s="75">
        <v>17715.54</v>
      </c>
      <c r="N2771" s="322">
        <v>0.41666666666666702</v>
      </c>
    </row>
    <row r="2772" spans="1:14" ht="18.75" hidden="1" customHeight="1" thickBot="1" x14ac:dyDescent="0.3">
      <c r="A2772" s="731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734" t="s">
        <v>467</v>
      </c>
      <c r="H2772" s="82" t="s">
        <v>645</v>
      </c>
      <c r="I2772" s="147" t="s">
        <v>646</v>
      </c>
      <c r="J2772" s="86"/>
      <c r="K2772" s="82" t="str">
        <f t="shared" si="81"/>
        <v>10,24</v>
      </c>
      <c r="L2772" s="82" t="s">
        <v>266</v>
      </c>
      <c r="M2772" s="82">
        <v>550.26</v>
      </c>
      <c r="N2772" s="319">
        <v>0.45833333333333298</v>
      </c>
    </row>
    <row r="2773" spans="1:14" ht="19.5" hidden="1" thickBot="1" x14ac:dyDescent="0.3">
      <c r="A2773" s="731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734"/>
      <c r="H2773" s="98" t="s">
        <v>645</v>
      </c>
      <c r="I2773" s="181" t="s">
        <v>646</v>
      </c>
      <c r="J2773" s="140"/>
      <c r="K2773" s="98" t="str">
        <f t="shared" si="81"/>
        <v>10,24</v>
      </c>
      <c r="L2773" s="98" t="s">
        <v>266</v>
      </c>
      <c r="M2773" s="98">
        <v>4982.82</v>
      </c>
      <c r="N2773" s="364">
        <v>0.45833333333333298</v>
      </c>
    </row>
    <row r="2774" spans="1:14" ht="19.5" hidden="1" thickBot="1" x14ac:dyDescent="0.3">
      <c r="A2774" s="731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734"/>
      <c r="H2774" s="90" t="s">
        <v>645</v>
      </c>
      <c r="I2774" s="172" t="s">
        <v>646</v>
      </c>
      <c r="J2774" s="173"/>
      <c r="K2774" s="90" t="str">
        <f t="shared" si="81"/>
        <v>10,24</v>
      </c>
      <c r="L2774" s="90" t="s">
        <v>266</v>
      </c>
      <c r="M2774" s="90">
        <v>3180.2</v>
      </c>
      <c r="N2774" s="325">
        <v>0.45833333333333298</v>
      </c>
    </row>
    <row r="2775" spans="1:14" ht="19.5" hidden="1" thickBot="1" x14ac:dyDescent="0.3">
      <c r="A2775" s="735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1"/>
        <v>10,24</v>
      </c>
      <c r="L2775" s="48" t="s">
        <v>266</v>
      </c>
      <c r="M2775" s="48">
        <v>4783.5</v>
      </c>
      <c r="N2775" s="315">
        <v>0.5</v>
      </c>
    </row>
    <row r="2776" spans="1:14" ht="19.5" hidden="1" thickBot="1" x14ac:dyDescent="0.3">
      <c r="A2776" s="735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1"/>
        <v>10,24</v>
      </c>
      <c r="L2776" s="23" t="s">
        <v>266</v>
      </c>
      <c r="M2776" s="23">
        <v>4628.66</v>
      </c>
      <c r="N2776" s="329">
        <v>0.5</v>
      </c>
    </row>
    <row r="2777" spans="1:14" ht="19.5" hidden="1" thickBot="1" x14ac:dyDescent="0.3">
      <c r="A2777" s="735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1"/>
        <v>10,24</v>
      </c>
      <c r="L2777" s="23" t="s">
        <v>266</v>
      </c>
      <c r="M2777" s="23">
        <v>7252.8</v>
      </c>
      <c r="N2777" s="329">
        <v>0.5</v>
      </c>
    </row>
    <row r="2778" spans="1:14" ht="19.5" hidden="1" thickBot="1" x14ac:dyDescent="0.3">
      <c r="A2778" s="735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1"/>
        <v>10,24</v>
      </c>
      <c r="L2778" s="293" t="s">
        <v>266</v>
      </c>
      <c r="M2778" s="293">
        <v>1409.5</v>
      </c>
      <c r="N2778" s="389">
        <v>0.5</v>
      </c>
    </row>
    <row r="2779" spans="1:14" ht="19.5" hidden="1" thickBot="1" x14ac:dyDescent="0.3">
      <c r="A2779" s="731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1"/>
        <v>10,24</v>
      </c>
      <c r="L2779" s="82" t="s">
        <v>265</v>
      </c>
      <c r="M2779" s="82">
        <v>12825.74</v>
      </c>
      <c r="N2779" s="319">
        <v>0.375</v>
      </c>
    </row>
    <row r="2780" spans="1:14" ht="19.5" hidden="1" thickBot="1" x14ac:dyDescent="0.3">
      <c r="A2780" s="731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1"/>
        <v>10,24</v>
      </c>
      <c r="L2780" s="90" t="s">
        <v>265</v>
      </c>
      <c r="M2780" s="90">
        <v>4121.6000000000004</v>
      </c>
      <c r="N2780" s="325">
        <v>0.375</v>
      </c>
    </row>
    <row r="2781" spans="1:14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1"/>
        <v>10,24</v>
      </c>
      <c r="L2781" s="75" t="s">
        <v>265</v>
      </c>
      <c r="M2781" s="75">
        <v>17150.68</v>
      </c>
      <c r="N2781" s="322">
        <v>0.375</v>
      </c>
    </row>
    <row r="2782" spans="1:14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1"/>
        <v>10,24</v>
      </c>
      <c r="L2782" s="40" t="s">
        <v>265</v>
      </c>
      <c r="M2782" s="40">
        <v>13020.32</v>
      </c>
      <c r="N2782" s="317">
        <v>0.75</v>
      </c>
    </row>
    <row r="2783" spans="1:14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1"/>
        <v>10,24</v>
      </c>
      <c r="L2783" s="158" t="s">
        <v>28</v>
      </c>
      <c r="M2783" s="158">
        <v>10424.76</v>
      </c>
      <c r="N2783" s="433">
        <v>0.79166666666666696</v>
      </c>
    </row>
    <row r="2784" spans="1:14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1"/>
        <v>10,24</v>
      </c>
      <c r="L2784" s="40" t="s">
        <v>28</v>
      </c>
      <c r="M2784" s="40">
        <v>17177.32</v>
      </c>
      <c r="N2784" s="317">
        <v>0.41666666666666702</v>
      </c>
    </row>
    <row r="2785" spans="1:14" ht="19.5" hidden="1" thickBot="1" x14ac:dyDescent="0.3">
      <c r="A2785" s="732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1"/>
        <v>10,24</v>
      </c>
      <c r="L2785" s="48" t="s">
        <v>28</v>
      </c>
      <c r="M2785" s="48">
        <v>12749.49</v>
      </c>
      <c r="N2785" s="315">
        <v>0.45833333333333298</v>
      </c>
    </row>
    <row r="2786" spans="1:14" ht="19.5" hidden="1" thickBot="1" x14ac:dyDescent="0.3">
      <c r="A2786" s="732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1"/>
        <v>10,24</v>
      </c>
      <c r="L2786" s="71" t="s">
        <v>28</v>
      </c>
      <c r="M2786" s="71">
        <v>4150.25</v>
      </c>
      <c r="N2786" s="323">
        <v>0.45833333333333298</v>
      </c>
    </row>
    <row r="2787" spans="1:14" ht="19.5" hidden="1" thickBot="1" x14ac:dyDescent="0.3">
      <c r="A2787" s="731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1"/>
        <v>10,24</v>
      </c>
      <c r="L2787" s="82" t="s">
        <v>28</v>
      </c>
      <c r="M2787" s="82">
        <v>3451.85</v>
      </c>
      <c r="N2787" s="319">
        <v>0.5</v>
      </c>
    </row>
    <row r="2788" spans="1:14" ht="19.5" hidden="1" thickBot="1" x14ac:dyDescent="0.3">
      <c r="A2788" s="731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1"/>
        <v>10,24</v>
      </c>
      <c r="L2788" s="90" t="s">
        <v>28</v>
      </c>
      <c r="M2788" s="90">
        <v>13707.12</v>
      </c>
      <c r="N2788" s="325">
        <v>0.5</v>
      </c>
    </row>
    <row r="2789" spans="1:14" ht="19.5" hidden="1" thickBot="1" x14ac:dyDescent="0.3">
      <c r="A2789" s="732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1"/>
        <v>10,24</v>
      </c>
      <c r="L2789" s="48" t="s">
        <v>28</v>
      </c>
      <c r="M2789" s="48">
        <v>3535.08</v>
      </c>
      <c r="N2789" s="315">
        <v>0.54166666666666696</v>
      </c>
    </row>
    <row r="2790" spans="1:14" ht="19.5" hidden="1" thickBot="1" x14ac:dyDescent="0.3">
      <c r="A2790" s="732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1"/>
        <v>10,24</v>
      </c>
      <c r="L2790" s="23" t="s">
        <v>28</v>
      </c>
      <c r="M2790" s="23">
        <v>6520.96</v>
      </c>
      <c r="N2790" s="329">
        <v>0.54166666666666696</v>
      </c>
    </row>
    <row r="2791" spans="1:14" ht="19.5" hidden="1" thickBot="1" x14ac:dyDescent="0.3">
      <c r="A2791" s="732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1"/>
        <v>10,24</v>
      </c>
      <c r="L2791" s="71" t="s">
        <v>28</v>
      </c>
      <c r="M2791" s="71">
        <v>7058.7</v>
      </c>
      <c r="N2791" s="323">
        <v>0.54166666666666696</v>
      </c>
    </row>
    <row r="2792" spans="1:14" ht="19.5" hidden="1" thickBot="1" x14ac:dyDescent="0.3">
      <c r="A2792" s="149">
        <f t="shared" ref="A2792:A2797" si="82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1"/>
        <v>10,24</v>
      </c>
      <c r="L2792" s="122" t="s">
        <v>265</v>
      </c>
      <c r="M2792" s="122">
        <v>13321.96</v>
      </c>
      <c r="N2792" s="365">
        <v>0.375</v>
      </c>
    </row>
    <row r="2793" spans="1:14" ht="38.25" hidden="1" thickBot="1" x14ac:dyDescent="0.3">
      <c r="A2793" s="111">
        <f t="shared" si="82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1"/>
        <v>10,24</v>
      </c>
      <c r="L2793" s="75" t="s">
        <v>266</v>
      </c>
      <c r="M2793" s="75">
        <v>17269.8</v>
      </c>
      <c r="N2793" s="322">
        <v>0.41666666666666702</v>
      </c>
    </row>
    <row r="2794" spans="1:14" ht="19.5" hidden="1" thickBot="1" x14ac:dyDescent="0.3">
      <c r="A2794" s="110">
        <f t="shared" si="82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1"/>
        <v>10,24</v>
      </c>
      <c r="L2794" s="40" t="s">
        <v>265</v>
      </c>
      <c r="M2794" s="40">
        <v>17746.18</v>
      </c>
      <c r="N2794" s="317">
        <v>0.375</v>
      </c>
    </row>
    <row r="2795" spans="1:14" ht="38.25" hidden="1" thickBot="1" x14ac:dyDescent="0.3">
      <c r="A2795" s="111">
        <f t="shared" si="82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1"/>
        <v>10,24</v>
      </c>
      <c r="L2795" s="75" t="s">
        <v>266</v>
      </c>
      <c r="M2795" s="75">
        <v>17244.36</v>
      </c>
      <c r="N2795" s="322">
        <v>0.41666666666666702</v>
      </c>
    </row>
    <row r="2796" spans="1:14" ht="19.5" hidden="1" thickBot="1" x14ac:dyDescent="0.3">
      <c r="A2796" s="110">
        <f t="shared" si="82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1"/>
        <v>10,24</v>
      </c>
      <c r="L2796" s="40" t="s">
        <v>266</v>
      </c>
      <c r="M2796" s="40">
        <v>15243.32</v>
      </c>
      <c r="N2796" s="317">
        <v>0.5</v>
      </c>
    </row>
    <row r="2797" spans="1:14" ht="19.5" hidden="1" thickBot="1" x14ac:dyDescent="0.3">
      <c r="A2797" s="732">
        <f t="shared" si="82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1"/>
        <v>10,24</v>
      </c>
      <c r="L2797" s="48" t="s">
        <v>28</v>
      </c>
      <c r="M2797" s="48">
        <v>9878.4</v>
      </c>
      <c r="N2797" s="315">
        <v>0.45833333333333298</v>
      </c>
    </row>
    <row r="2798" spans="1:14" ht="19.5" hidden="1" thickBot="1" x14ac:dyDescent="0.3">
      <c r="A2798" s="732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1"/>
        <v>10,24</v>
      </c>
      <c r="L2798" s="71" t="s">
        <v>28</v>
      </c>
      <c r="M2798" s="71">
        <v>7230.9</v>
      </c>
      <c r="N2798" s="323">
        <v>0.45833333333333298</v>
      </c>
    </row>
    <row r="2799" spans="1:14" ht="19.5" hidden="1" thickBot="1" x14ac:dyDescent="0.3">
      <c r="A2799" s="731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1"/>
        <v>10,24</v>
      </c>
      <c r="L2799" s="82" t="s">
        <v>28</v>
      </c>
      <c r="M2799" s="82">
        <v>1634.97</v>
      </c>
      <c r="N2799" s="319">
        <v>0.5</v>
      </c>
    </row>
    <row r="2800" spans="1:14" ht="19.5" hidden="1" thickBot="1" x14ac:dyDescent="0.3">
      <c r="A2800" s="731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1"/>
        <v>10,24</v>
      </c>
      <c r="L2800" s="98" t="s">
        <v>28</v>
      </c>
      <c r="M2800" s="98">
        <v>12991.46</v>
      </c>
      <c r="N2800" s="364">
        <v>0.5</v>
      </c>
    </row>
    <row r="2801" spans="1:14" ht="19.5" hidden="1" thickBot="1" x14ac:dyDescent="0.3">
      <c r="A2801" s="731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1"/>
        <v>10,24</v>
      </c>
      <c r="L2801" s="90" t="s">
        <v>28</v>
      </c>
      <c r="M2801" s="90">
        <v>3000.36</v>
      </c>
      <c r="N2801" s="325">
        <v>0.5</v>
      </c>
    </row>
    <row r="2802" spans="1:14" ht="19.5" hidden="1" thickBot="1" x14ac:dyDescent="0.3">
      <c r="A2802" s="732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1"/>
        <v>10,24</v>
      </c>
      <c r="L2802" s="48" t="s">
        <v>28</v>
      </c>
      <c r="M2802" s="48">
        <v>4851.5200000000004</v>
      </c>
      <c r="N2802" s="315">
        <v>0.41666666666666702</v>
      </c>
    </row>
    <row r="2803" spans="1:14" ht="19.5" hidden="1" thickBot="1" x14ac:dyDescent="0.3">
      <c r="A2803" s="732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1"/>
        <v>10,24</v>
      </c>
      <c r="L2803" s="71" t="s">
        <v>28</v>
      </c>
      <c r="M2803" s="71">
        <v>7881.64</v>
      </c>
      <c r="N2803" s="323">
        <v>0.41666666666666702</v>
      </c>
    </row>
    <row r="2804" spans="1:14" ht="19.5" hidden="1" thickBot="1" x14ac:dyDescent="0.3">
      <c r="A2804" s="731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1"/>
        <v>10,24</v>
      </c>
      <c r="L2804" s="82" t="s">
        <v>28</v>
      </c>
      <c r="M2804" s="82">
        <v>5480.6</v>
      </c>
      <c r="N2804" s="319">
        <v>0.45833333333333298</v>
      </c>
    </row>
    <row r="2805" spans="1:14" ht="19.5" hidden="1" thickBot="1" x14ac:dyDescent="0.3">
      <c r="A2805" s="731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1"/>
        <v>10,24</v>
      </c>
      <c r="L2805" s="90" t="s">
        <v>28</v>
      </c>
      <c r="M2805" s="90">
        <v>7559</v>
      </c>
      <c r="N2805" s="325">
        <v>0.45833333333333298</v>
      </c>
    </row>
    <row r="2806" spans="1:14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1"/>
        <v>10,24</v>
      </c>
      <c r="L2806" s="75" t="s">
        <v>265</v>
      </c>
      <c r="M2806" s="75">
        <v>8071.8</v>
      </c>
      <c r="N2806" s="322">
        <v>0.375</v>
      </c>
    </row>
    <row r="2807" spans="1:14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1"/>
        <v>10,24</v>
      </c>
      <c r="L2807" s="122" t="s">
        <v>266</v>
      </c>
      <c r="M2807" s="122">
        <v>15695.27</v>
      </c>
      <c r="N2807" s="365">
        <v>0.5</v>
      </c>
    </row>
    <row r="2808" spans="1:14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1"/>
        <v>10,24</v>
      </c>
      <c r="L2808" s="75" t="s">
        <v>266</v>
      </c>
      <c r="M2808" s="75">
        <v>18107.13</v>
      </c>
      <c r="N2808" s="322">
        <v>0.41666666666666702</v>
      </c>
    </row>
    <row r="2809" spans="1:14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1"/>
        <v>10,24</v>
      </c>
      <c r="L2809" s="40" t="s">
        <v>266</v>
      </c>
      <c r="M2809" s="40">
        <v>17110.2</v>
      </c>
      <c r="N2809" s="317">
        <v>0.45833333333333298</v>
      </c>
    </row>
    <row r="2810" spans="1:14" ht="19.5" hidden="1" thickBot="1" x14ac:dyDescent="0.3">
      <c r="A2810" s="735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1"/>
        <v>11,24</v>
      </c>
      <c r="L2810" s="48" t="s">
        <v>266</v>
      </c>
      <c r="M2810" s="48">
        <v>5066.22</v>
      </c>
      <c r="N2810" s="315">
        <v>0.5</v>
      </c>
    </row>
    <row r="2811" spans="1:14" ht="19.5" hidden="1" thickBot="1" x14ac:dyDescent="0.3">
      <c r="A2811" s="735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3">RIGHT(I2811,5)</f>
        <v>11,24</v>
      </c>
      <c r="L2811" s="23" t="s">
        <v>266</v>
      </c>
      <c r="M2811" s="23">
        <v>3535.98</v>
      </c>
      <c r="N2811" s="329">
        <v>0.5</v>
      </c>
    </row>
    <row r="2812" spans="1:14" ht="19.5" hidden="1" thickBot="1" x14ac:dyDescent="0.3">
      <c r="A2812" s="735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3"/>
        <v>11,24</v>
      </c>
      <c r="L2812" s="23" t="s">
        <v>266</v>
      </c>
      <c r="M2812" s="23">
        <v>3904.8</v>
      </c>
      <c r="N2812" s="329">
        <v>0.5</v>
      </c>
    </row>
    <row r="2813" spans="1:14" ht="19.5" hidden="1" thickBot="1" x14ac:dyDescent="0.3">
      <c r="A2813" s="735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3"/>
        <v>11,24</v>
      </c>
      <c r="L2813" s="23" t="s">
        <v>266</v>
      </c>
      <c r="M2813" s="23">
        <v>1159.8800000000001</v>
      </c>
      <c r="N2813" s="329">
        <v>0.5</v>
      </c>
    </row>
    <row r="2814" spans="1:14" ht="19.5" hidden="1" thickBot="1" x14ac:dyDescent="0.3">
      <c r="A2814" s="735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3"/>
        <v>11,24</v>
      </c>
      <c r="L2814" s="293" t="s">
        <v>266</v>
      </c>
      <c r="M2814" s="293">
        <v>3587</v>
      </c>
      <c r="N2814" s="389">
        <v>0.5</v>
      </c>
    </row>
    <row r="2815" spans="1:14" ht="19.5" hidden="1" thickBot="1" x14ac:dyDescent="0.3">
      <c r="A2815" s="731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3"/>
        <v>11,24</v>
      </c>
      <c r="L2815" s="82" t="s">
        <v>265</v>
      </c>
      <c r="M2815" s="82">
        <v>10421.86</v>
      </c>
      <c r="N2815" s="319">
        <v>0.375</v>
      </c>
    </row>
    <row r="2816" spans="1:14" ht="19.5" hidden="1" thickBot="1" x14ac:dyDescent="0.3">
      <c r="A2816" s="731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3"/>
        <v>11,24</v>
      </c>
      <c r="L2816" s="90" t="s">
        <v>265</v>
      </c>
      <c r="M2816" s="90">
        <v>5830.4</v>
      </c>
      <c r="N2816" s="325">
        <v>0.375</v>
      </c>
    </row>
    <row r="2817" spans="1:14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3"/>
        <v>11,24</v>
      </c>
      <c r="L2817" s="75" t="s">
        <v>265</v>
      </c>
      <c r="M2817" s="75">
        <v>17281.34</v>
      </c>
      <c r="N2817" s="322">
        <v>0.375</v>
      </c>
    </row>
    <row r="2818" spans="1:14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3"/>
        <v>11,24</v>
      </c>
      <c r="L2818" s="122" t="s">
        <v>265</v>
      </c>
      <c r="M2818" s="122">
        <v>12779.04</v>
      </c>
      <c r="N2818" s="365">
        <v>0.375</v>
      </c>
    </row>
    <row r="2819" spans="1:14" ht="19.5" hidden="1" thickBot="1" x14ac:dyDescent="0.3">
      <c r="A2819" s="732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3"/>
        <v>11,24</v>
      </c>
      <c r="L2819" s="48" t="s">
        <v>265</v>
      </c>
      <c r="M2819" s="48">
        <v>10192.200000000001</v>
      </c>
      <c r="N2819" s="315">
        <v>0.33333333333333298</v>
      </c>
    </row>
    <row r="2820" spans="1:14" ht="19.5" hidden="1" thickBot="1" x14ac:dyDescent="0.3">
      <c r="A2820" s="732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3"/>
        <v>11,24</v>
      </c>
      <c r="L2820" s="71" t="s">
        <v>265</v>
      </c>
      <c r="M2820" s="71">
        <v>2992.52</v>
      </c>
      <c r="N2820" s="323">
        <v>0.41666666666666702</v>
      </c>
    </row>
    <row r="2821" spans="1:14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3"/>
        <v>11,24</v>
      </c>
      <c r="L2821" s="40" t="s">
        <v>28</v>
      </c>
      <c r="M2821" s="40">
        <v>11938.2</v>
      </c>
      <c r="N2821" s="317">
        <v>0.41666666666666702</v>
      </c>
    </row>
    <row r="2822" spans="1:14" ht="19.5" hidden="1" thickBot="1" x14ac:dyDescent="0.3">
      <c r="A2822" s="732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3"/>
        <v>11,24</v>
      </c>
      <c r="L2822" s="48" t="s">
        <v>28</v>
      </c>
      <c r="M2822" s="48">
        <v>15394.56</v>
      </c>
      <c r="N2822" s="315">
        <v>0.41666666666666702</v>
      </c>
    </row>
    <row r="2823" spans="1:14" ht="19.5" hidden="1" thickBot="1" x14ac:dyDescent="0.3">
      <c r="A2823" s="732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3"/>
        <v>11,24</v>
      </c>
      <c r="L2823" s="71" t="s">
        <v>28</v>
      </c>
      <c r="M2823" s="71">
        <v>1289.5999999999999</v>
      </c>
      <c r="N2823" s="323">
        <v>0.41666666666666702</v>
      </c>
    </row>
    <row r="2824" spans="1:14" ht="19.5" hidden="1" thickBot="1" x14ac:dyDescent="0.3">
      <c r="A2824" s="731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3"/>
        <v>11,24</v>
      </c>
      <c r="L2824" s="82" t="s">
        <v>28</v>
      </c>
      <c r="M2824" s="82">
        <v>7501.14</v>
      </c>
      <c r="N2824" s="319">
        <v>0.45833333333333298</v>
      </c>
    </row>
    <row r="2825" spans="1:14" ht="19.5" hidden="1" thickBot="1" x14ac:dyDescent="0.3">
      <c r="A2825" s="731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3"/>
        <v>11,24</v>
      </c>
      <c r="L2825" s="90" t="s">
        <v>28</v>
      </c>
      <c r="M2825" s="90">
        <v>9801.8799999999992</v>
      </c>
      <c r="N2825" s="325">
        <v>0.45833333333333298</v>
      </c>
    </row>
    <row r="2826" spans="1:14" ht="19.5" hidden="1" thickBot="1" x14ac:dyDescent="0.3">
      <c r="A2826" s="735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3"/>
        <v>11,24</v>
      </c>
      <c r="L2826" s="48" t="s">
        <v>28</v>
      </c>
      <c r="M2826" s="48">
        <v>7041.32</v>
      </c>
      <c r="N2826" s="315">
        <v>0.5</v>
      </c>
    </row>
    <row r="2827" spans="1:14" ht="19.5" hidden="1" thickBot="1" x14ac:dyDescent="0.3">
      <c r="A2827" s="735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3"/>
        <v>11,24</v>
      </c>
      <c r="L2827" s="293" t="s">
        <v>28</v>
      </c>
      <c r="M2827" s="293">
        <v>9997.68</v>
      </c>
      <c r="N2827" s="389">
        <v>0.5</v>
      </c>
    </row>
    <row r="2828" spans="1:14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3"/>
        <v>11,24</v>
      </c>
      <c r="L2828" s="40" t="s">
        <v>266</v>
      </c>
      <c r="M2828" s="40">
        <v>18013.919999999998</v>
      </c>
      <c r="N2828" s="317">
        <v>0.5</v>
      </c>
    </row>
    <row r="2829" spans="1:14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3"/>
        <v>11,24</v>
      </c>
      <c r="L2829" s="75" t="s">
        <v>265</v>
      </c>
      <c r="M2829" s="75">
        <v>17689.62</v>
      </c>
      <c r="N2829" s="322">
        <v>0.375</v>
      </c>
    </row>
    <row r="2830" spans="1:14" ht="19.5" hidden="1" thickBot="1" x14ac:dyDescent="0.3">
      <c r="A2830" s="731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3"/>
        <v>11,24</v>
      </c>
      <c r="L2830" s="82" t="s">
        <v>28</v>
      </c>
      <c r="M2830" s="82">
        <v>765.99</v>
      </c>
      <c r="N2830" s="319">
        <v>0.41666666666666702</v>
      </c>
    </row>
    <row r="2831" spans="1:14" ht="19.5" hidden="1" thickBot="1" x14ac:dyDescent="0.3">
      <c r="A2831" s="731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3"/>
        <v>11,24</v>
      </c>
      <c r="L2831" s="98" t="s">
        <v>28</v>
      </c>
      <c r="M2831" s="98">
        <v>6276.98</v>
      </c>
      <c r="N2831" s="364">
        <v>0.41666666666666702</v>
      </c>
    </row>
    <row r="2832" spans="1:14" ht="19.5" hidden="1" thickBot="1" x14ac:dyDescent="0.3">
      <c r="A2832" s="731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3"/>
        <v>11,24</v>
      </c>
      <c r="L2832" s="98" t="s">
        <v>28</v>
      </c>
      <c r="M2832" s="98">
        <v>1261.24</v>
      </c>
      <c r="N2832" s="364">
        <v>0.41666666666666702</v>
      </c>
    </row>
    <row r="2833" spans="1:14" ht="19.5" hidden="1" thickBot="1" x14ac:dyDescent="0.3">
      <c r="A2833" s="731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3"/>
        <v>11,24</v>
      </c>
      <c r="L2833" s="90" t="s">
        <v>28</v>
      </c>
      <c r="M2833" s="90">
        <v>9358.92</v>
      </c>
      <c r="N2833" s="325">
        <v>0.41666666666666702</v>
      </c>
    </row>
    <row r="2834" spans="1:14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3"/>
        <v>11,24</v>
      </c>
      <c r="L2834" s="75" t="s">
        <v>28</v>
      </c>
      <c r="M2834" s="75">
        <v>12926.6</v>
      </c>
      <c r="N2834" s="322">
        <v>0.375</v>
      </c>
    </row>
    <row r="2835" spans="1:14" ht="19.5" hidden="1" thickBot="1" x14ac:dyDescent="0.3">
      <c r="A2835" s="73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3"/>
        <v>11,24</v>
      </c>
      <c r="L2835" s="82" t="s">
        <v>28</v>
      </c>
      <c r="M2835" s="82">
        <v>10613.76</v>
      </c>
      <c r="N2835" s="319">
        <v>0.41666666666666702</v>
      </c>
    </row>
    <row r="2836" spans="1:14" ht="19.5" hidden="1" thickBot="1" x14ac:dyDescent="0.3">
      <c r="A2836" s="73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3"/>
        <v>11,24</v>
      </c>
      <c r="L2836" s="65" t="s">
        <v>28</v>
      </c>
      <c r="M2836" s="65">
        <v>2097.12</v>
      </c>
      <c r="N2836" s="434">
        <v>0.41666666666666702</v>
      </c>
    </row>
    <row r="2837" spans="1:14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3"/>
        <v>11,24</v>
      </c>
      <c r="L2837" s="75" t="s">
        <v>266</v>
      </c>
      <c r="M2837" s="75">
        <v>18077.5</v>
      </c>
      <c r="N2837" s="322">
        <v>0.41666666666666702</v>
      </c>
    </row>
    <row r="2838" spans="1:14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3"/>
        <v>11,24</v>
      </c>
      <c r="L2838" s="40" t="s">
        <v>266</v>
      </c>
      <c r="M2838" s="40">
        <v>18140.18</v>
      </c>
      <c r="N2838" s="317">
        <v>0.45833333333333298</v>
      </c>
    </row>
    <row r="2839" spans="1:14" ht="19.5" hidden="1" thickBot="1" x14ac:dyDescent="0.3">
      <c r="A2839" s="732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3"/>
        <v>11,24</v>
      </c>
      <c r="L2839" s="48" t="s">
        <v>266</v>
      </c>
      <c r="M2839" s="48">
        <v>4329.6000000000004</v>
      </c>
      <c r="N2839" s="315">
        <v>0.5</v>
      </c>
    </row>
    <row r="2840" spans="1:14" ht="19.5" hidden="1" thickBot="1" x14ac:dyDescent="0.3">
      <c r="A2840" s="732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3"/>
        <v>11,24</v>
      </c>
      <c r="L2840" s="23" t="s">
        <v>266</v>
      </c>
      <c r="M2840" s="23">
        <v>714.54</v>
      </c>
      <c r="N2840" s="329">
        <v>0.5</v>
      </c>
    </row>
    <row r="2841" spans="1:14" ht="19.5" hidden="1" thickBot="1" x14ac:dyDescent="0.3">
      <c r="A2841" s="732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3"/>
        <v>11,24</v>
      </c>
      <c r="L2841" s="23" t="s">
        <v>266</v>
      </c>
      <c r="M2841" s="23">
        <v>5960.48</v>
      </c>
      <c r="N2841" s="329">
        <v>0.5</v>
      </c>
    </row>
    <row r="2842" spans="1:14" ht="19.5" hidden="1" thickBot="1" x14ac:dyDescent="0.3">
      <c r="A2842" s="732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3"/>
        <v>11,24</v>
      </c>
      <c r="L2842" s="23" t="s">
        <v>266</v>
      </c>
      <c r="M2842" s="23">
        <v>1830.85</v>
      </c>
      <c r="N2842" s="329">
        <v>0.5</v>
      </c>
    </row>
    <row r="2843" spans="1:14" ht="19.5" hidden="1" thickBot="1" x14ac:dyDescent="0.3">
      <c r="A2843" s="732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3"/>
        <v>11,24</v>
      </c>
      <c r="L2843" s="71" t="s">
        <v>266</v>
      </c>
      <c r="M2843" s="71">
        <v>4873.74</v>
      </c>
      <c r="N2843" s="323">
        <v>0.5</v>
      </c>
    </row>
    <row r="2844" spans="1:14" ht="18.75" hidden="1" customHeight="1" thickBot="1" x14ac:dyDescent="0.3">
      <c r="A2844" s="73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738" t="s">
        <v>467</v>
      </c>
      <c r="H2844" s="82" t="s">
        <v>660</v>
      </c>
      <c r="I2844" s="147" t="s">
        <v>660</v>
      </c>
      <c r="J2844" s="86"/>
      <c r="K2844" s="82" t="str">
        <f t="shared" si="83"/>
        <v>11,24</v>
      </c>
      <c r="L2844" s="82" t="s">
        <v>266</v>
      </c>
      <c r="M2844" s="82">
        <v>5497.12</v>
      </c>
      <c r="N2844" s="319">
        <v>0.54166666666666696</v>
      </c>
    </row>
    <row r="2845" spans="1:14" ht="19.5" hidden="1" thickBot="1" x14ac:dyDescent="0.3">
      <c r="A2845" s="73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738"/>
      <c r="H2845" s="65" t="s">
        <v>660</v>
      </c>
      <c r="I2845" s="285" t="s">
        <v>660</v>
      </c>
      <c r="J2845" s="68"/>
      <c r="K2845" s="65" t="str">
        <f t="shared" si="83"/>
        <v>11,24</v>
      </c>
      <c r="L2845" s="65" t="s">
        <v>266</v>
      </c>
      <c r="M2845" s="65">
        <v>2610</v>
      </c>
      <c r="N2845" s="434">
        <v>0.54166666666666696</v>
      </c>
    </row>
    <row r="2846" spans="1:14" ht="19.5" hidden="1" thickBot="1" x14ac:dyDescent="0.3">
      <c r="A2846" s="732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3"/>
        <v>11,24</v>
      </c>
      <c r="L2846" s="48" t="s">
        <v>265</v>
      </c>
      <c r="M2846" s="48">
        <v>10340.280000000001</v>
      </c>
      <c r="N2846" s="315">
        <v>0.375</v>
      </c>
    </row>
    <row r="2847" spans="1:14" ht="19.5" hidden="1" thickBot="1" x14ac:dyDescent="0.3">
      <c r="A2847" s="732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3"/>
        <v>11,24</v>
      </c>
      <c r="L2847" s="71" t="s">
        <v>265</v>
      </c>
      <c r="M2847" s="71">
        <v>6136.6</v>
      </c>
      <c r="N2847" s="323">
        <v>0.375</v>
      </c>
    </row>
    <row r="2848" spans="1:14" ht="19.5" hidden="1" thickBot="1" x14ac:dyDescent="0.3">
      <c r="A2848" s="110">
        <f t="shared" ref="A2848:A2853" si="84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3"/>
        <v>11,24</v>
      </c>
      <c r="L2848" s="40" t="s">
        <v>28</v>
      </c>
      <c r="M2848" s="40">
        <v>15376.38</v>
      </c>
      <c r="N2848" s="317">
        <v>0.5</v>
      </c>
    </row>
    <row r="2849" spans="1:14" ht="19.5" hidden="1" thickBot="1" x14ac:dyDescent="0.3">
      <c r="A2849" s="111">
        <f t="shared" si="84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3"/>
        <v>11,24</v>
      </c>
      <c r="L2849" s="75" t="s">
        <v>265</v>
      </c>
      <c r="M2849" s="75">
        <v>17546.060000000001</v>
      </c>
      <c r="N2849" s="322">
        <v>0.375</v>
      </c>
    </row>
    <row r="2850" spans="1:14" ht="19.5" hidden="1" thickBot="1" x14ac:dyDescent="0.3">
      <c r="A2850" s="110">
        <f t="shared" si="84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3"/>
        <v>11,24</v>
      </c>
      <c r="L2850" s="40" t="s">
        <v>28</v>
      </c>
      <c r="M2850" s="40">
        <v>13927.26</v>
      </c>
      <c r="N2850" s="317">
        <v>0.5</v>
      </c>
    </row>
    <row r="2851" spans="1:14" ht="19.5" hidden="1" thickBot="1" x14ac:dyDescent="0.3">
      <c r="A2851" s="111">
        <f t="shared" si="84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3"/>
        <v>11,24</v>
      </c>
      <c r="L2851" s="75" t="s">
        <v>28</v>
      </c>
      <c r="M2851" s="75">
        <v>9889.2000000000007</v>
      </c>
      <c r="N2851" s="322">
        <v>0.58333333333333304</v>
      </c>
    </row>
    <row r="2852" spans="1:14" ht="19.5" hidden="1" thickBot="1" x14ac:dyDescent="0.3">
      <c r="A2852" s="149">
        <f t="shared" si="84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3"/>
        <v>11,24</v>
      </c>
      <c r="L2852" s="122" t="s">
        <v>265</v>
      </c>
      <c r="M2852" s="122">
        <v>12566.8</v>
      </c>
      <c r="N2852" s="365">
        <v>0.375</v>
      </c>
    </row>
    <row r="2853" spans="1:14" ht="18.75" hidden="1" customHeight="1" thickBot="1" x14ac:dyDescent="0.3">
      <c r="A2853" s="732">
        <f t="shared" si="84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737" t="s">
        <v>72</v>
      </c>
      <c r="H2853" s="48" t="s">
        <v>664</v>
      </c>
      <c r="I2853" s="163" t="s">
        <v>664</v>
      </c>
      <c r="J2853" s="52"/>
      <c r="K2853" s="48" t="str">
        <f t="shared" si="83"/>
        <v>11,24</v>
      </c>
      <c r="L2853" s="48" t="s">
        <v>265</v>
      </c>
      <c r="M2853" s="48">
        <v>9040.32</v>
      </c>
      <c r="N2853" s="315">
        <v>0.33333333333333298</v>
      </c>
    </row>
    <row r="2854" spans="1:14" ht="19.5" hidden="1" thickBot="1" x14ac:dyDescent="0.3">
      <c r="A2854" s="732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737"/>
      <c r="H2854" s="71" t="s">
        <v>664</v>
      </c>
      <c r="I2854" s="167" t="s">
        <v>664</v>
      </c>
      <c r="J2854" s="168" t="s">
        <v>157</v>
      </c>
      <c r="K2854" s="71" t="str">
        <f t="shared" si="83"/>
        <v>11,24</v>
      </c>
      <c r="L2854" s="71" t="s">
        <v>265</v>
      </c>
      <c r="M2854" s="71">
        <v>5142.82</v>
      </c>
      <c r="N2854" s="323">
        <v>0.41666666666666702</v>
      </c>
    </row>
    <row r="2855" spans="1:14" ht="19.5" hidden="1" thickBot="1" x14ac:dyDescent="0.3">
      <c r="A2855" s="731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3"/>
        <v>11,24</v>
      </c>
      <c r="L2855" s="82" t="s">
        <v>28</v>
      </c>
      <c r="M2855" s="82">
        <v>4058.44</v>
      </c>
      <c r="N2855" s="319">
        <v>0.41666666666666702</v>
      </c>
    </row>
    <row r="2856" spans="1:14" ht="19.5" hidden="1" thickBot="1" x14ac:dyDescent="0.3">
      <c r="A2856" s="731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3"/>
        <v>11,24</v>
      </c>
      <c r="L2856" s="90" t="s">
        <v>28</v>
      </c>
      <c r="M2856" s="90">
        <v>13567.33</v>
      </c>
      <c r="N2856" s="325">
        <v>0.41666666666666702</v>
      </c>
    </row>
    <row r="2857" spans="1:14" ht="19.5" hidden="1" thickBot="1" x14ac:dyDescent="0.3">
      <c r="A2857" s="732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3"/>
        <v>11,24</v>
      </c>
      <c r="L2857" s="48" t="s">
        <v>28</v>
      </c>
      <c r="M2857" s="48">
        <v>3783.06</v>
      </c>
      <c r="N2857" s="315">
        <v>0.45833333333333298</v>
      </c>
    </row>
    <row r="2858" spans="1:14" ht="19.5" hidden="1" thickBot="1" x14ac:dyDescent="0.3">
      <c r="A2858" s="732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3"/>
        <v>11,24</v>
      </c>
      <c r="L2858" s="23" t="s">
        <v>28</v>
      </c>
      <c r="M2858" s="23">
        <v>7221.24</v>
      </c>
      <c r="N2858" s="329">
        <v>0.45833333333333298</v>
      </c>
    </row>
    <row r="2859" spans="1:14" ht="19.5" hidden="1" thickBot="1" x14ac:dyDescent="0.3">
      <c r="A2859" s="732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3"/>
        <v>11,24</v>
      </c>
      <c r="L2859" s="71" t="s">
        <v>28</v>
      </c>
      <c r="M2859" s="71">
        <v>6819.16</v>
      </c>
      <c r="N2859" s="323">
        <v>0.45833333333333298</v>
      </c>
    </row>
    <row r="2860" spans="1:14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3"/>
        <v>11,24</v>
      </c>
      <c r="L2860" s="40" t="s">
        <v>28</v>
      </c>
      <c r="M2860" s="40">
        <v>17728.79</v>
      </c>
      <c r="N2860" s="317">
        <v>0.5</v>
      </c>
    </row>
    <row r="2861" spans="1:14" ht="19.5" hidden="1" thickBot="1" x14ac:dyDescent="0.3">
      <c r="A2861" s="735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3"/>
        <v>11,24</v>
      </c>
      <c r="L2861" s="48" t="s">
        <v>28</v>
      </c>
      <c r="M2861" s="48">
        <v>4845</v>
      </c>
      <c r="N2861" s="315">
        <v>0.54166666666666696</v>
      </c>
    </row>
    <row r="2862" spans="1:14" ht="19.5" hidden="1" thickBot="1" x14ac:dyDescent="0.3">
      <c r="A2862" s="735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3"/>
        <v>11,24</v>
      </c>
      <c r="L2862" s="293" t="s">
        <v>28</v>
      </c>
      <c r="M2862" s="293">
        <v>12783.42</v>
      </c>
      <c r="N2862" s="389">
        <v>0.54166666666666696</v>
      </c>
    </row>
    <row r="2863" spans="1:14" ht="38.25" hidden="1" thickBot="1" x14ac:dyDescent="0.3">
      <c r="A2863" s="110">
        <f t="shared" ref="A2863:A2868" si="85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3"/>
        <v>11,24</v>
      </c>
      <c r="L2863" s="40" t="s">
        <v>266</v>
      </c>
      <c r="M2863" s="40">
        <v>18037.32</v>
      </c>
      <c r="N2863" s="317">
        <v>0.5</v>
      </c>
    </row>
    <row r="2864" spans="1:14" ht="19.5" hidden="1" thickBot="1" x14ac:dyDescent="0.3">
      <c r="A2864" s="111">
        <f t="shared" si="85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3"/>
        <v>11,24</v>
      </c>
      <c r="L2864" s="75" t="s">
        <v>265</v>
      </c>
      <c r="M2864" s="75">
        <v>17708.400000000001</v>
      </c>
      <c r="N2864" s="322">
        <v>0.375</v>
      </c>
    </row>
    <row r="2865" spans="1:14" ht="19.5" hidden="1" thickBot="1" x14ac:dyDescent="0.3">
      <c r="A2865" s="110">
        <f t="shared" si="85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3"/>
        <v>11,24</v>
      </c>
      <c r="L2865" s="40" t="s">
        <v>265</v>
      </c>
      <c r="M2865" s="40">
        <v>17549.34</v>
      </c>
      <c r="N2865" s="317">
        <v>0.375</v>
      </c>
    </row>
    <row r="2866" spans="1:14" ht="57" hidden="1" thickBot="1" x14ac:dyDescent="0.3">
      <c r="A2866" s="111">
        <f t="shared" si="85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3"/>
        <v>11,24</v>
      </c>
      <c r="L2866" s="75" t="s">
        <v>266</v>
      </c>
      <c r="M2866" s="75">
        <v>17822.580000000002</v>
      </c>
      <c r="N2866" s="322">
        <v>0.41666666666666702</v>
      </c>
    </row>
    <row r="2867" spans="1:14" ht="19.5" hidden="1" thickBot="1" x14ac:dyDescent="0.3">
      <c r="A2867" s="110">
        <f t="shared" si="85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3"/>
        <v>11,24</v>
      </c>
      <c r="L2867" s="40" t="s">
        <v>28</v>
      </c>
      <c r="M2867" s="40">
        <v>17742.009999999998</v>
      </c>
      <c r="N2867" s="317">
        <v>0.45833333333333298</v>
      </c>
    </row>
    <row r="2868" spans="1:14" ht="19.5" hidden="1" thickBot="1" x14ac:dyDescent="0.3">
      <c r="A2868" s="732">
        <f t="shared" si="85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3"/>
        <v>11,24</v>
      </c>
      <c r="L2868" s="48" t="s">
        <v>28</v>
      </c>
      <c r="M2868" s="48">
        <v>12513.77</v>
      </c>
      <c r="N2868" s="315">
        <v>0.5</v>
      </c>
    </row>
    <row r="2869" spans="1:14" ht="19.5" hidden="1" thickBot="1" x14ac:dyDescent="0.3">
      <c r="A2869" s="732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3"/>
        <v>11,24</v>
      </c>
      <c r="L2869" s="71" t="s">
        <v>28</v>
      </c>
      <c r="M2869" s="71">
        <v>5143.2</v>
      </c>
      <c r="N2869" s="323">
        <v>0.5</v>
      </c>
    </row>
    <row r="2870" spans="1:14" ht="19.5" hidden="1" thickBot="1" x14ac:dyDescent="0.3">
      <c r="A2870" s="731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3"/>
        <v>11,24</v>
      </c>
      <c r="L2870" s="82" t="s">
        <v>28</v>
      </c>
      <c r="M2870" s="82">
        <v>2905.66</v>
      </c>
      <c r="N2870" s="319">
        <v>0.54166666666666696</v>
      </c>
    </row>
    <row r="2871" spans="1:14" ht="19.5" hidden="1" thickBot="1" x14ac:dyDescent="0.3">
      <c r="A2871" s="731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3"/>
        <v>11,24</v>
      </c>
      <c r="L2871" s="98" t="s">
        <v>28</v>
      </c>
      <c r="M2871" s="98">
        <v>7831.2</v>
      </c>
      <c r="N2871" s="364">
        <v>0.54166666666666696</v>
      </c>
    </row>
    <row r="2872" spans="1:14" ht="19.5" hidden="1" thickBot="1" x14ac:dyDescent="0.3">
      <c r="A2872" s="731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3"/>
        <v>11,24</v>
      </c>
      <c r="L2872" s="90" t="s">
        <v>28</v>
      </c>
      <c r="M2872" s="90">
        <v>7017.44</v>
      </c>
      <c r="N2872" s="325">
        <v>0.54166666666666696</v>
      </c>
    </row>
    <row r="2873" spans="1:14" ht="19.5" hidden="1" thickBot="1" x14ac:dyDescent="0.3">
      <c r="A2873" s="732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3"/>
        <v>11,24</v>
      </c>
      <c r="L2873" s="48" t="s">
        <v>28</v>
      </c>
      <c r="M2873" s="48">
        <v>714</v>
      </c>
      <c r="N2873" s="315">
        <v>0.41666666666666702</v>
      </c>
    </row>
    <row r="2874" spans="1:14" ht="19.5" hidden="1" thickBot="1" x14ac:dyDescent="0.3">
      <c r="A2874" s="732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3"/>
        <v>11,24</v>
      </c>
      <c r="L2874" s="23" t="s">
        <v>28</v>
      </c>
      <c r="M2874" s="23">
        <v>2593.3200000000002</v>
      </c>
      <c r="N2874" s="329">
        <v>0.41666666666666702</v>
      </c>
    </row>
    <row r="2875" spans="1:14" ht="19.5" hidden="1" thickBot="1" x14ac:dyDescent="0.3">
      <c r="A2875" s="732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6">RIGHT(I2875,5)</f>
        <v>11,24</v>
      </c>
      <c r="L2875" s="71" t="s">
        <v>28</v>
      </c>
      <c r="M2875" s="71">
        <v>6657.52</v>
      </c>
      <c r="N2875" s="323">
        <v>0.41666666666666702</v>
      </c>
    </row>
    <row r="2876" spans="1:14" ht="19.5" hidden="1" thickBot="1" x14ac:dyDescent="0.3">
      <c r="A2876" s="731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6"/>
        <v>11,24</v>
      </c>
      <c r="L2876" s="82" t="s">
        <v>28</v>
      </c>
      <c r="M2876" s="82">
        <v>5303.52</v>
      </c>
      <c r="N2876" s="319">
        <v>0.45833333333333298</v>
      </c>
    </row>
    <row r="2877" spans="1:14" ht="19.5" hidden="1" thickBot="1" x14ac:dyDescent="0.3">
      <c r="A2877" s="731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6"/>
        <v>11,24</v>
      </c>
      <c r="L2877" s="98" t="s">
        <v>28</v>
      </c>
      <c r="M2877" s="98">
        <v>2842.76</v>
      </c>
      <c r="N2877" s="364">
        <v>0.45833333333333298</v>
      </c>
    </row>
    <row r="2878" spans="1:14" ht="19.5" hidden="1" thickBot="1" x14ac:dyDescent="0.3">
      <c r="A2878" s="731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6"/>
        <v>11,24</v>
      </c>
      <c r="L2878" s="98" t="s">
        <v>28</v>
      </c>
      <c r="M2878" s="98">
        <v>840</v>
      </c>
      <c r="N2878" s="364">
        <v>0.45833333333333298</v>
      </c>
    </row>
    <row r="2879" spans="1:14" ht="19.5" hidden="1" thickBot="1" x14ac:dyDescent="0.3">
      <c r="A2879" s="731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6"/>
        <v>11,24</v>
      </c>
      <c r="L2879" s="90" t="s">
        <v>28</v>
      </c>
      <c r="M2879" s="90">
        <v>3742.8</v>
      </c>
      <c r="N2879" s="325">
        <v>0.45833333333333298</v>
      </c>
    </row>
    <row r="2880" spans="1:14" ht="19.5" hidden="1" thickBot="1" x14ac:dyDescent="0.3">
      <c r="A2880" s="111">
        <f t="shared" ref="A2880:A2885" si="87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6"/>
        <v>11,24</v>
      </c>
      <c r="L2880" s="75" t="s">
        <v>266</v>
      </c>
      <c r="M2880" s="75">
        <v>15150.01</v>
      </c>
      <c r="N2880" s="322">
        <v>0.5</v>
      </c>
    </row>
    <row r="2881" spans="1:14" ht="19.5" hidden="1" thickBot="1" x14ac:dyDescent="0.3">
      <c r="A2881" s="149">
        <f t="shared" si="87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6"/>
        <v>11,24</v>
      </c>
      <c r="L2881" s="122" t="s">
        <v>265</v>
      </c>
      <c r="M2881" s="122">
        <v>5415</v>
      </c>
      <c r="N2881" s="365">
        <v>0.375</v>
      </c>
    </row>
    <row r="2882" spans="1:14" ht="19.5" hidden="1" thickBot="1" x14ac:dyDescent="0.3">
      <c r="A2882" s="111">
        <f t="shared" si="87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6"/>
        <v>11,24</v>
      </c>
      <c r="L2882" s="75" t="s">
        <v>266</v>
      </c>
      <c r="M2882" s="75">
        <v>18120.919999999998</v>
      </c>
      <c r="N2882" s="322">
        <v>0.41666666666666702</v>
      </c>
    </row>
    <row r="2883" spans="1:14" ht="19.5" hidden="1" thickBot="1" x14ac:dyDescent="0.3">
      <c r="A2883" s="110">
        <f t="shared" si="87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6"/>
        <v>11,24</v>
      </c>
      <c r="L2883" s="40" t="s">
        <v>266</v>
      </c>
      <c r="M2883" s="40">
        <v>17840.04</v>
      </c>
      <c r="N2883" s="317">
        <v>0.45833333333333298</v>
      </c>
    </row>
    <row r="2884" spans="1:14" ht="19.5" hidden="1" thickBot="1" x14ac:dyDescent="0.3">
      <c r="A2884" s="111">
        <f t="shared" si="87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6"/>
        <v>11,24</v>
      </c>
      <c r="L2884" s="75" t="s">
        <v>266</v>
      </c>
      <c r="M2884" s="75">
        <v>18468.599999999999</v>
      </c>
      <c r="N2884" s="322">
        <v>0.5</v>
      </c>
    </row>
    <row r="2885" spans="1:14" ht="19.5" hidden="1" thickBot="1" x14ac:dyDescent="0.3">
      <c r="A2885" s="733">
        <f t="shared" si="87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6"/>
        <v>11,24</v>
      </c>
      <c r="L2885" s="82" t="s">
        <v>266</v>
      </c>
      <c r="M2885" s="82">
        <v>6755.06</v>
      </c>
      <c r="N2885" s="319">
        <v>0.54166666666666696</v>
      </c>
    </row>
    <row r="2886" spans="1:14" ht="19.5" hidden="1" thickBot="1" x14ac:dyDescent="0.3">
      <c r="A2886" s="73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6"/>
        <v>11,24</v>
      </c>
      <c r="L2886" s="98" t="s">
        <v>266</v>
      </c>
      <c r="M2886" s="98">
        <v>2512.6</v>
      </c>
      <c r="N2886" s="364">
        <v>0.54166666666666696</v>
      </c>
    </row>
    <row r="2887" spans="1:14" ht="19.5" hidden="1" thickBot="1" x14ac:dyDescent="0.3">
      <c r="A2887" s="73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6"/>
        <v>11,24</v>
      </c>
      <c r="L2887" s="98" t="s">
        <v>266</v>
      </c>
      <c r="M2887" s="98">
        <v>1505.4</v>
      </c>
      <c r="N2887" s="364">
        <v>0.54166666666666696</v>
      </c>
    </row>
    <row r="2888" spans="1:14" ht="19.5" hidden="1" thickBot="1" x14ac:dyDescent="0.3">
      <c r="A2888" s="73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6"/>
        <v>11,24</v>
      </c>
      <c r="L2888" s="98" t="s">
        <v>266</v>
      </c>
      <c r="M2888" s="98">
        <v>1954.34</v>
      </c>
      <c r="N2888" s="364">
        <v>0.54166666666666696</v>
      </c>
    </row>
    <row r="2889" spans="1:14" ht="19.5" hidden="1" thickBot="1" x14ac:dyDescent="0.3">
      <c r="A2889" s="73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6"/>
        <v>11,24</v>
      </c>
      <c r="L2889" s="65" t="s">
        <v>266</v>
      </c>
      <c r="M2889" s="65">
        <v>4513.12</v>
      </c>
      <c r="N2889" s="434">
        <v>0.54166666666666696</v>
      </c>
    </row>
    <row r="2890" spans="1:14" ht="19.5" hidden="1" thickBot="1" x14ac:dyDescent="0.3">
      <c r="A2890" s="732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6"/>
        <v>11,24</v>
      </c>
      <c r="L2890" s="48" t="s">
        <v>265</v>
      </c>
      <c r="M2890" s="48">
        <v>12233.61</v>
      </c>
      <c r="N2890" s="315">
        <v>0.375</v>
      </c>
    </row>
    <row r="2891" spans="1:14" ht="19.5" hidden="1" thickBot="1" x14ac:dyDescent="0.3">
      <c r="A2891" s="732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6"/>
        <v>11,24</v>
      </c>
      <c r="L2891" s="71" t="s">
        <v>265</v>
      </c>
      <c r="M2891" s="71">
        <v>4313.2</v>
      </c>
      <c r="N2891" s="323">
        <v>0.375</v>
      </c>
    </row>
    <row r="2892" spans="1:14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6"/>
        <v>11,24</v>
      </c>
      <c r="L2892" s="40" t="s">
        <v>265</v>
      </c>
      <c r="M2892" s="40">
        <v>17289.16</v>
      </c>
      <c r="N2892" s="317">
        <v>0.375</v>
      </c>
    </row>
    <row r="2893" spans="1:14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6"/>
        <v>11,24</v>
      </c>
      <c r="L2893" s="158" t="s">
        <v>265</v>
      </c>
      <c r="M2893" s="158">
        <v>13198.68</v>
      </c>
      <c r="N2893" s="433">
        <v>0.375</v>
      </c>
    </row>
    <row r="2894" spans="1:14" ht="18.75" hidden="1" customHeight="1" thickBot="1" x14ac:dyDescent="0.3">
      <c r="A2894" s="731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734" t="s">
        <v>72</v>
      </c>
      <c r="H2894" s="82" t="s">
        <v>672</v>
      </c>
      <c r="I2894" s="147" t="s">
        <v>672</v>
      </c>
      <c r="J2894" s="86"/>
      <c r="K2894" s="82" t="str">
        <f t="shared" si="86"/>
        <v>11,24</v>
      </c>
      <c r="L2894" s="82" t="s">
        <v>265</v>
      </c>
      <c r="M2894" s="82">
        <v>7944.68</v>
      </c>
      <c r="N2894" s="319">
        <v>0.33333333333333298</v>
      </c>
    </row>
    <row r="2895" spans="1:14" ht="19.5" hidden="1" thickBot="1" x14ac:dyDescent="0.3">
      <c r="A2895" s="731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734"/>
      <c r="H2895" s="90" t="s">
        <v>672</v>
      </c>
      <c r="I2895" s="172" t="s">
        <v>672</v>
      </c>
      <c r="J2895" s="173"/>
      <c r="K2895" s="90" t="str">
        <f t="shared" si="86"/>
        <v>11,24</v>
      </c>
      <c r="L2895" s="90" t="s">
        <v>265</v>
      </c>
      <c r="M2895" s="90">
        <v>6355.42</v>
      </c>
      <c r="N2895" s="325">
        <v>0.41666666666666702</v>
      </c>
    </row>
    <row r="2896" spans="1:14" ht="19.5" hidden="1" thickBot="1" x14ac:dyDescent="0.3">
      <c r="A2896" s="732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6"/>
        <v>11,24</v>
      </c>
      <c r="L2896" s="48" t="s">
        <v>28</v>
      </c>
      <c r="M2896" s="48">
        <v>1445.76</v>
      </c>
      <c r="N2896" s="315">
        <v>0.41666666666666702</v>
      </c>
    </row>
    <row r="2897" spans="1:14" ht="19.5" hidden="1" thickBot="1" x14ac:dyDescent="0.3">
      <c r="A2897" s="732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6"/>
        <v>11,24</v>
      </c>
      <c r="L2897" s="71" t="s">
        <v>28</v>
      </c>
      <c r="M2897" s="71">
        <v>15375.8</v>
      </c>
      <c r="N2897" s="323">
        <v>0.41666666666666702</v>
      </c>
    </row>
    <row r="2898" spans="1:14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6"/>
        <v>11,24</v>
      </c>
      <c r="L2898" s="40" t="s">
        <v>28</v>
      </c>
      <c r="M2898" s="40">
        <v>15612.42</v>
      </c>
      <c r="N2898" s="317">
        <v>0.45833333333333298</v>
      </c>
    </row>
    <row r="2899" spans="1:14" ht="19.5" hidden="1" thickBot="1" x14ac:dyDescent="0.3">
      <c r="A2899" s="732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6"/>
        <v>11,24</v>
      </c>
      <c r="L2899" s="48" t="s">
        <v>28</v>
      </c>
      <c r="M2899" s="48">
        <v>13238.14</v>
      </c>
      <c r="N2899" s="315">
        <v>0.5</v>
      </c>
    </row>
    <row r="2900" spans="1:14" ht="19.5" hidden="1" thickBot="1" x14ac:dyDescent="0.3">
      <c r="A2900" s="732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6"/>
        <v>11,24</v>
      </c>
      <c r="L2900" s="71" t="s">
        <v>28</v>
      </c>
      <c r="M2900" s="71">
        <v>4250.2700000000004</v>
      </c>
      <c r="N2900" s="323">
        <v>0.5</v>
      </c>
    </row>
    <row r="2901" spans="1:14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6"/>
        <v>11,24</v>
      </c>
      <c r="L2901" s="40" t="s">
        <v>28</v>
      </c>
      <c r="M2901" s="40">
        <v>17348.150000000001</v>
      </c>
      <c r="N2901" s="317">
        <v>0.54166666666666696</v>
      </c>
    </row>
    <row r="2902" spans="1:14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6"/>
        <v>11,24</v>
      </c>
      <c r="L2902" s="75" t="s">
        <v>28</v>
      </c>
      <c r="M2902" s="75">
        <v>17213.82</v>
      </c>
      <c r="N2902" s="322">
        <v>0.58333333333333304</v>
      </c>
    </row>
    <row r="2903" spans="1:14" ht="19.5" hidden="1" thickBot="1" x14ac:dyDescent="0.3">
      <c r="A2903" s="731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6"/>
        <v>11,24</v>
      </c>
      <c r="L2903" s="82" t="s">
        <v>28</v>
      </c>
      <c r="M2903" s="82">
        <v>10087.799999999999</v>
      </c>
      <c r="N2903" s="319">
        <v>0.625</v>
      </c>
    </row>
    <row r="2904" spans="1:14" ht="19.5" hidden="1" thickBot="1" x14ac:dyDescent="0.3">
      <c r="A2904" s="731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6"/>
        <v>11,24</v>
      </c>
      <c r="L2904" s="90" t="s">
        <v>28</v>
      </c>
      <c r="M2904" s="90">
        <v>7246.2</v>
      </c>
      <c r="N2904" s="325">
        <v>0.625</v>
      </c>
    </row>
    <row r="2905" spans="1:14" ht="19.5" hidden="1" thickBot="1" x14ac:dyDescent="0.3">
      <c r="A2905" s="735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6"/>
        <v>11,24</v>
      </c>
      <c r="L2905" s="48" t="s">
        <v>28</v>
      </c>
      <c r="M2905" s="48">
        <v>14853.44</v>
      </c>
      <c r="N2905" s="315">
        <v>0.66666666666666696</v>
      </c>
    </row>
    <row r="2906" spans="1:14" ht="19.5" hidden="1" thickBot="1" x14ac:dyDescent="0.3">
      <c r="A2906" s="735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6"/>
        <v>11,24</v>
      </c>
      <c r="L2906" s="293" t="s">
        <v>28</v>
      </c>
      <c r="M2906" s="293">
        <v>2400</v>
      </c>
      <c r="N2906" s="389">
        <v>0.66666666666666696</v>
      </c>
    </row>
    <row r="2907" spans="1:14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6"/>
        <v>11,24</v>
      </c>
      <c r="L2907" s="40" t="s">
        <v>265</v>
      </c>
      <c r="M2907" s="40">
        <v>17596.599999999999</v>
      </c>
      <c r="N2907" s="317">
        <v>0.375</v>
      </c>
    </row>
    <row r="2908" spans="1:14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6"/>
        <v>11,24</v>
      </c>
      <c r="L2908" s="75" t="s">
        <v>28</v>
      </c>
      <c r="M2908" s="75">
        <v>17123.28</v>
      </c>
      <c r="N2908" s="322">
        <v>0.41666666666666702</v>
      </c>
    </row>
    <row r="2909" spans="1:14" ht="19.5" hidden="1" thickBot="1" x14ac:dyDescent="0.3">
      <c r="A2909" s="731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6"/>
        <v>11,24</v>
      </c>
      <c r="L2909" s="82" t="s">
        <v>28</v>
      </c>
      <c r="M2909" s="82">
        <v>3578.4</v>
      </c>
      <c r="N2909" s="319">
        <v>0.45833333333333298</v>
      </c>
    </row>
    <row r="2910" spans="1:14" ht="19.5" hidden="1" thickBot="1" x14ac:dyDescent="0.3">
      <c r="A2910" s="731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6"/>
        <v>11,24</v>
      </c>
      <c r="L2910" s="98" t="s">
        <v>28</v>
      </c>
      <c r="M2910" s="98">
        <v>8965.02</v>
      </c>
      <c r="N2910" s="364">
        <v>0.45833333333333298</v>
      </c>
    </row>
    <row r="2911" spans="1:14" ht="19.5" hidden="1" thickBot="1" x14ac:dyDescent="0.3">
      <c r="A2911" s="731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6"/>
        <v>11,24</v>
      </c>
      <c r="L2911" s="90" t="s">
        <v>28</v>
      </c>
      <c r="M2911" s="90">
        <v>4912.37</v>
      </c>
      <c r="N2911" s="325">
        <v>0.45833333333333298</v>
      </c>
    </row>
    <row r="2912" spans="1:14" ht="19.5" hidden="1" thickBot="1" x14ac:dyDescent="0.3">
      <c r="A2912" s="732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6"/>
        <v>11,24</v>
      </c>
      <c r="L2912" s="48" t="s">
        <v>28</v>
      </c>
      <c r="M2912" s="48">
        <v>2439.3000000000002</v>
      </c>
      <c r="N2912" s="315">
        <v>0.5</v>
      </c>
    </row>
    <row r="2913" spans="1:14" ht="19.5" hidden="1" thickBot="1" x14ac:dyDescent="0.3">
      <c r="A2913" s="732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6"/>
        <v>11,24</v>
      </c>
      <c r="L2913" s="71" t="s">
        <v>28</v>
      </c>
      <c r="M2913" s="71">
        <v>14905.02</v>
      </c>
      <c r="N2913" s="323">
        <v>0.5</v>
      </c>
    </row>
    <row r="2914" spans="1:14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6"/>
        <v>11,24</v>
      </c>
      <c r="L2914" s="40" t="s">
        <v>266</v>
      </c>
      <c r="M2914" s="40">
        <v>18055.169999999998</v>
      </c>
      <c r="N2914" s="317">
        <v>0.5</v>
      </c>
    </row>
    <row r="2915" spans="1:14" ht="19.5" hidden="1" thickBot="1" x14ac:dyDescent="0.3">
      <c r="A2915" s="732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6"/>
        <v>11,24</v>
      </c>
      <c r="L2915" s="48" t="s">
        <v>28</v>
      </c>
      <c r="M2915" s="48">
        <v>8410.92</v>
      </c>
      <c r="N2915" s="315">
        <v>0.41666666666666702</v>
      </c>
    </row>
    <row r="2916" spans="1:14" ht="19.5" hidden="1" thickBot="1" x14ac:dyDescent="0.3">
      <c r="A2916" s="732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6"/>
        <v>11,24</v>
      </c>
      <c r="L2916" s="71" t="s">
        <v>28</v>
      </c>
      <c r="M2916" s="71">
        <v>3205.92</v>
      </c>
      <c r="N2916" s="323">
        <v>0.41666666666666702</v>
      </c>
    </row>
    <row r="2917" spans="1:14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6"/>
        <v>11,24</v>
      </c>
      <c r="L2917" s="40" t="s">
        <v>28</v>
      </c>
      <c r="M2917" s="40">
        <v>12403.6</v>
      </c>
      <c r="N2917" s="317">
        <v>0.45833333333333298</v>
      </c>
    </row>
    <row r="2918" spans="1:14" ht="19.5" hidden="1" thickBot="1" x14ac:dyDescent="0.3">
      <c r="A2918" s="735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6"/>
        <v>11,24</v>
      </c>
      <c r="L2918" s="48" t="s">
        <v>28</v>
      </c>
      <c r="M2918" s="48">
        <v>2464.8000000000002</v>
      </c>
      <c r="N2918" s="315">
        <v>0.5</v>
      </c>
    </row>
    <row r="2919" spans="1:14" ht="19.5" hidden="1" thickBot="1" x14ac:dyDescent="0.3">
      <c r="A2919" s="735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6"/>
        <v>11,24</v>
      </c>
      <c r="L2919" s="23" t="s">
        <v>28</v>
      </c>
      <c r="M2919" s="23">
        <v>7284.36</v>
      </c>
      <c r="N2919" s="329">
        <v>0.5</v>
      </c>
    </row>
    <row r="2920" spans="1:14" ht="19.5" hidden="1" thickBot="1" x14ac:dyDescent="0.3">
      <c r="A2920" s="735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6"/>
        <v>11,24</v>
      </c>
      <c r="L2920" s="293" t="s">
        <v>28</v>
      </c>
      <c r="M2920" s="293">
        <v>5255.4</v>
      </c>
      <c r="N2920" s="389">
        <v>0.5</v>
      </c>
    </row>
    <row r="2921" spans="1:14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6"/>
        <v>11,24</v>
      </c>
      <c r="L2921" s="40" t="s">
        <v>266</v>
      </c>
      <c r="M2921" s="40">
        <v>18126.22</v>
      </c>
      <c r="N2921" s="317">
        <v>0.41666666666666702</v>
      </c>
    </row>
    <row r="2922" spans="1:14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6"/>
        <v>11,24</v>
      </c>
      <c r="L2922" s="75" t="s">
        <v>266</v>
      </c>
      <c r="M2922" s="75">
        <v>18080.12</v>
      </c>
      <c r="N2922" s="322">
        <v>0.45833333333333298</v>
      </c>
    </row>
    <row r="2923" spans="1:14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6"/>
        <v>11,24</v>
      </c>
      <c r="L2923" s="40" t="s">
        <v>266</v>
      </c>
      <c r="M2923" s="40">
        <v>17902.32</v>
      </c>
      <c r="N2923" s="317">
        <v>0.5</v>
      </c>
    </row>
    <row r="2924" spans="1:14" ht="18.75" hidden="1" customHeight="1" thickBot="1" x14ac:dyDescent="0.3">
      <c r="A2924" s="732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737" t="s">
        <v>467</v>
      </c>
      <c r="H2924" s="48" t="s">
        <v>675</v>
      </c>
      <c r="I2924" s="163" t="s">
        <v>675</v>
      </c>
      <c r="J2924" s="52"/>
      <c r="K2924" s="48" t="str">
        <f t="shared" si="86"/>
        <v>11,24</v>
      </c>
      <c r="L2924" s="48" t="s">
        <v>266</v>
      </c>
      <c r="M2924" s="48">
        <v>3882.92</v>
      </c>
      <c r="N2924" s="315">
        <v>0.54166666666666696</v>
      </c>
    </row>
    <row r="2925" spans="1:14" ht="19.5" hidden="1" thickBot="1" x14ac:dyDescent="0.3">
      <c r="A2925" s="732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737"/>
      <c r="H2925" s="71" t="s">
        <v>675</v>
      </c>
      <c r="I2925" s="167" t="s">
        <v>675</v>
      </c>
      <c r="J2925" s="168"/>
      <c r="K2925" s="71" t="str">
        <f t="shared" si="86"/>
        <v>11,24</v>
      </c>
      <c r="L2925" s="71" t="s">
        <v>266</v>
      </c>
      <c r="M2925" s="71">
        <v>4960.4399999999996</v>
      </c>
      <c r="N2925" s="323">
        <v>0.54166666666666696</v>
      </c>
    </row>
    <row r="2926" spans="1:14" ht="19.5" hidden="1" thickBot="1" x14ac:dyDescent="0.3">
      <c r="A2926" s="73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6"/>
        <v>11,24</v>
      </c>
      <c r="L2926" s="82" t="s">
        <v>266</v>
      </c>
      <c r="M2926" s="82">
        <v>566.64</v>
      </c>
      <c r="N2926" s="319">
        <v>0.58333333333333304</v>
      </c>
    </row>
    <row r="2927" spans="1:14" ht="19.5" hidden="1" thickBot="1" x14ac:dyDescent="0.3">
      <c r="A2927" s="73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6"/>
        <v>11,24</v>
      </c>
      <c r="L2927" s="98" t="s">
        <v>266</v>
      </c>
      <c r="M2927" s="98">
        <v>9696.76</v>
      </c>
      <c r="N2927" s="364">
        <v>0.58333333333333304</v>
      </c>
    </row>
    <row r="2928" spans="1:14" ht="19.5" hidden="1" thickBot="1" x14ac:dyDescent="0.3">
      <c r="A2928" s="73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6"/>
        <v>11,24</v>
      </c>
      <c r="L2928" s="98" t="s">
        <v>266</v>
      </c>
      <c r="M2928" s="98">
        <v>6195.84</v>
      </c>
      <c r="N2928" s="364">
        <v>0.58333333333333304</v>
      </c>
    </row>
    <row r="2929" spans="1:14" ht="19.5" hidden="1" thickBot="1" x14ac:dyDescent="0.3">
      <c r="A2929" s="73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6"/>
        <v>11,24</v>
      </c>
      <c r="L2929" s="65" t="s">
        <v>266</v>
      </c>
      <c r="M2929" s="65">
        <v>1570.58</v>
      </c>
      <c r="N2929" s="434">
        <v>0.58333333333333304</v>
      </c>
    </row>
    <row r="2930" spans="1:14" ht="19.5" hidden="1" thickBot="1" x14ac:dyDescent="0.3">
      <c r="A2930" s="732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6"/>
        <v>11,24</v>
      </c>
      <c r="L2930" s="48" t="s">
        <v>265</v>
      </c>
      <c r="M2930" s="48">
        <v>11958.97</v>
      </c>
      <c r="N2930" s="315">
        <v>0.375</v>
      </c>
    </row>
    <row r="2931" spans="1:14" ht="19.5" hidden="1" thickBot="1" x14ac:dyDescent="0.3">
      <c r="A2931" s="732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6"/>
        <v>11,24</v>
      </c>
      <c r="L2931" s="71" t="s">
        <v>265</v>
      </c>
      <c r="M2931" s="71">
        <v>4703.7</v>
      </c>
      <c r="N2931" s="323">
        <v>0.375</v>
      </c>
    </row>
    <row r="2932" spans="1:14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6"/>
        <v>11,24</v>
      </c>
      <c r="L2932" s="40" t="s">
        <v>265</v>
      </c>
      <c r="M2932" s="40">
        <v>17510.98</v>
      </c>
      <c r="N2932" s="317">
        <v>0.375</v>
      </c>
    </row>
    <row r="2933" spans="1:14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6"/>
        <v>11,24</v>
      </c>
      <c r="L2933" s="158" t="s">
        <v>265</v>
      </c>
      <c r="M2933" s="158">
        <v>13135.12</v>
      </c>
      <c r="N2933" s="433">
        <v>0.375</v>
      </c>
    </row>
    <row r="2934" spans="1:14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6"/>
        <v>11,24</v>
      </c>
      <c r="L2934" s="40" t="s">
        <v>28</v>
      </c>
      <c r="M2934" s="40">
        <v>15330.4</v>
      </c>
      <c r="N2934" s="317">
        <v>0.41666666666666702</v>
      </c>
    </row>
    <row r="2935" spans="1:14" ht="18.75" hidden="1" customHeight="1" thickBot="1" x14ac:dyDescent="0.3">
      <c r="A2935" s="732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737" t="s">
        <v>72</v>
      </c>
      <c r="H2935" s="48" t="s">
        <v>679</v>
      </c>
      <c r="I2935" s="163" t="s">
        <v>679</v>
      </c>
      <c r="J2935" s="52"/>
      <c r="K2935" s="48" t="str">
        <f t="shared" si="86"/>
        <v>11,24</v>
      </c>
      <c r="L2935" s="48" t="s">
        <v>265</v>
      </c>
      <c r="M2935" s="48">
        <v>12102.84</v>
      </c>
      <c r="N2935" s="315">
        <v>0.33333333333333298</v>
      </c>
    </row>
    <row r="2936" spans="1:14" ht="19.5" hidden="1" thickBot="1" x14ac:dyDescent="0.3">
      <c r="A2936" s="732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737"/>
      <c r="H2936" s="71" t="s">
        <v>679</v>
      </c>
      <c r="I2936" s="167" t="s">
        <v>679</v>
      </c>
      <c r="J2936" s="168"/>
      <c r="K2936" s="71" t="str">
        <f t="shared" si="86"/>
        <v>11,24</v>
      </c>
      <c r="L2936" s="71" t="s">
        <v>265</v>
      </c>
      <c r="M2936" s="71">
        <v>2297.61</v>
      </c>
      <c r="N2936" s="323">
        <v>0.41666666666666702</v>
      </c>
    </row>
    <row r="2937" spans="1:14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6"/>
        <v>11,24</v>
      </c>
      <c r="L2937" s="40" t="s">
        <v>28</v>
      </c>
      <c r="M2937" s="40">
        <v>17830.59</v>
      </c>
      <c r="N2937" s="317">
        <v>0.45833333333333298</v>
      </c>
    </row>
    <row r="2938" spans="1:14" ht="19.5" hidden="1" thickBot="1" x14ac:dyDescent="0.3">
      <c r="A2938" s="732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6"/>
        <v>11,24</v>
      </c>
      <c r="L2938" s="48" t="s">
        <v>28</v>
      </c>
      <c r="M2938" s="48">
        <v>16700.060000000001</v>
      </c>
      <c r="N2938" s="315">
        <v>0.5</v>
      </c>
    </row>
    <row r="2939" spans="1:14" ht="19.5" hidden="1" thickBot="1" x14ac:dyDescent="0.3">
      <c r="A2939" s="732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8">RIGHT(I2939,5)</f>
        <v>11,24</v>
      </c>
      <c r="L2939" s="71" t="s">
        <v>28</v>
      </c>
      <c r="M2939" s="71">
        <v>1110</v>
      </c>
      <c r="N2939" s="323">
        <v>0.5</v>
      </c>
    </row>
    <row r="2940" spans="1:14" ht="19.5" hidden="1" thickBot="1" x14ac:dyDescent="0.3">
      <c r="A2940" s="731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8"/>
        <v>11,24</v>
      </c>
      <c r="L2940" s="82" t="s">
        <v>28</v>
      </c>
      <c r="M2940" s="82">
        <v>1835.16</v>
      </c>
      <c r="N2940" s="319">
        <v>0.54166666666666696</v>
      </c>
    </row>
    <row r="2941" spans="1:14" ht="19.5" hidden="1" thickBot="1" x14ac:dyDescent="0.3">
      <c r="A2941" s="731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8"/>
        <v>11,24</v>
      </c>
      <c r="L2941" s="98" t="s">
        <v>28</v>
      </c>
      <c r="M2941" s="98">
        <v>8538.1200000000008</v>
      </c>
      <c r="N2941" s="364">
        <v>0.54166666666666696</v>
      </c>
    </row>
    <row r="2942" spans="1:14" ht="19.5" hidden="1" thickBot="1" x14ac:dyDescent="0.3">
      <c r="A2942" s="731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8"/>
        <v>11,24</v>
      </c>
      <c r="L2942" s="90" t="s">
        <v>28</v>
      </c>
      <c r="M2942" s="90">
        <v>7442.96</v>
      </c>
      <c r="N2942" s="325">
        <v>0.54166666666666696</v>
      </c>
    </row>
    <row r="2943" spans="1:14" ht="19.5" hidden="1" thickBot="1" x14ac:dyDescent="0.3">
      <c r="A2943" s="735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8"/>
        <v>11,24</v>
      </c>
      <c r="L2943" s="48" t="s">
        <v>28</v>
      </c>
      <c r="M2943" s="48">
        <v>2744.75</v>
      </c>
      <c r="N2943" s="315">
        <v>0.58333333333333304</v>
      </c>
    </row>
    <row r="2944" spans="1:14" ht="19.5" hidden="1" thickBot="1" x14ac:dyDescent="0.3">
      <c r="A2944" s="735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8"/>
        <v>11,24</v>
      </c>
      <c r="L2944" s="293" t="s">
        <v>28</v>
      </c>
      <c r="M2944" s="293">
        <v>15049.56</v>
      </c>
      <c r="N2944" s="389">
        <v>0.58333333333333304</v>
      </c>
    </row>
    <row r="2945" spans="1:14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8"/>
        <v>11,24</v>
      </c>
      <c r="L2945" s="40" t="s">
        <v>266</v>
      </c>
      <c r="M2945" s="40">
        <v>16108.26</v>
      </c>
      <c r="N2945" s="317">
        <v>0.5</v>
      </c>
    </row>
    <row r="2946" spans="1:14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8"/>
        <v>11,24</v>
      </c>
      <c r="L2946" s="75" t="s">
        <v>265</v>
      </c>
      <c r="M2946" s="75">
        <v>17265.46</v>
      </c>
      <c r="N2946" s="322">
        <v>0.375</v>
      </c>
    </row>
    <row r="2947" spans="1:14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8"/>
        <v>11,24</v>
      </c>
      <c r="L2947" s="40" t="s">
        <v>266</v>
      </c>
      <c r="M2947" s="40">
        <v>17276.64</v>
      </c>
      <c r="N2947" s="317">
        <v>0.41666666666666702</v>
      </c>
    </row>
    <row r="2948" spans="1:14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8"/>
        <v>11,24</v>
      </c>
      <c r="L2948" s="75" t="s">
        <v>28</v>
      </c>
      <c r="M2948" s="75">
        <v>17130.07</v>
      </c>
      <c r="N2948" s="322">
        <v>0.45833333333333298</v>
      </c>
    </row>
    <row r="2949" spans="1:14" ht="19.5" hidden="1" thickBot="1" x14ac:dyDescent="0.3">
      <c r="A2949" s="731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8"/>
        <v>11,24</v>
      </c>
      <c r="L2949" s="82" t="s">
        <v>28</v>
      </c>
      <c r="M2949" s="82">
        <v>3086.53</v>
      </c>
      <c r="N2949" s="319">
        <v>0.5</v>
      </c>
    </row>
    <row r="2950" spans="1:14" ht="19.5" hidden="1" thickBot="1" x14ac:dyDescent="0.3">
      <c r="A2950" s="731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8"/>
        <v>11,24</v>
      </c>
      <c r="L2950" s="98" t="s">
        <v>28</v>
      </c>
      <c r="M2950" s="98">
        <v>3156.42</v>
      </c>
      <c r="N2950" s="364">
        <v>0.5</v>
      </c>
    </row>
    <row r="2951" spans="1:14" ht="19.5" hidden="1" thickBot="1" x14ac:dyDescent="0.3">
      <c r="A2951" s="731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8"/>
        <v>11,24</v>
      </c>
      <c r="L2951" s="98" t="s">
        <v>28</v>
      </c>
      <c r="M2951" s="98">
        <v>7512.76</v>
      </c>
      <c r="N2951" s="364">
        <v>0.5</v>
      </c>
    </row>
    <row r="2952" spans="1:14" ht="19.5" hidden="1" thickBot="1" x14ac:dyDescent="0.3">
      <c r="A2952" s="731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8"/>
        <v>11,24</v>
      </c>
      <c r="L2952" s="90" t="s">
        <v>28</v>
      </c>
      <c r="M2952" s="90">
        <v>4037.86</v>
      </c>
      <c r="N2952" s="325">
        <v>0.5</v>
      </c>
    </row>
    <row r="2953" spans="1:14" ht="19.5" hidden="1" thickBot="1" x14ac:dyDescent="0.3">
      <c r="A2953" s="735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8"/>
        <v>11,24</v>
      </c>
      <c r="L2953" s="48" t="s">
        <v>28</v>
      </c>
      <c r="M2953" s="48">
        <v>1110</v>
      </c>
      <c r="N2953" s="315">
        <v>0.54166666666666696</v>
      </c>
    </row>
    <row r="2954" spans="1:14" ht="19.5" hidden="1" thickBot="1" x14ac:dyDescent="0.3">
      <c r="A2954" s="735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8"/>
        <v>11,24</v>
      </c>
      <c r="L2954" s="293" t="s">
        <v>28</v>
      </c>
      <c r="M2954" s="293">
        <v>15910.56</v>
      </c>
      <c r="N2954" s="389">
        <v>0.54166666666666696</v>
      </c>
    </row>
    <row r="2955" spans="1:14" ht="19.5" hidden="1" thickBot="1" x14ac:dyDescent="0.3">
      <c r="A2955" s="731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8"/>
        <v>11,24</v>
      </c>
      <c r="L2955" s="82" t="s">
        <v>28</v>
      </c>
      <c r="M2955" s="82">
        <v>7221.92</v>
      </c>
      <c r="N2955" s="319">
        <v>0.41666666666666702</v>
      </c>
    </row>
    <row r="2956" spans="1:14" ht="19.5" hidden="1" thickBot="1" x14ac:dyDescent="0.3">
      <c r="A2956" s="731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8"/>
        <v>11,24</v>
      </c>
      <c r="L2956" s="107" t="s">
        <v>28</v>
      </c>
      <c r="M2956" s="107">
        <v>5490.6</v>
      </c>
      <c r="N2956" s="321">
        <v>0.41666666666666702</v>
      </c>
    </row>
    <row r="2957" spans="1:14" ht="19.5" hidden="1" thickBot="1" x14ac:dyDescent="0.3">
      <c r="A2957" s="111">
        <f t="shared" ref="A2957:A2966" si="89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8"/>
        <v>11,24</v>
      </c>
      <c r="L2957" s="75" t="s">
        <v>28</v>
      </c>
      <c r="M2957" s="75">
        <v>9659.7999999999993</v>
      </c>
      <c r="N2957" s="322">
        <v>0.45833333333333298</v>
      </c>
    </row>
    <row r="2958" spans="1:14" ht="19.5" hidden="1" thickBot="1" x14ac:dyDescent="0.3">
      <c r="A2958" s="110">
        <f t="shared" si="89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8"/>
        <v>11,24</v>
      </c>
      <c r="L2958" s="40" t="s">
        <v>28</v>
      </c>
      <c r="M2958" s="40">
        <v>11372.08</v>
      </c>
      <c r="N2958" s="317">
        <v>0.5</v>
      </c>
    </row>
    <row r="2959" spans="1:14" ht="19.5" hidden="1" thickBot="1" x14ac:dyDescent="0.3">
      <c r="A2959" s="111">
        <f t="shared" si="89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8"/>
        <v>11,24</v>
      </c>
      <c r="L2959" s="75" t="s">
        <v>266</v>
      </c>
      <c r="M2959" s="75">
        <v>4921.5600000000004</v>
      </c>
      <c r="N2959" s="322">
        <v>0.54166666666666696</v>
      </c>
    </row>
    <row r="2960" spans="1:14" ht="19.5" hidden="1" thickBot="1" x14ac:dyDescent="0.3">
      <c r="A2960" s="110">
        <f t="shared" si="89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8"/>
        <v>11,24</v>
      </c>
      <c r="L2960" s="40" t="s">
        <v>265</v>
      </c>
      <c r="M2960" s="40">
        <v>17281.330000000002</v>
      </c>
      <c r="N2960" s="317">
        <v>0.375</v>
      </c>
    </row>
    <row r="2961" spans="1:14" ht="19.5" hidden="1" thickBot="1" x14ac:dyDescent="0.3">
      <c r="A2961" s="111">
        <f t="shared" si="89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8"/>
        <v>11,24</v>
      </c>
      <c r="L2961" s="75" t="s">
        <v>266</v>
      </c>
      <c r="M2961" s="75">
        <v>15179.72</v>
      </c>
      <c r="N2961" s="322">
        <v>0.5</v>
      </c>
    </row>
    <row r="2962" spans="1:14" ht="19.5" hidden="1" thickBot="1" x14ac:dyDescent="0.3">
      <c r="A2962" s="149">
        <f t="shared" si="89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8"/>
        <v>11,24</v>
      </c>
      <c r="L2962" s="122" t="s">
        <v>265</v>
      </c>
      <c r="M2962" s="122">
        <v>7020</v>
      </c>
      <c r="N2962" s="365">
        <v>0.375</v>
      </c>
    </row>
    <row r="2963" spans="1:14" ht="19.5" hidden="1" thickBot="1" x14ac:dyDescent="0.3">
      <c r="A2963" s="111">
        <f t="shared" si="89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8"/>
        <v>11,24</v>
      </c>
      <c r="L2963" s="75" t="s">
        <v>266</v>
      </c>
      <c r="M2963" s="75">
        <v>18028.080000000002</v>
      </c>
      <c r="N2963" s="322">
        <v>0.41666666666666702</v>
      </c>
    </row>
    <row r="2964" spans="1:14" ht="19.5" hidden="1" thickBot="1" x14ac:dyDescent="0.3">
      <c r="A2964" s="110">
        <f t="shared" si="89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8"/>
        <v>11,24</v>
      </c>
      <c r="L2964" s="40" t="s">
        <v>266</v>
      </c>
      <c r="M2964" s="40">
        <v>18052.38</v>
      </c>
      <c r="N2964" s="317">
        <v>0.45833333333333298</v>
      </c>
    </row>
    <row r="2965" spans="1:14" ht="19.5" hidden="1" thickBot="1" x14ac:dyDescent="0.3">
      <c r="A2965" s="111">
        <f t="shared" si="89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8"/>
        <v>11,24</v>
      </c>
      <c r="L2965" s="75" t="s">
        <v>266</v>
      </c>
      <c r="M2965" s="75">
        <v>18234.599999999999</v>
      </c>
      <c r="N2965" s="322">
        <v>0.5</v>
      </c>
    </row>
    <row r="2966" spans="1:14" ht="19.5" hidden="1" thickBot="1" x14ac:dyDescent="0.3">
      <c r="A2966" s="733">
        <f t="shared" si="89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8"/>
        <v>11,24</v>
      </c>
      <c r="L2966" s="82" t="s">
        <v>266</v>
      </c>
      <c r="M2966" s="82">
        <v>3295.45</v>
      </c>
      <c r="N2966" s="319">
        <v>0.54166666666666696</v>
      </c>
    </row>
    <row r="2967" spans="1:14" ht="19.5" hidden="1" thickBot="1" x14ac:dyDescent="0.3">
      <c r="A2967" s="73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8"/>
        <v>11,24</v>
      </c>
      <c r="L2967" s="98" t="s">
        <v>266</v>
      </c>
      <c r="M2967" s="98">
        <v>4642.4399999999996</v>
      </c>
      <c r="N2967" s="364">
        <v>0.54166666666666696</v>
      </c>
    </row>
    <row r="2968" spans="1:14" ht="19.5" hidden="1" thickBot="1" x14ac:dyDescent="0.3">
      <c r="A2968" s="73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8"/>
        <v>11,24</v>
      </c>
      <c r="L2968" s="98" t="s">
        <v>266</v>
      </c>
      <c r="M2968" s="98">
        <v>1506.6</v>
      </c>
      <c r="N2968" s="364">
        <v>0.54166666666666696</v>
      </c>
    </row>
    <row r="2969" spans="1:14" ht="19.5" hidden="1" thickBot="1" x14ac:dyDescent="0.3">
      <c r="A2969" s="73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8"/>
        <v>11,24</v>
      </c>
      <c r="L2969" s="98" t="s">
        <v>266</v>
      </c>
      <c r="M2969" s="98">
        <v>3233.7</v>
      </c>
      <c r="N2969" s="364">
        <v>0.54166666666666696</v>
      </c>
    </row>
    <row r="2970" spans="1:14" ht="19.5" hidden="1" thickBot="1" x14ac:dyDescent="0.3">
      <c r="A2970" s="73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8"/>
        <v>11,24</v>
      </c>
      <c r="L2970" s="65" t="s">
        <v>266</v>
      </c>
      <c r="M2970" s="65">
        <v>3777.48</v>
      </c>
      <c r="N2970" s="434">
        <v>0.54166666666666696</v>
      </c>
    </row>
    <row r="2971" spans="1:14" ht="19.5" hidden="1" thickBot="1" x14ac:dyDescent="0.3">
      <c r="A2971" s="732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8"/>
        <v>11,24</v>
      </c>
      <c r="L2971" s="48" t="s">
        <v>265</v>
      </c>
      <c r="M2971" s="48">
        <v>10974.88</v>
      </c>
      <c r="N2971" s="315">
        <v>0.375</v>
      </c>
    </row>
    <row r="2972" spans="1:14" ht="19.5" hidden="1" thickBot="1" x14ac:dyDescent="0.3">
      <c r="A2972" s="732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8"/>
        <v>11,24</v>
      </c>
      <c r="L2972" s="71" t="s">
        <v>265</v>
      </c>
      <c r="M2972" s="71">
        <v>5421.1</v>
      </c>
      <c r="N2972" s="323">
        <v>0.375</v>
      </c>
    </row>
    <row r="2973" spans="1:14" ht="19.5" hidden="1" thickBot="1" x14ac:dyDescent="0.3">
      <c r="A2973" s="110">
        <f t="shared" ref="A2973:A2978" si="90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8"/>
        <v>11,24</v>
      </c>
      <c r="L2973" s="40" t="s">
        <v>265</v>
      </c>
      <c r="M2973" s="40">
        <v>17200.14</v>
      </c>
      <c r="N2973" s="317">
        <v>0.375</v>
      </c>
    </row>
    <row r="2974" spans="1:14" ht="19.5" hidden="1" thickBot="1" x14ac:dyDescent="0.3">
      <c r="A2974" s="153">
        <f t="shared" si="90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8"/>
        <v>11,24</v>
      </c>
      <c r="L2974" s="158" t="s">
        <v>265</v>
      </c>
      <c r="M2974" s="158">
        <v>13314.04</v>
      </c>
      <c r="N2974" s="433">
        <v>0.375</v>
      </c>
    </row>
    <row r="2975" spans="1:14" ht="19.5" hidden="1" thickBot="1" x14ac:dyDescent="0.3">
      <c r="A2975" s="110">
        <f t="shared" si="90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8"/>
        <v>11,24</v>
      </c>
      <c r="L2975" s="40" t="s">
        <v>28</v>
      </c>
      <c r="M2975" s="40">
        <v>14887.84</v>
      </c>
      <c r="N2975" s="317">
        <v>0.41666666666666702</v>
      </c>
    </row>
    <row r="2976" spans="1:14" ht="38.25" hidden="1" thickBot="1" x14ac:dyDescent="0.3">
      <c r="A2976" s="111">
        <f t="shared" si="90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8"/>
        <v>12,24</v>
      </c>
      <c r="L2976" s="75" t="s">
        <v>266</v>
      </c>
      <c r="M2976" s="75">
        <v>17100</v>
      </c>
      <c r="N2976" s="322">
        <v>0.45833333333333298</v>
      </c>
    </row>
    <row r="2977" spans="1:14" ht="19.5" hidden="1" thickBot="1" x14ac:dyDescent="0.3">
      <c r="A2977" s="110">
        <f t="shared" si="90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8"/>
        <v>11,24</v>
      </c>
      <c r="L2977" s="40" t="s">
        <v>28</v>
      </c>
      <c r="M2977" s="40">
        <v>17215.59</v>
      </c>
      <c r="N2977" s="317">
        <v>0.5</v>
      </c>
    </row>
    <row r="2978" spans="1:14" ht="19.5" hidden="1" thickBot="1" x14ac:dyDescent="0.3">
      <c r="A2978" s="732">
        <f t="shared" si="90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8"/>
        <v>11,24</v>
      </c>
      <c r="L2978" s="48" t="s">
        <v>28</v>
      </c>
      <c r="M2978" s="48">
        <v>8228.76</v>
      </c>
      <c r="N2978" s="315">
        <v>0.54166666666666696</v>
      </c>
    </row>
    <row r="2979" spans="1:14" ht="19.5" hidden="1" thickBot="1" x14ac:dyDescent="0.3">
      <c r="A2979" s="732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8"/>
        <v>11,24</v>
      </c>
      <c r="L2979" s="71" t="s">
        <v>28</v>
      </c>
      <c r="M2979" s="71">
        <v>8995.64</v>
      </c>
      <c r="N2979" s="323">
        <v>0.54166666666666696</v>
      </c>
    </row>
    <row r="2980" spans="1:14" ht="19.5" hidden="1" thickBot="1" x14ac:dyDescent="0.3">
      <c r="A2980" s="731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8"/>
        <v>12,24</v>
      </c>
      <c r="L2980" s="82" t="s">
        <v>28</v>
      </c>
      <c r="M2980" s="82">
        <v>5261.69</v>
      </c>
      <c r="N2980" s="319">
        <v>0.58333333333333304</v>
      </c>
    </row>
    <row r="2981" spans="1:14" ht="19.5" hidden="1" thickBot="1" x14ac:dyDescent="0.3">
      <c r="A2981" s="731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8"/>
        <v>12,24</v>
      </c>
      <c r="L2981" s="98" t="s">
        <v>28</v>
      </c>
      <c r="M2981" s="98">
        <v>5372.28</v>
      </c>
      <c r="N2981" s="364">
        <v>0.58333333333333304</v>
      </c>
    </row>
    <row r="2982" spans="1:14" ht="19.5" hidden="1" thickBot="1" x14ac:dyDescent="0.3">
      <c r="A2982" s="731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8"/>
        <v>12,24</v>
      </c>
      <c r="L2982" s="90" t="s">
        <v>28</v>
      </c>
      <c r="M2982" s="90">
        <v>6702.54</v>
      </c>
      <c r="N2982" s="325">
        <v>0.58333333333333304</v>
      </c>
    </row>
    <row r="2983" spans="1:14" ht="18.75" hidden="1" customHeight="1" thickBot="1" x14ac:dyDescent="0.3">
      <c r="A2983" s="735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737" t="s">
        <v>72</v>
      </c>
      <c r="H2983" s="48" t="s">
        <v>687</v>
      </c>
      <c r="I2983" s="163" t="s">
        <v>688</v>
      </c>
      <c r="J2983" s="52"/>
      <c r="K2983" s="48" t="str">
        <f t="shared" si="88"/>
        <v>12,24</v>
      </c>
      <c r="L2983" s="48" t="s">
        <v>265</v>
      </c>
      <c r="M2983" s="48">
        <v>8965.64</v>
      </c>
      <c r="N2983" s="315">
        <v>0.33333333333333298</v>
      </c>
    </row>
    <row r="2984" spans="1:14" ht="19.5" hidden="1" thickBot="1" x14ac:dyDescent="0.3">
      <c r="A2984" s="735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737"/>
      <c r="H2984" s="293" t="s">
        <v>687</v>
      </c>
      <c r="I2984" s="388" t="s">
        <v>689</v>
      </c>
      <c r="J2984" s="296"/>
      <c r="K2984" s="293" t="str">
        <f t="shared" si="88"/>
        <v>12,24</v>
      </c>
      <c r="L2984" s="293" t="s">
        <v>265</v>
      </c>
      <c r="M2984" s="293">
        <v>2535.52</v>
      </c>
      <c r="N2984" s="389">
        <v>0.41666666666666702</v>
      </c>
    </row>
    <row r="2985" spans="1:14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8"/>
        <v>12,24</v>
      </c>
      <c r="L2985" s="40" t="s">
        <v>265</v>
      </c>
      <c r="M2985" s="40">
        <v>17331.080000000002</v>
      </c>
      <c r="N2985" s="317">
        <v>0.375</v>
      </c>
    </row>
    <row r="2986" spans="1:14" ht="19.5" hidden="1" thickBot="1" x14ac:dyDescent="0.3">
      <c r="A2986" s="732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8"/>
        <v>12,24</v>
      </c>
      <c r="L2986" s="48" t="s">
        <v>28</v>
      </c>
      <c r="M2986" s="48">
        <v>4221.33</v>
      </c>
      <c r="N2986" s="315">
        <v>0.41666666666666702</v>
      </c>
    </row>
    <row r="2987" spans="1:14" ht="19.5" hidden="1" thickBot="1" x14ac:dyDescent="0.3">
      <c r="A2987" s="732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8"/>
        <v>12,24</v>
      </c>
      <c r="L2987" s="71" t="s">
        <v>28</v>
      </c>
      <c r="M2987" s="71">
        <v>13417.14</v>
      </c>
      <c r="N2987" s="323">
        <v>0.41666666666666702</v>
      </c>
    </row>
    <row r="2988" spans="1:14" ht="19.5" hidden="1" thickBot="1" x14ac:dyDescent="0.3">
      <c r="A2988" s="731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8"/>
        <v>12,24</v>
      </c>
      <c r="L2988" s="82" t="s">
        <v>28</v>
      </c>
      <c r="M2988" s="82">
        <v>6940.4</v>
      </c>
      <c r="N2988" s="319">
        <v>0.45833333333333298</v>
      </c>
    </row>
    <row r="2989" spans="1:14" ht="19.5" hidden="1" thickBot="1" x14ac:dyDescent="0.3">
      <c r="A2989" s="731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8"/>
        <v>12,24</v>
      </c>
      <c r="L2989" s="90" t="s">
        <v>28</v>
      </c>
      <c r="M2989" s="90">
        <v>10303.44</v>
      </c>
      <c r="N2989" s="325">
        <v>0.45833333333333298</v>
      </c>
    </row>
    <row r="2990" spans="1:14" ht="19.5" hidden="1" thickBot="1" x14ac:dyDescent="0.3">
      <c r="A2990" s="732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8"/>
        <v>12,24</v>
      </c>
      <c r="L2990" s="48" t="s">
        <v>28</v>
      </c>
      <c r="M2990" s="48">
        <v>1438.72</v>
      </c>
      <c r="N2990" s="315">
        <v>0.5</v>
      </c>
    </row>
    <row r="2991" spans="1:14" ht="19.5" hidden="1" thickBot="1" x14ac:dyDescent="0.3">
      <c r="A2991" s="732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8"/>
        <v>12,24</v>
      </c>
      <c r="L2991" s="23" t="s">
        <v>28</v>
      </c>
      <c r="M2991" s="23">
        <v>13234.81</v>
      </c>
      <c r="N2991" s="329">
        <v>0.5</v>
      </c>
    </row>
    <row r="2992" spans="1:14" ht="19.5" hidden="1" thickBot="1" x14ac:dyDescent="0.3">
      <c r="A2992" s="732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8"/>
        <v>12,24</v>
      </c>
      <c r="L2992" s="71" t="s">
        <v>28</v>
      </c>
      <c r="M2992" s="71">
        <v>2566.8000000000002</v>
      </c>
      <c r="N2992" s="323">
        <v>0.5</v>
      </c>
    </row>
    <row r="2993" spans="1:14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8"/>
        <v>12,24</v>
      </c>
      <c r="L2993" s="40" t="s">
        <v>28</v>
      </c>
      <c r="M2993" s="40">
        <v>10007.799999999999</v>
      </c>
      <c r="N2993" s="317">
        <v>0.375</v>
      </c>
    </row>
    <row r="2994" spans="1:14" ht="19.5" hidden="1" thickBot="1" x14ac:dyDescent="0.3">
      <c r="A2994" s="735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8"/>
        <v>12,24</v>
      </c>
      <c r="L2994" s="48" t="s">
        <v>28</v>
      </c>
      <c r="M2994" s="48">
        <v>1960.84</v>
      </c>
      <c r="N2994" s="315">
        <v>0.41666666666666702</v>
      </c>
    </row>
    <row r="2995" spans="1:14" ht="19.5" hidden="1" thickBot="1" x14ac:dyDescent="0.3">
      <c r="A2995" s="735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8"/>
        <v>12,24</v>
      </c>
      <c r="L2995" s="23" t="s">
        <v>28</v>
      </c>
      <c r="M2995" s="23">
        <v>3125.4</v>
      </c>
      <c r="N2995" s="329">
        <v>0.41666666666666702</v>
      </c>
    </row>
    <row r="2996" spans="1:14" ht="19.5" hidden="1" thickBot="1" x14ac:dyDescent="0.3">
      <c r="A2996" s="735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8"/>
        <v>12,24</v>
      </c>
      <c r="L2996" s="293" t="s">
        <v>28</v>
      </c>
      <c r="M2996" s="293">
        <v>5145.84</v>
      </c>
      <c r="N2996" s="389">
        <v>0.41666666666666702</v>
      </c>
    </row>
    <row r="2997" spans="1:14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8"/>
        <v>12,24</v>
      </c>
      <c r="L2997" s="40" t="s">
        <v>266</v>
      </c>
      <c r="M2997" s="40">
        <v>18042.3</v>
      </c>
      <c r="N2997" s="317">
        <v>0.41666666666666702</v>
      </c>
    </row>
    <row r="2998" spans="1:14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8"/>
        <v>12,24</v>
      </c>
      <c r="L2998" s="75" t="s">
        <v>266</v>
      </c>
      <c r="M2998" s="75">
        <v>18082.98</v>
      </c>
      <c r="N2998" s="322">
        <v>0.45833333333333298</v>
      </c>
    </row>
    <row r="2999" spans="1:14" ht="19.5" hidden="1" thickBot="1" x14ac:dyDescent="0.3">
      <c r="A2999" s="73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8"/>
        <v>12,24</v>
      </c>
      <c r="L2999" s="82" t="s">
        <v>266</v>
      </c>
      <c r="M2999" s="82">
        <v>896.49</v>
      </c>
      <c r="N2999" s="319">
        <v>0.5</v>
      </c>
    </row>
    <row r="3000" spans="1:14" ht="19.5" hidden="1" thickBot="1" x14ac:dyDescent="0.3">
      <c r="A3000" s="73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8"/>
        <v>12,24</v>
      </c>
      <c r="L3000" s="98" t="s">
        <v>266</v>
      </c>
      <c r="M3000" s="98">
        <v>4542.96</v>
      </c>
      <c r="N3000" s="364">
        <v>0.5</v>
      </c>
    </row>
    <row r="3001" spans="1:14" ht="19.5" hidden="1" thickBot="1" x14ac:dyDescent="0.3">
      <c r="A3001" s="73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8"/>
        <v>12,24</v>
      </c>
      <c r="L3001" s="98" t="s">
        <v>266</v>
      </c>
      <c r="M3001" s="98">
        <v>665.92</v>
      </c>
      <c r="N3001" s="364">
        <v>0.5</v>
      </c>
    </row>
    <row r="3002" spans="1:14" ht="19.5" hidden="1" thickBot="1" x14ac:dyDescent="0.3">
      <c r="A3002" s="73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8"/>
        <v>12,24</v>
      </c>
      <c r="L3002" s="98" t="s">
        <v>266</v>
      </c>
      <c r="M3002" s="98">
        <v>4480.9799999999996</v>
      </c>
      <c r="N3002" s="364">
        <v>0.5</v>
      </c>
    </row>
    <row r="3003" spans="1:14" ht="19.5" hidden="1" thickBot="1" x14ac:dyDescent="0.3">
      <c r="A3003" s="73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1">RIGHT(I3003,5)</f>
        <v>12,24</v>
      </c>
      <c r="L3003" s="98" t="s">
        <v>266</v>
      </c>
      <c r="M3003" s="98">
        <v>5946.37</v>
      </c>
      <c r="N3003" s="364">
        <v>0.5</v>
      </c>
    </row>
    <row r="3004" spans="1:14" ht="19.5" hidden="1" thickBot="1" x14ac:dyDescent="0.3">
      <c r="A3004" s="73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1"/>
        <v>12,24</v>
      </c>
      <c r="L3004" s="65" t="s">
        <v>266</v>
      </c>
      <c r="M3004" s="65">
        <v>1006.2</v>
      </c>
      <c r="N3004" s="434">
        <v>0.5</v>
      </c>
    </row>
    <row r="3005" spans="1:14" ht="19.5" hidden="1" thickBot="1" x14ac:dyDescent="0.3">
      <c r="A3005" s="732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1"/>
        <v>12,24</v>
      </c>
      <c r="L3005" s="48" t="s">
        <v>265</v>
      </c>
      <c r="M3005" s="48">
        <v>10619.22</v>
      </c>
      <c r="N3005" s="315">
        <v>0.375</v>
      </c>
    </row>
    <row r="3006" spans="1:14" ht="19.5" hidden="1" thickBot="1" x14ac:dyDescent="0.3">
      <c r="A3006" s="732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1"/>
        <v>12,24</v>
      </c>
      <c r="L3006" s="71" t="s">
        <v>265</v>
      </c>
      <c r="M3006" s="71">
        <v>6404.8</v>
      </c>
      <c r="N3006" s="323">
        <v>0.375</v>
      </c>
    </row>
    <row r="3007" spans="1:14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1"/>
        <v>12,24</v>
      </c>
      <c r="L3007" s="40" t="s">
        <v>265</v>
      </c>
      <c r="M3007" s="40">
        <v>17239.98</v>
      </c>
      <c r="N3007" s="317">
        <v>0.375</v>
      </c>
    </row>
    <row r="3008" spans="1:14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1"/>
        <v>12,24</v>
      </c>
      <c r="L3008" s="158" t="s">
        <v>265</v>
      </c>
      <c r="M3008" s="158">
        <v>11557.6</v>
      </c>
      <c r="N3008" s="433">
        <v>0.375</v>
      </c>
    </row>
    <row r="3009" spans="1:14" ht="19.5" hidden="1" thickBot="1" x14ac:dyDescent="0.3">
      <c r="A3009" s="731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1"/>
        <v>12,24</v>
      </c>
      <c r="L3009" s="82" t="s">
        <v>28</v>
      </c>
      <c r="M3009" s="82">
        <v>2754.36</v>
      </c>
      <c r="N3009" s="319">
        <v>0.41666666666666702</v>
      </c>
    </row>
    <row r="3010" spans="1:14" ht="19.5" hidden="1" thickBot="1" x14ac:dyDescent="0.3">
      <c r="A3010" s="731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1"/>
        <v>12,24</v>
      </c>
      <c r="L3010" s="98" t="s">
        <v>28</v>
      </c>
      <c r="M3010" s="98">
        <v>11459.04</v>
      </c>
      <c r="N3010" s="364">
        <v>0.41666666666666702</v>
      </c>
    </row>
    <row r="3011" spans="1:14" ht="57" hidden="1" thickBot="1" x14ac:dyDescent="0.3">
      <c r="A3011" s="731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1"/>
        <v>12,24</v>
      </c>
      <c r="L3011" s="90" t="s">
        <v>28</v>
      </c>
      <c r="M3011" s="90">
        <v>1164.5999999999999</v>
      </c>
      <c r="N3011" s="325">
        <v>0.41666666666666702</v>
      </c>
    </row>
    <row r="3012" spans="1:14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1"/>
        <v>12,24</v>
      </c>
      <c r="L3012" s="75" t="s">
        <v>28</v>
      </c>
      <c r="M3012" s="75">
        <v>17270.349999999999</v>
      </c>
      <c r="N3012" s="322">
        <v>0.45833333333333298</v>
      </c>
    </row>
    <row r="3013" spans="1:14" ht="19.5" hidden="1" thickBot="1" x14ac:dyDescent="0.3">
      <c r="A3013" s="731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1"/>
        <v>12,24</v>
      </c>
      <c r="L3013" s="82" t="s">
        <v>28</v>
      </c>
      <c r="M3013" s="82">
        <v>3750</v>
      </c>
      <c r="N3013" s="319">
        <v>0.5</v>
      </c>
    </row>
    <row r="3014" spans="1:14" ht="19.5" hidden="1" thickBot="1" x14ac:dyDescent="0.3">
      <c r="A3014" s="731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1"/>
        <v>12,24</v>
      </c>
      <c r="L3014" s="90" t="s">
        <v>28</v>
      </c>
      <c r="M3014" s="90">
        <v>13490.91</v>
      </c>
      <c r="N3014" s="325">
        <v>0.5</v>
      </c>
    </row>
    <row r="3015" spans="1:14" ht="19.5" hidden="1" thickBot="1" x14ac:dyDescent="0.3">
      <c r="A3015" s="732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1"/>
        <v>12,24</v>
      </c>
      <c r="L3015" s="48" t="s">
        <v>28</v>
      </c>
      <c r="M3015" s="48">
        <v>4907.67</v>
      </c>
      <c r="N3015" s="315">
        <v>0.54166666666666696</v>
      </c>
    </row>
    <row r="3016" spans="1:14" ht="19.5" hidden="1" thickBot="1" x14ac:dyDescent="0.3">
      <c r="A3016" s="732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1"/>
        <v>12,24</v>
      </c>
      <c r="L3016" s="23" t="s">
        <v>28</v>
      </c>
      <c r="M3016" s="23">
        <v>5901.36</v>
      </c>
      <c r="N3016" s="329">
        <v>0.54166666666666696</v>
      </c>
    </row>
    <row r="3017" spans="1:14" ht="19.5" hidden="1" thickBot="1" x14ac:dyDescent="0.3">
      <c r="A3017" s="732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1"/>
        <v>12,24</v>
      </c>
      <c r="L3017" s="71" t="s">
        <v>28</v>
      </c>
      <c r="M3017" s="71">
        <v>6627.72</v>
      </c>
      <c r="N3017" s="323">
        <v>0.54166666666666696</v>
      </c>
    </row>
    <row r="3018" spans="1:14" ht="18.75" hidden="1" customHeight="1" thickBot="1" x14ac:dyDescent="0.3">
      <c r="A3018" s="73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734" t="s">
        <v>72</v>
      </c>
      <c r="H3018" s="122" t="s">
        <v>693</v>
      </c>
      <c r="I3018" s="147" t="s">
        <v>695</v>
      </c>
      <c r="J3018" s="86"/>
      <c r="K3018" s="122" t="str">
        <f t="shared" si="91"/>
        <v>12,24</v>
      </c>
      <c r="L3018" s="82" t="s">
        <v>265</v>
      </c>
      <c r="M3018" s="82">
        <v>7465.52</v>
      </c>
      <c r="N3018" s="319">
        <v>0.33333333333333298</v>
      </c>
    </row>
    <row r="3019" spans="1:14" ht="19.5" hidden="1" thickBot="1" x14ac:dyDescent="0.3">
      <c r="A3019" s="73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734"/>
      <c r="H3019" s="109" t="s">
        <v>693</v>
      </c>
      <c r="I3019" s="174" t="s">
        <v>695</v>
      </c>
      <c r="J3019" s="102" t="s">
        <v>76</v>
      </c>
      <c r="K3019" s="109" t="str">
        <f t="shared" si="91"/>
        <v>12,24</v>
      </c>
      <c r="L3019" s="109" t="s">
        <v>265</v>
      </c>
      <c r="M3019" s="109">
        <v>34.5</v>
      </c>
      <c r="N3019" s="320">
        <v>0.33333333333333298</v>
      </c>
    </row>
    <row r="3020" spans="1:14" ht="19.5" hidden="1" thickBot="1" x14ac:dyDescent="0.3">
      <c r="A3020" s="73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734"/>
      <c r="H3020" s="129" t="s">
        <v>693</v>
      </c>
      <c r="I3020" s="456" t="s">
        <v>695</v>
      </c>
      <c r="J3020" s="132"/>
      <c r="K3020" s="129" t="str">
        <f t="shared" si="91"/>
        <v>12,24</v>
      </c>
      <c r="L3020" s="129" t="s">
        <v>265</v>
      </c>
      <c r="M3020" s="129">
        <v>5187.78</v>
      </c>
      <c r="N3020" s="327">
        <v>0.41666666666666702</v>
      </c>
    </row>
    <row r="3021" spans="1:14" ht="19.5" hidden="1" thickBot="1" x14ac:dyDescent="0.3">
      <c r="A3021" s="111">
        <f t="shared" ref="A3021:A3027" si="92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1"/>
        <v>12,24</v>
      </c>
      <c r="L3021" s="75" t="s">
        <v>265</v>
      </c>
      <c r="M3021" s="75">
        <v>17200.5</v>
      </c>
      <c r="N3021" s="322">
        <v>0.375</v>
      </c>
    </row>
    <row r="3022" spans="1:14" ht="38.25" hidden="1" thickBot="1" x14ac:dyDescent="0.3">
      <c r="A3022" s="110">
        <f t="shared" si="92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1"/>
        <v>12,24</v>
      </c>
      <c r="L3022" s="40" t="s">
        <v>266</v>
      </c>
      <c r="M3022" s="40">
        <v>16517.88</v>
      </c>
      <c r="N3022" s="317">
        <v>0.45833333333333298</v>
      </c>
    </row>
    <row r="3023" spans="1:14" ht="19.5" hidden="1" thickBot="1" x14ac:dyDescent="0.3">
      <c r="A3023" s="111">
        <f t="shared" si="92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1"/>
        <v>12,24</v>
      </c>
      <c r="L3023" s="75" t="s">
        <v>265</v>
      </c>
      <c r="M3023" s="75">
        <v>17218.650000000001</v>
      </c>
      <c r="N3023" s="322">
        <v>0.375</v>
      </c>
    </row>
    <row r="3024" spans="1:14" ht="57" hidden="1" thickBot="1" x14ac:dyDescent="0.3">
      <c r="A3024" s="110">
        <f t="shared" si="92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1"/>
        <v>12,24</v>
      </c>
      <c r="L3024" s="40" t="s">
        <v>266</v>
      </c>
      <c r="M3024" s="40">
        <v>16729.89</v>
      </c>
      <c r="N3024" s="317">
        <v>0.41666666666666702</v>
      </c>
    </row>
    <row r="3025" spans="1:14" ht="19.5" hidden="1" thickBot="1" x14ac:dyDescent="0.3">
      <c r="A3025" s="111">
        <f t="shared" si="92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1"/>
        <v>12,24</v>
      </c>
      <c r="L3025" s="75" t="s">
        <v>28</v>
      </c>
      <c r="M3025" s="75">
        <v>17127.419999999998</v>
      </c>
      <c r="N3025" s="322">
        <v>0.5</v>
      </c>
    </row>
    <row r="3026" spans="1:14" ht="19.5" hidden="1" thickBot="1" x14ac:dyDescent="0.3">
      <c r="A3026" s="110">
        <f t="shared" si="92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1"/>
        <v>12,24</v>
      </c>
      <c r="L3026" s="40" t="s">
        <v>28</v>
      </c>
      <c r="M3026" s="40">
        <v>17225.86</v>
      </c>
      <c r="N3026" s="317">
        <v>0.54166666666666696</v>
      </c>
    </row>
    <row r="3027" spans="1:14" ht="19.5" hidden="1" thickBot="1" x14ac:dyDescent="0.3">
      <c r="A3027" s="732">
        <f t="shared" si="92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1"/>
        <v>12,24</v>
      </c>
      <c r="L3027" s="48" t="s">
        <v>28</v>
      </c>
      <c r="M3027" s="48">
        <v>4005</v>
      </c>
      <c r="N3027" s="315">
        <v>0.58333333333333304</v>
      </c>
    </row>
    <row r="3028" spans="1:14" ht="19.5" hidden="1" thickBot="1" x14ac:dyDescent="0.3">
      <c r="A3028" s="732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1"/>
        <v>12,24</v>
      </c>
      <c r="L3028" s="71" t="s">
        <v>28</v>
      </c>
      <c r="M3028" s="71">
        <v>13230.39</v>
      </c>
      <c r="N3028" s="323">
        <v>0.58333333333333304</v>
      </c>
    </row>
    <row r="3029" spans="1:14" ht="19.5" hidden="1" thickBot="1" x14ac:dyDescent="0.3">
      <c r="A3029" s="731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1"/>
        <v>12,24</v>
      </c>
      <c r="L3029" s="82" t="s">
        <v>28</v>
      </c>
      <c r="M3029" s="82">
        <v>1737.6</v>
      </c>
      <c r="N3029" s="319">
        <v>0.625</v>
      </c>
    </row>
    <row r="3030" spans="1:14" ht="19.5" hidden="1" thickBot="1" x14ac:dyDescent="0.3">
      <c r="A3030" s="731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1"/>
        <v>12,24</v>
      </c>
      <c r="L3030" s="90" t="s">
        <v>28</v>
      </c>
      <c r="M3030" s="90">
        <v>15485.46</v>
      </c>
      <c r="N3030" s="325">
        <v>0.625</v>
      </c>
    </row>
    <row r="3031" spans="1:14" ht="19.5" hidden="1" thickBot="1" x14ac:dyDescent="0.3">
      <c r="A3031" s="732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1"/>
        <v>12,24</v>
      </c>
      <c r="L3031" s="48" t="s">
        <v>28</v>
      </c>
      <c r="M3031" s="48">
        <v>4692.72</v>
      </c>
      <c r="N3031" s="315">
        <v>0.66666666666666696</v>
      </c>
    </row>
    <row r="3032" spans="1:14" ht="19.5" hidden="1" thickBot="1" x14ac:dyDescent="0.3">
      <c r="A3032" s="732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1"/>
        <v>12,24</v>
      </c>
      <c r="L3032" s="23" t="s">
        <v>28</v>
      </c>
      <c r="M3032" s="23">
        <v>8421.1200000000008</v>
      </c>
      <c r="N3032" s="329">
        <v>0.66666666666666696</v>
      </c>
    </row>
    <row r="3033" spans="1:14" ht="19.5" hidden="1" thickBot="1" x14ac:dyDescent="0.3">
      <c r="A3033" s="732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1"/>
        <v>12,24</v>
      </c>
      <c r="L3033" s="71" t="s">
        <v>28</v>
      </c>
      <c r="M3033" s="71">
        <v>4548.84</v>
      </c>
      <c r="N3033" s="323">
        <v>0.66666666666666696</v>
      </c>
    </row>
    <row r="3034" spans="1:14" ht="19.5" hidden="1" thickBot="1" x14ac:dyDescent="0.3">
      <c r="A3034" s="731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1"/>
        <v>12,24</v>
      </c>
      <c r="L3034" s="82" t="s">
        <v>28</v>
      </c>
      <c r="M3034" s="82">
        <v>5919</v>
      </c>
      <c r="N3034" s="319">
        <v>0.41666666666666702</v>
      </c>
    </row>
    <row r="3035" spans="1:14" ht="19.5" hidden="1" thickBot="1" x14ac:dyDescent="0.3">
      <c r="A3035" s="731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1"/>
        <v>12,24</v>
      </c>
      <c r="L3035" s="90" t="s">
        <v>28</v>
      </c>
      <c r="M3035" s="90">
        <v>6746.08</v>
      </c>
      <c r="N3035" s="325">
        <v>0.41666666666666702</v>
      </c>
    </row>
    <row r="3036" spans="1:14" ht="19.5" hidden="1" thickBot="1" x14ac:dyDescent="0.3">
      <c r="A3036" s="732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1"/>
        <v>12,24</v>
      </c>
      <c r="L3036" s="48" t="s">
        <v>28</v>
      </c>
      <c r="M3036" s="48">
        <v>5020.2</v>
      </c>
      <c r="N3036" s="315">
        <v>0.45833333333333298</v>
      </c>
    </row>
    <row r="3037" spans="1:14" ht="19.5" hidden="1" thickBot="1" x14ac:dyDescent="0.3">
      <c r="A3037" s="732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1"/>
        <v>12,24</v>
      </c>
      <c r="L3037" s="71" t="s">
        <v>28</v>
      </c>
      <c r="M3037" s="71">
        <v>9404.9599999999991</v>
      </c>
      <c r="N3037" s="323">
        <v>0.45833333333333298</v>
      </c>
    </row>
    <row r="3038" spans="1:14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1"/>
        <v>12,24</v>
      </c>
      <c r="L3038" s="40" t="s">
        <v>28</v>
      </c>
      <c r="M3038" s="40">
        <v>15191.5</v>
      </c>
      <c r="N3038" s="317">
        <v>0.70833333333333304</v>
      </c>
    </row>
    <row r="3039" spans="1:14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1"/>
        <v>12,24</v>
      </c>
      <c r="L3039" s="75" t="s">
        <v>28</v>
      </c>
      <c r="M3039" s="75">
        <v>15711</v>
      </c>
      <c r="N3039" s="322">
        <v>0.75</v>
      </c>
    </row>
    <row r="3040" spans="1:14" ht="19.5" hidden="1" thickBot="1" x14ac:dyDescent="0.3">
      <c r="A3040" s="73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1"/>
        <v>12,24</v>
      </c>
      <c r="L3040" s="82" t="s">
        <v>266</v>
      </c>
      <c r="M3040" s="82">
        <v>10700.19</v>
      </c>
      <c r="N3040" s="319">
        <v>0.5</v>
      </c>
    </row>
    <row r="3041" spans="1:14" ht="19.5" hidden="1" thickBot="1" x14ac:dyDescent="0.3">
      <c r="A3041" s="73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1"/>
        <v>12,24</v>
      </c>
      <c r="L3041" s="65" t="s">
        <v>28</v>
      </c>
      <c r="M3041" s="65">
        <v>3448.44</v>
      </c>
      <c r="N3041" s="434">
        <v>0.5</v>
      </c>
    </row>
    <row r="3042" spans="1:14" ht="19.5" hidden="1" thickBot="1" x14ac:dyDescent="0.3">
      <c r="A3042" s="732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1"/>
        <v>12,24</v>
      </c>
      <c r="L3042" s="48" t="s">
        <v>28</v>
      </c>
      <c r="M3042" s="48">
        <v>6558.12</v>
      </c>
      <c r="N3042" s="315">
        <v>0.41666666666666702</v>
      </c>
    </row>
    <row r="3043" spans="1:14" ht="19.5" hidden="1" thickBot="1" x14ac:dyDescent="0.3">
      <c r="A3043" s="732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1"/>
        <v>12,24</v>
      </c>
      <c r="L3043" s="71" t="s">
        <v>266</v>
      </c>
      <c r="M3043" s="71">
        <v>11524.78</v>
      </c>
      <c r="N3043" s="323">
        <v>0.41666666666666702</v>
      </c>
    </row>
    <row r="3044" spans="1:14" ht="19.5" hidden="1" thickBot="1" x14ac:dyDescent="0.3">
      <c r="A3044" s="731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1"/>
        <v>12,24</v>
      </c>
      <c r="L3044" s="82" t="s">
        <v>28</v>
      </c>
      <c r="M3044" s="82">
        <v>3948.72</v>
      </c>
      <c r="N3044" s="319">
        <v>0.45833333333333298</v>
      </c>
    </row>
    <row r="3045" spans="1:14" ht="19.5" hidden="1" thickBot="1" x14ac:dyDescent="0.3">
      <c r="A3045" s="731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1"/>
        <v>12,24</v>
      </c>
      <c r="L3045" s="90" t="s">
        <v>266</v>
      </c>
      <c r="M3045" s="90">
        <v>14151.16</v>
      </c>
      <c r="N3045" s="325">
        <v>0.45833333333333298</v>
      </c>
    </row>
    <row r="3046" spans="1:14" ht="19.5" hidden="1" thickBot="1" x14ac:dyDescent="0.3">
      <c r="A3046" s="732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1"/>
        <v>12,24</v>
      </c>
      <c r="L3046" s="48" t="s">
        <v>28</v>
      </c>
      <c r="M3046" s="48">
        <v>2985</v>
      </c>
      <c r="N3046" s="315">
        <v>0.5</v>
      </c>
    </row>
    <row r="3047" spans="1:14" ht="19.5" hidden="1" thickBot="1" x14ac:dyDescent="0.3">
      <c r="A3047" s="732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1"/>
        <v>12,24</v>
      </c>
      <c r="L3047" s="71" t="s">
        <v>266</v>
      </c>
      <c r="M3047" s="71">
        <v>15066.6</v>
      </c>
      <c r="N3047" s="323">
        <v>0.5</v>
      </c>
    </row>
    <row r="3048" spans="1:14" ht="18.75" hidden="1" customHeight="1" thickBot="1" x14ac:dyDescent="0.3">
      <c r="A3048" s="731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734" t="s">
        <v>467</v>
      </c>
      <c r="H3048" s="82" t="s">
        <v>698</v>
      </c>
      <c r="I3048" s="147" t="s">
        <v>698</v>
      </c>
      <c r="J3048" s="86"/>
      <c r="K3048" s="82" t="str">
        <f t="shared" si="91"/>
        <v>12,24</v>
      </c>
      <c r="L3048" s="82" t="s">
        <v>266</v>
      </c>
      <c r="M3048" s="82">
        <v>3043.01</v>
      </c>
      <c r="N3048" s="319">
        <v>0.54166666666666696</v>
      </c>
    </row>
    <row r="3049" spans="1:14" ht="19.5" hidden="1" thickBot="1" x14ac:dyDescent="0.3">
      <c r="A3049" s="731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734"/>
      <c r="H3049" s="98" t="s">
        <v>698</v>
      </c>
      <c r="I3049" s="181" t="s">
        <v>698</v>
      </c>
      <c r="J3049" s="102"/>
      <c r="K3049" s="98" t="str">
        <f t="shared" si="91"/>
        <v>12,24</v>
      </c>
      <c r="L3049" s="98" t="s">
        <v>266</v>
      </c>
      <c r="M3049" s="98">
        <v>660.48</v>
      </c>
      <c r="N3049" s="364">
        <v>0.54166666666666696</v>
      </c>
    </row>
    <row r="3050" spans="1:14" ht="19.5" hidden="1" thickBot="1" x14ac:dyDescent="0.3">
      <c r="A3050" s="731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734"/>
      <c r="H3050" s="98" t="s">
        <v>698</v>
      </c>
      <c r="I3050" s="181" t="s">
        <v>698</v>
      </c>
      <c r="J3050" s="102" t="s">
        <v>28</v>
      </c>
      <c r="K3050" s="98" t="str">
        <f t="shared" si="91"/>
        <v>12,24</v>
      </c>
      <c r="L3050" s="98" t="s">
        <v>28</v>
      </c>
      <c r="M3050" s="98">
        <v>1811.4</v>
      </c>
      <c r="N3050" s="364">
        <v>0.54166666666666696</v>
      </c>
    </row>
    <row r="3051" spans="1:14" ht="19.5" hidden="1" thickBot="1" x14ac:dyDescent="0.3">
      <c r="A3051" s="731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734"/>
      <c r="H3051" s="90" t="s">
        <v>698</v>
      </c>
      <c r="I3051" s="172" t="s">
        <v>698</v>
      </c>
      <c r="J3051" s="94" t="s">
        <v>266</v>
      </c>
      <c r="K3051" s="90" t="str">
        <f t="shared" si="91"/>
        <v>12,24</v>
      </c>
      <c r="L3051" s="90" t="s">
        <v>266</v>
      </c>
      <c r="M3051" s="90">
        <v>2684.64</v>
      </c>
      <c r="N3051" s="325">
        <v>0.54166666666666696</v>
      </c>
    </row>
    <row r="3052" spans="1:14" ht="19.5" hidden="1" thickBot="1" x14ac:dyDescent="0.3">
      <c r="A3052" s="735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1"/>
        <v>12,24</v>
      </c>
      <c r="L3052" s="48" t="s">
        <v>266</v>
      </c>
      <c r="M3052" s="48">
        <v>4857.0600000000004</v>
      </c>
      <c r="N3052" s="315">
        <v>0.58333333333333304</v>
      </c>
    </row>
    <row r="3053" spans="1:14" ht="19.5" hidden="1" thickBot="1" x14ac:dyDescent="0.3">
      <c r="A3053" s="735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1"/>
        <v>12,24</v>
      </c>
      <c r="L3053" s="23" t="s">
        <v>28</v>
      </c>
      <c r="M3053" s="23">
        <v>1707.12</v>
      </c>
      <c r="N3053" s="329">
        <v>0.58333333333333304</v>
      </c>
    </row>
    <row r="3054" spans="1:14" ht="19.5" hidden="1" thickBot="1" x14ac:dyDescent="0.3">
      <c r="A3054" s="735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1"/>
        <v>12,24</v>
      </c>
      <c r="L3054" s="23" t="s">
        <v>266</v>
      </c>
      <c r="M3054" s="23">
        <v>6203.98</v>
      </c>
      <c r="N3054" s="329">
        <v>0.58333333333333304</v>
      </c>
    </row>
    <row r="3055" spans="1:14" ht="19.5" hidden="1" thickBot="1" x14ac:dyDescent="0.3">
      <c r="A3055" s="735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1"/>
        <v>12,24</v>
      </c>
      <c r="L3055" s="23" t="s">
        <v>266</v>
      </c>
      <c r="M3055" s="23">
        <v>1924.08</v>
      </c>
      <c r="N3055" s="329">
        <v>0.58333333333333304</v>
      </c>
    </row>
    <row r="3056" spans="1:14" ht="19.5" hidden="1" thickBot="1" x14ac:dyDescent="0.3">
      <c r="A3056" s="735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1"/>
        <v>12,24</v>
      </c>
      <c r="L3056" s="293" t="s">
        <v>28</v>
      </c>
      <c r="M3056" s="293">
        <v>2455.8000000000002</v>
      </c>
      <c r="N3056" s="389">
        <v>0.58333333333333304</v>
      </c>
    </row>
    <row r="3057" spans="1:14" ht="19.5" hidden="1" thickBot="1" x14ac:dyDescent="0.3">
      <c r="A3057" s="731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1"/>
        <v>12,24</v>
      </c>
      <c r="L3057" s="82" t="s">
        <v>265</v>
      </c>
      <c r="M3057" s="82">
        <v>12898.12</v>
      </c>
      <c r="N3057" s="319">
        <v>0.375</v>
      </c>
    </row>
    <row r="3058" spans="1:14" ht="19.5" hidden="1" thickBot="1" x14ac:dyDescent="0.3">
      <c r="A3058" s="731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1"/>
        <v>12,24</v>
      </c>
      <c r="L3058" s="90" t="s">
        <v>265</v>
      </c>
      <c r="M3058" s="90">
        <v>4040.2</v>
      </c>
      <c r="N3058" s="325">
        <v>0.375</v>
      </c>
    </row>
    <row r="3059" spans="1:14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1"/>
        <v>12,24</v>
      </c>
      <c r="L3059" s="75" t="s">
        <v>265</v>
      </c>
      <c r="M3059" s="75">
        <v>17382.2</v>
      </c>
      <c r="N3059" s="322">
        <v>0.375</v>
      </c>
    </row>
    <row r="3060" spans="1:14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1"/>
        <v>12,24</v>
      </c>
      <c r="L3060" s="40" t="s">
        <v>265</v>
      </c>
      <c r="M3060" s="40">
        <v>11307.52</v>
      </c>
      <c r="N3060" s="317">
        <v>0.375</v>
      </c>
    </row>
    <row r="3061" spans="1:14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1"/>
        <v>12,24</v>
      </c>
      <c r="L3061" s="158" t="s">
        <v>28</v>
      </c>
      <c r="M3061" s="158">
        <v>11970.3</v>
      </c>
      <c r="N3061" s="433">
        <v>0.41666666666666702</v>
      </c>
    </row>
    <row r="3062" spans="1:14" ht="18.75" hidden="1" customHeight="1" thickBot="1" x14ac:dyDescent="0.3">
      <c r="A3062" s="731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734" t="s">
        <v>72</v>
      </c>
      <c r="H3062" s="122" t="s">
        <v>701</v>
      </c>
      <c r="I3062" s="147" t="s">
        <v>701</v>
      </c>
      <c r="J3062" s="86"/>
      <c r="K3062" s="122" t="str">
        <f t="shared" si="91"/>
        <v>12,24</v>
      </c>
      <c r="L3062" s="122" t="s">
        <v>265</v>
      </c>
      <c r="M3062" s="82">
        <v>9700.4</v>
      </c>
      <c r="N3062" s="319">
        <v>0.33333333333333298</v>
      </c>
    </row>
    <row r="3063" spans="1:14" ht="19.5" hidden="1" thickBot="1" x14ac:dyDescent="0.3">
      <c r="A3063" s="731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734"/>
      <c r="H3063" s="109" t="s">
        <v>701</v>
      </c>
      <c r="I3063" s="174" t="s">
        <v>701</v>
      </c>
      <c r="J3063" s="102" t="s">
        <v>76</v>
      </c>
      <c r="K3063" s="109" t="str">
        <f t="shared" si="91"/>
        <v>12,24</v>
      </c>
      <c r="L3063" s="109" t="s">
        <v>265</v>
      </c>
      <c r="M3063" s="109">
        <v>90</v>
      </c>
      <c r="N3063" s="320">
        <v>0.33333333333333298</v>
      </c>
    </row>
    <row r="3064" spans="1:14" ht="19.5" hidden="1" thickBot="1" x14ac:dyDescent="0.3">
      <c r="A3064" s="731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734"/>
      <c r="H3064" s="90" t="s">
        <v>701</v>
      </c>
      <c r="I3064" s="172" t="s">
        <v>701</v>
      </c>
      <c r="J3064" s="173"/>
      <c r="K3064" s="90" t="str">
        <f t="shared" si="91"/>
        <v>12,24</v>
      </c>
      <c r="L3064" s="90" t="s">
        <v>265</v>
      </c>
      <c r="M3064" s="90">
        <v>2055.88</v>
      </c>
      <c r="N3064" s="325">
        <v>0.41666666666666702</v>
      </c>
    </row>
    <row r="3065" spans="1:14" ht="19.5" hidden="1" thickBot="1" x14ac:dyDescent="0.3">
      <c r="A3065" s="732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1"/>
        <v>12,24</v>
      </c>
      <c r="L3065" s="48" t="s">
        <v>28</v>
      </c>
      <c r="M3065" s="48">
        <v>2454</v>
      </c>
      <c r="N3065" s="315">
        <v>0.41666666666666702</v>
      </c>
    </row>
    <row r="3066" spans="1:14" ht="19.5" hidden="1" thickBot="1" x14ac:dyDescent="0.3">
      <c r="A3066" s="732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1"/>
        <v>12,24</v>
      </c>
      <c r="L3066" s="71" t="s">
        <v>28</v>
      </c>
      <c r="M3066" s="71">
        <v>15060.63</v>
      </c>
      <c r="N3066" s="323">
        <v>0.41666666666666702</v>
      </c>
    </row>
    <row r="3067" spans="1:14" ht="19.5" hidden="1" thickBot="1" x14ac:dyDescent="0.3">
      <c r="A3067" s="73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3">RIGHT(I3067,5)</f>
        <v>12,24</v>
      </c>
      <c r="L3067" s="82" t="s">
        <v>28</v>
      </c>
      <c r="M3067" s="82">
        <v>5975.04</v>
      </c>
      <c r="N3067" s="319">
        <v>0.45833333333333298</v>
      </c>
    </row>
    <row r="3068" spans="1:14" ht="19.5" hidden="1" thickBot="1" x14ac:dyDescent="0.3">
      <c r="A3068" s="73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3"/>
        <v>12,24</v>
      </c>
      <c r="L3068" s="98" t="s">
        <v>28</v>
      </c>
      <c r="M3068" s="98">
        <v>4886.8999999999996</v>
      </c>
      <c r="N3068" s="364">
        <v>0.45833333333333298</v>
      </c>
    </row>
    <row r="3069" spans="1:14" ht="19.5" hidden="1" thickBot="1" x14ac:dyDescent="0.3">
      <c r="A3069" s="73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3"/>
        <v>12,24</v>
      </c>
      <c r="L3069" s="65" t="s">
        <v>28</v>
      </c>
      <c r="M3069" s="65">
        <v>6773.28</v>
      </c>
      <c r="N3069" s="434">
        <v>0.45833333333333298</v>
      </c>
    </row>
    <row r="3070" spans="1:14" ht="19.5" hidden="1" thickBot="1" x14ac:dyDescent="0.3">
      <c r="A3070" s="732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3"/>
        <v>12,24</v>
      </c>
      <c r="L3070" s="48" t="s">
        <v>266</v>
      </c>
      <c r="M3070" s="48">
        <v>3284.4</v>
      </c>
      <c r="N3070" s="315">
        <v>0.45833333333333298</v>
      </c>
    </row>
    <row r="3071" spans="1:14" ht="19.5" hidden="1" thickBot="1" x14ac:dyDescent="0.3">
      <c r="A3071" s="732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3"/>
        <v>12,24</v>
      </c>
      <c r="L3071" s="71" t="s">
        <v>28</v>
      </c>
      <c r="M3071" s="71">
        <v>12452.92</v>
      </c>
      <c r="N3071" s="323">
        <v>0.45833333333333298</v>
      </c>
    </row>
    <row r="3072" spans="1:14" ht="38.25" hidden="1" thickBot="1" x14ac:dyDescent="0.3">
      <c r="A3072" s="731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3"/>
        <v>12,24</v>
      </c>
      <c r="L3072" s="82" t="s">
        <v>266</v>
      </c>
      <c r="M3072" s="82">
        <v>8518.56</v>
      </c>
      <c r="N3072" s="319">
        <v>0.5</v>
      </c>
    </row>
    <row r="3073" spans="1:14" ht="38.25" hidden="1" thickBot="1" x14ac:dyDescent="0.3">
      <c r="A3073" s="731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3"/>
        <v>12,24</v>
      </c>
      <c r="L3073" s="90" t="s">
        <v>28</v>
      </c>
      <c r="M3073" s="90">
        <v>8009.76</v>
      </c>
      <c r="N3073" s="325">
        <v>0.5</v>
      </c>
    </row>
    <row r="3074" spans="1:14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3"/>
        <v>12,24</v>
      </c>
      <c r="L3074" s="75" t="s">
        <v>265</v>
      </c>
      <c r="M3074" s="75">
        <v>17214.18</v>
      </c>
      <c r="N3074" s="322">
        <v>0.375</v>
      </c>
    </row>
    <row r="3075" spans="1:14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3"/>
        <v>12,24</v>
      </c>
      <c r="L3075" s="40" t="s">
        <v>266</v>
      </c>
      <c r="M3075" s="40">
        <v>16883.64</v>
      </c>
      <c r="N3075" s="317">
        <v>0.41666666666666702</v>
      </c>
    </row>
    <row r="3076" spans="1:14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3"/>
        <v>12,24</v>
      </c>
      <c r="L3076" s="75" t="s">
        <v>28</v>
      </c>
      <c r="M3076" s="75">
        <v>17197.740000000002</v>
      </c>
      <c r="N3076" s="322">
        <v>0.45833333333333298</v>
      </c>
    </row>
    <row r="3077" spans="1:14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3"/>
        <v>12,24</v>
      </c>
      <c r="L3077" s="40" t="s">
        <v>28</v>
      </c>
      <c r="M3077" s="40">
        <v>17099.23</v>
      </c>
      <c r="N3077" s="317">
        <v>0.5</v>
      </c>
    </row>
    <row r="3078" spans="1:14" ht="19.5" hidden="1" thickBot="1" x14ac:dyDescent="0.3">
      <c r="A3078" s="732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3"/>
        <v>12,24</v>
      </c>
      <c r="L3078" s="48" t="s">
        <v>266</v>
      </c>
      <c r="M3078" s="48">
        <v>304.5</v>
      </c>
      <c r="N3078" s="315">
        <v>0.54166666666666696</v>
      </c>
    </row>
    <row r="3079" spans="1:14" ht="19.5" hidden="1" thickBot="1" x14ac:dyDescent="0.3">
      <c r="A3079" s="732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3"/>
        <v>12,24</v>
      </c>
      <c r="L3079" s="71" t="s">
        <v>28</v>
      </c>
      <c r="M3079" s="71">
        <v>14802.66</v>
      </c>
      <c r="N3079" s="323">
        <v>0.54166666666666696</v>
      </c>
    </row>
    <row r="3080" spans="1:14" ht="19.5" hidden="1" thickBot="1" x14ac:dyDescent="0.3">
      <c r="A3080" s="731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3"/>
        <v>12,24</v>
      </c>
      <c r="L3080" s="82" t="s">
        <v>266</v>
      </c>
      <c r="M3080" s="82">
        <v>1518.6</v>
      </c>
      <c r="N3080" s="319">
        <v>0.58333333333333304</v>
      </c>
    </row>
    <row r="3081" spans="1:14" ht="19.5" hidden="1" thickBot="1" x14ac:dyDescent="0.3">
      <c r="A3081" s="731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3"/>
        <v>12,24</v>
      </c>
      <c r="L3081" s="98" t="s">
        <v>28</v>
      </c>
      <c r="M3081" s="98">
        <v>12738.36</v>
      </c>
      <c r="N3081" s="364">
        <v>0.58333333333333304</v>
      </c>
    </row>
    <row r="3082" spans="1:14" ht="19.5" hidden="1" thickBot="1" x14ac:dyDescent="0.3">
      <c r="A3082" s="731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3"/>
        <v>12,24</v>
      </c>
      <c r="L3082" s="90" t="s">
        <v>28</v>
      </c>
      <c r="M3082" s="90">
        <v>2763.6</v>
      </c>
      <c r="N3082" s="325">
        <v>0.58333333333333304</v>
      </c>
    </row>
    <row r="3083" spans="1:14" ht="19.5" hidden="1" thickBot="1" x14ac:dyDescent="0.3">
      <c r="A3083" s="732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3"/>
        <v>12,24</v>
      </c>
      <c r="L3083" s="48" t="s">
        <v>266</v>
      </c>
      <c r="M3083" s="48">
        <v>707.4</v>
      </c>
      <c r="N3083" s="315">
        <v>0.625</v>
      </c>
    </row>
    <row r="3084" spans="1:14" ht="19.5" hidden="1" thickBot="1" x14ac:dyDescent="0.3">
      <c r="A3084" s="732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3"/>
        <v>12,24</v>
      </c>
      <c r="L3084" s="23" t="s">
        <v>28</v>
      </c>
      <c r="M3084" s="23">
        <v>5819.22</v>
      </c>
      <c r="N3084" s="329">
        <v>0.625</v>
      </c>
    </row>
    <row r="3085" spans="1:14" ht="19.5" hidden="1" thickBot="1" x14ac:dyDescent="0.3">
      <c r="A3085" s="732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3"/>
        <v>12,24</v>
      </c>
      <c r="L3085" s="23" t="s">
        <v>28</v>
      </c>
      <c r="M3085" s="23">
        <v>3807.5</v>
      </c>
      <c r="N3085" s="329">
        <v>0.625</v>
      </c>
    </row>
    <row r="3086" spans="1:14" ht="19.5" hidden="1" thickBot="1" x14ac:dyDescent="0.3">
      <c r="A3086" s="732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3"/>
        <v>12,24</v>
      </c>
      <c r="L3086" s="23" t="s">
        <v>28</v>
      </c>
      <c r="M3086" s="23">
        <v>3624</v>
      </c>
      <c r="N3086" s="329">
        <v>0.625</v>
      </c>
    </row>
    <row r="3087" spans="1:14" ht="19.5" hidden="1" thickBot="1" x14ac:dyDescent="0.3">
      <c r="A3087" s="732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3"/>
        <v>12,24</v>
      </c>
      <c r="L3087" s="71" t="s">
        <v>28</v>
      </c>
      <c r="M3087" s="71">
        <v>3158.5</v>
      </c>
      <c r="N3087" s="323">
        <v>0.625</v>
      </c>
    </row>
    <row r="3088" spans="1:14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3"/>
        <v>12,24</v>
      </c>
      <c r="L3088" s="40" t="s">
        <v>265</v>
      </c>
      <c r="M3088" s="40">
        <v>17256.52</v>
      </c>
      <c r="N3088" s="317">
        <v>0.375</v>
      </c>
    </row>
    <row r="3089" spans="1:14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3"/>
        <v>12,24</v>
      </c>
      <c r="L3089" s="75" t="s">
        <v>28</v>
      </c>
      <c r="M3089" s="75">
        <v>12018</v>
      </c>
      <c r="N3089" s="322">
        <v>0.375</v>
      </c>
    </row>
    <row r="3090" spans="1:14" ht="57" hidden="1" customHeight="1" thickBot="1" x14ac:dyDescent="0.3">
      <c r="A3090" s="731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734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3"/>
        <v>нет</v>
      </c>
      <c r="L3090" s="82" t="s">
        <v>28</v>
      </c>
      <c r="M3090" s="82">
        <v>1785.24</v>
      </c>
      <c r="N3090" s="319">
        <v>0.41666666666666702</v>
      </c>
    </row>
    <row r="3091" spans="1:14" ht="49.5" hidden="1" customHeight="1" thickBot="1" x14ac:dyDescent="0.3">
      <c r="A3091" s="731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734"/>
      <c r="H3091" s="90" t="s">
        <v>702</v>
      </c>
      <c r="I3091" s="172" t="s">
        <v>702</v>
      </c>
      <c r="J3091" s="173"/>
      <c r="K3091" s="90" t="str">
        <f t="shared" si="93"/>
        <v>12,24</v>
      </c>
      <c r="L3091" s="90" t="s">
        <v>28</v>
      </c>
      <c r="M3091" s="90">
        <v>8612.7999999999993</v>
      </c>
      <c r="N3091" s="325">
        <v>0.41666666666666702</v>
      </c>
    </row>
    <row r="3092" spans="1:14" ht="19.5" hidden="1" thickBot="1" x14ac:dyDescent="0.3">
      <c r="A3092" s="735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3"/>
        <v>12,24</v>
      </c>
      <c r="L3092" s="48" t="s">
        <v>28</v>
      </c>
      <c r="M3092" s="48">
        <v>6059.56</v>
      </c>
      <c r="N3092" s="315">
        <v>0.45833333333333298</v>
      </c>
    </row>
    <row r="3093" spans="1:14" ht="19.5" hidden="1" thickBot="1" x14ac:dyDescent="0.3">
      <c r="A3093" s="735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3"/>
        <v>12,24</v>
      </c>
      <c r="L3093" s="293" t="s">
        <v>28</v>
      </c>
      <c r="M3093" s="293">
        <v>4455.92</v>
      </c>
      <c r="N3093" s="389">
        <v>0.45833333333333298</v>
      </c>
    </row>
    <row r="3094" spans="1:14" ht="19.5" hidden="1" thickBot="1" x14ac:dyDescent="0.3">
      <c r="A3094" s="731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3"/>
        <v>12,24</v>
      </c>
      <c r="L3094" s="82" t="s">
        <v>266</v>
      </c>
      <c r="M3094" s="82">
        <v>9277.2000000000007</v>
      </c>
      <c r="N3094" s="319">
        <v>0.41666666666666702</v>
      </c>
    </row>
    <row r="3095" spans="1:14" ht="19.5" hidden="1" thickBot="1" x14ac:dyDescent="0.3">
      <c r="A3095" s="731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3"/>
        <v>12,24</v>
      </c>
      <c r="L3095" s="90" t="s">
        <v>28</v>
      </c>
      <c r="M3095" s="90">
        <v>8834.64</v>
      </c>
      <c r="N3095" s="325">
        <v>0.41666666666666702</v>
      </c>
    </row>
    <row r="3096" spans="1:14" ht="19.5" hidden="1" thickBot="1" x14ac:dyDescent="0.3">
      <c r="A3096" s="732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3"/>
        <v>12,24</v>
      </c>
      <c r="L3096" s="48" t="s">
        <v>266</v>
      </c>
      <c r="M3096" s="48">
        <v>16959</v>
      </c>
      <c r="N3096" s="315">
        <v>0.45833333333333298</v>
      </c>
    </row>
    <row r="3097" spans="1:14" ht="19.5" hidden="1" thickBot="1" x14ac:dyDescent="0.3">
      <c r="A3097" s="732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3"/>
        <v>12,24</v>
      </c>
      <c r="L3097" s="71" t="s">
        <v>28</v>
      </c>
      <c r="M3097" s="71">
        <v>1092.96</v>
      </c>
      <c r="N3097" s="323">
        <v>0.45833333333333298</v>
      </c>
    </row>
    <row r="3098" spans="1:14" ht="19.5" hidden="1" thickBot="1" x14ac:dyDescent="0.3">
      <c r="A3098" s="731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3"/>
        <v>12,24</v>
      </c>
      <c r="L3098" s="82" t="s">
        <v>266</v>
      </c>
      <c r="M3098" s="82">
        <v>13065</v>
      </c>
      <c r="N3098" s="319">
        <v>0.5</v>
      </c>
    </row>
    <row r="3099" spans="1:14" ht="19.5" hidden="1" thickBot="1" x14ac:dyDescent="0.3">
      <c r="A3099" s="731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3"/>
        <v>12,24</v>
      </c>
      <c r="L3099" s="90" t="s">
        <v>28</v>
      </c>
      <c r="M3099" s="90">
        <v>5040</v>
      </c>
      <c r="N3099" s="325">
        <v>0.5</v>
      </c>
    </row>
    <row r="3100" spans="1:14" ht="19.5" hidden="1" thickBot="1" x14ac:dyDescent="0.3">
      <c r="A3100" s="732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3"/>
        <v>12,24</v>
      </c>
      <c r="L3100" s="48" t="s">
        <v>266</v>
      </c>
      <c r="M3100" s="48">
        <v>10084.799999999999</v>
      </c>
      <c r="N3100" s="315">
        <v>0.54166666666666696</v>
      </c>
    </row>
    <row r="3101" spans="1:14" ht="19.5" hidden="1" thickBot="1" x14ac:dyDescent="0.3">
      <c r="A3101" s="732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3"/>
        <v>12,24</v>
      </c>
      <c r="L3101" s="71" t="s">
        <v>28</v>
      </c>
      <c r="M3101" s="71">
        <v>7905</v>
      </c>
      <c r="N3101" s="323">
        <v>0.54166666666666696</v>
      </c>
    </row>
    <row r="3102" spans="1:14" ht="19.5" hidden="1" thickBot="1" x14ac:dyDescent="0.3">
      <c r="A3102" s="73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3"/>
        <v>12,24</v>
      </c>
      <c r="L3102" s="82" t="s">
        <v>266</v>
      </c>
      <c r="M3102" s="82">
        <v>2588.7600000000002</v>
      </c>
      <c r="N3102" s="319">
        <v>0.58333333333333304</v>
      </c>
    </row>
    <row r="3103" spans="1:14" ht="19.5" hidden="1" thickBot="1" x14ac:dyDescent="0.3">
      <c r="A3103" s="73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3"/>
        <v>12,24</v>
      </c>
      <c r="L3103" s="98" t="s">
        <v>266</v>
      </c>
      <c r="M3103" s="98">
        <v>873.46</v>
      </c>
      <c r="N3103" s="364">
        <v>0.58333333333333304</v>
      </c>
    </row>
    <row r="3104" spans="1:14" ht="19.5" hidden="1" thickBot="1" x14ac:dyDescent="0.3">
      <c r="A3104" s="73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3"/>
        <v>12,24</v>
      </c>
      <c r="L3104" s="98" t="s">
        <v>266</v>
      </c>
      <c r="M3104" s="98">
        <v>3926.82</v>
      </c>
      <c r="N3104" s="364">
        <v>0.58333333333333304</v>
      </c>
    </row>
    <row r="3105" spans="1:14" ht="19.5" hidden="1" thickBot="1" x14ac:dyDescent="0.3">
      <c r="A3105" s="73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3"/>
        <v>12,24</v>
      </c>
      <c r="L3105" s="98" t="s">
        <v>266</v>
      </c>
      <c r="M3105" s="98">
        <v>1457.06</v>
      </c>
      <c r="N3105" s="364">
        <v>0.58333333333333304</v>
      </c>
    </row>
    <row r="3106" spans="1:14" ht="19.5" hidden="1" thickBot="1" x14ac:dyDescent="0.3">
      <c r="A3106" s="73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3"/>
        <v>12,24</v>
      </c>
      <c r="L3106" s="98" t="s">
        <v>266</v>
      </c>
      <c r="M3106" s="98">
        <v>2160.14</v>
      </c>
      <c r="N3106" s="364">
        <v>0.58333333333333304</v>
      </c>
    </row>
    <row r="3107" spans="1:14" ht="19.5" hidden="1" thickBot="1" x14ac:dyDescent="0.3">
      <c r="A3107" s="73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3"/>
        <v>12,24</v>
      </c>
      <c r="L3107" s="98" t="s">
        <v>28</v>
      </c>
      <c r="M3107" s="98">
        <v>3030.96</v>
      </c>
      <c r="N3107" s="364">
        <v>0.58333333333333304</v>
      </c>
    </row>
    <row r="3108" spans="1:14" ht="19.5" hidden="1" thickBot="1" x14ac:dyDescent="0.3">
      <c r="A3108" s="73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3"/>
        <v>12,24</v>
      </c>
      <c r="L3108" s="98" t="s">
        <v>28</v>
      </c>
      <c r="M3108" s="98">
        <v>1005</v>
      </c>
      <c r="N3108" s="364">
        <v>0.58333333333333304</v>
      </c>
    </row>
    <row r="3109" spans="1:14" ht="19.5" hidden="1" thickBot="1" x14ac:dyDescent="0.3">
      <c r="A3109" s="73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3"/>
        <v>12,24</v>
      </c>
      <c r="L3109" s="65" t="s">
        <v>28</v>
      </c>
      <c r="M3109" s="65">
        <v>2370.6</v>
      </c>
      <c r="N3109" s="434">
        <v>0.58333333333333304</v>
      </c>
    </row>
    <row r="3110" spans="1:14" ht="19.5" hidden="1" thickBot="1" x14ac:dyDescent="0.3">
      <c r="A3110" s="732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3"/>
        <v>12,24</v>
      </c>
      <c r="L3110" s="48" t="s">
        <v>265</v>
      </c>
      <c r="M3110" s="48">
        <v>6421.36</v>
      </c>
      <c r="N3110" s="315">
        <v>0.375</v>
      </c>
    </row>
    <row r="3111" spans="1:14" ht="19.5" hidden="1" thickBot="1" x14ac:dyDescent="0.3">
      <c r="A3111" s="732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3"/>
        <v>12,24</v>
      </c>
      <c r="L3111" s="71" t="s">
        <v>265</v>
      </c>
      <c r="M3111" s="71">
        <v>10769.6</v>
      </c>
      <c r="N3111" s="323">
        <v>0.375</v>
      </c>
    </row>
    <row r="3112" spans="1:14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3"/>
        <v>12,24</v>
      </c>
      <c r="L3112" s="40" t="s">
        <v>265</v>
      </c>
      <c r="M3112" s="40">
        <v>17190.16</v>
      </c>
      <c r="N3112" s="317">
        <v>0.375</v>
      </c>
    </row>
    <row r="3113" spans="1:14" ht="19.5" hidden="1" thickBot="1" x14ac:dyDescent="0.3">
      <c r="A3113" s="732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3"/>
        <v>12,24</v>
      </c>
      <c r="L3113" s="48" t="s">
        <v>266</v>
      </c>
      <c r="M3113" s="48">
        <v>1020.3</v>
      </c>
      <c r="N3113" s="315">
        <v>0.41666666666666702</v>
      </c>
    </row>
    <row r="3114" spans="1:14" ht="19.5" hidden="1" thickBot="1" x14ac:dyDescent="0.3">
      <c r="A3114" s="732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3"/>
        <v>12,24</v>
      </c>
      <c r="L3114" s="71" t="s">
        <v>28</v>
      </c>
      <c r="M3114" s="71">
        <v>14675.58</v>
      </c>
      <c r="N3114" s="323">
        <v>0.41666666666666702</v>
      </c>
    </row>
    <row r="3115" spans="1:14" ht="19.5" hidden="1" thickBot="1" x14ac:dyDescent="0.3">
      <c r="A3115" s="731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3"/>
        <v>12,24</v>
      </c>
      <c r="L3115" s="82" t="s">
        <v>265</v>
      </c>
      <c r="M3115" s="82">
        <v>12272.6</v>
      </c>
      <c r="N3115" s="319">
        <v>0.375</v>
      </c>
    </row>
    <row r="3116" spans="1:14" ht="19.5" hidden="1" thickBot="1" x14ac:dyDescent="0.3">
      <c r="A3116" s="731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3"/>
        <v>12,24</v>
      </c>
      <c r="L3116" s="90" t="s">
        <v>265</v>
      </c>
      <c r="M3116" s="90">
        <v>30</v>
      </c>
      <c r="N3116" s="325">
        <v>0.375</v>
      </c>
    </row>
    <row r="3117" spans="1:14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3"/>
        <v>12,24</v>
      </c>
      <c r="L3117" s="158" t="s">
        <v>28</v>
      </c>
      <c r="M3117" s="158">
        <v>12512.12</v>
      </c>
      <c r="N3117" s="433">
        <v>0.41666666666666702</v>
      </c>
    </row>
    <row r="3118" spans="1:14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3"/>
        <v>12,24</v>
      </c>
      <c r="L3118" s="40" t="s">
        <v>265</v>
      </c>
      <c r="M3118" s="40">
        <v>17220.59</v>
      </c>
      <c r="N3118" s="317">
        <v>0.375</v>
      </c>
    </row>
    <row r="3119" spans="1:14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3"/>
        <v>12,24</v>
      </c>
      <c r="L3119" s="75" t="s">
        <v>28</v>
      </c>
      <c r="M3119" s="75">
        <v>17105.13</v>
      </c>
      <c r="N3119" s="322">
        <v>0.41666666666666702</v>
      </c>
    </row>
    <row r="3120" spans="1:14" ht="19.5" hidden="1" thickBot="1" x14ac:dyDescent="0.3">
      <c r="A3120" s="731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3"/>
        <v>12,24</v>
      </c>
      <c r="L3120" s="82" t="s">
        <v>28</v>
      </c>
      <c r="M3120" s="82">
        <v>5086.17</v>
      </c>
      <c r="N3120" s="319">
        <v>0.45833333333333298</v>
      </c>
    </row>
    <row r="3121" spans="1:14" ht="19.5" hidden="1" thickBot="1" x14ac:dyDescent="0.3">
      <c r="A3121" s="731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3"/>
        <v>12,24</v>
      </c>
      <c r="L3121" s="98" t="s">
        <v>28</v>
      </c>
      <c r="M3121" s="98">
        <v>7240.95</v>
      </c>
      <c r="N3121" s="364">
        <v>0.45833333333333298</v>
      </c>
    </row>
    <row r="3122" spans="1:14" ht="19.5" hidden="1" thickBot="1" x14ac:dyDescent="0.3">
      <c r="A3122" s="731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3"/>
        <v>12,24</v>
      </c>
      <c r="L3122" s="90" t="s">
        <v>28</v>
      </c>
      <c r="M3122" s="90">
        <v>4805.2700000000004</v>
      </c>
      <c r="N3122" s="325">
        <v>0.45833333333333298</v>
      </c>
    </row>
    <row r="3123" spans="1:14" ht="19.5" hidden="1" thickBot="1" x14ac:dyDescent="0.3">
      <c r="A3123" s="732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3"/>
        <v>12,24</v>
      </c>
      <c r="L3123" s="48" t="s">
        <v>28</v>
      </c>
      <c r="M3123" s="48">
        <v>12117.24</v>
      </c>
      <c r="N3123" s="315">
        <v>0.5</v>
      </c>
    </row>
    <row r="3124" spans="1:14" ht="57" hidden="1" thickBot="1" x14ac:dyDescent="0.3">
      <c r="A3124" s="732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3"/>
        <v>12,24</v>
      </c>
      <c r="L3124" s="23" t="s">
        <v>28</v>
      </c>
      <c r="M3124" s="23">
        <v>1346.2</v>
      </c>
      <c r="N3124" s="329">
        <v>0.5</v>
      </c>
    </row>
    <row r="3125" spans="1:14" ht="19.5" hidden="1" thickBot="1" x14ac:dyDescent="0.3">
      <c r="A3125" s="732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3"/>
        <v>12,24</v>
      </c>
      <c r="L3125" s="71" t="s">
        <v>28</v>
      </c>
      <c r="M3125" s="71">
        <v>2827.92</v>
      </c>
      <c r="N3125" s="323">
        <v>0.5</v>
      </c>
    </row>
    <row r="3126" spans="1:14" ht="19.5" hidden="1" thickBot="1" x14ac:dyDescent="0.3">
      <c r="A3126" s="73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3"/>
        <v>12,24</v>
      </c>
      <c r="L3126" s="82" t="s">
        <v>28</v>
      </c>
      <c r="M3126" s="82">
        <v>3401.28</v>
      </c>
      <c r="N3126" s="319">
        <v>0.54166666666666696</v>
      </c>
    </row>
    <row r="3127" spans="1:14" ht="19.5" hidden="1" thickBot="1" x14ac:dyDescent="0.3">
      <c r="A3127" s="73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3"/>
        <v>12,24</v>
      </c>
      <c r="L3127" s="65" t="s">
        <v>266</v>
      </c>
      <c r="M3127" s="65">
        <v>5118.32</v>
      </c>
      <c r="N3127" s="434">
        <v>0.54166666666666696</v>
      </c>
    </row>
    <row r="3128" spans="1:14" ht="19.5" hidden="1" thickBot="1" x14ac:dyDescent="0.3">
      <c r="A3128" s="732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3"/>
        <v>12,24</v>
      </c>
      <c r="L3128" s="48" t="s">
        <v>28</v>
      </c>
      <c r="M3128" s="48">
        <v>14170.14</v>
      </c>
      <c r="N3128" s="315">
        <v>0.41666666666666702</v>
      </c>
    </row>
    <row r="3129" spans="1:14" ht="19.5" hidden="1" thickBot="1" x14ac:dyDescent="0.3">
      <c r="A3129" s="732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3"/>
        <v>12,24</v>
      </c>
      <c r="L3129" s="71" t="s">
        <v>266</v>
      </c>
      <c r="M3129" s="71">
        <v>1221.5999999999999</v>
      </c>
      <c r="N3129" s="323">
        <v>0.41666666666666702</v>
      </c>
    </row>
    <row r="3130" spans="1:14" ht="38.25" hidden="1" thickBot="1" x14ac:dyDescent="0.3">
      <c r="A3130" s="731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3"/>
        <v>12,24</v>
      </c>
      <c r="L3130" s="82" t="s">
        <v>28</v>
      </c>
      <c r="M3130" s="82">
        <v>9861.1200000000008</v>
      </c>
      <c r="N3130" s="319">
        <v>0.5</v>
      </c>
    </row>
    <row r="3131" spans="1:14" ht="38.25" hidden="1" thickBot="1" x14ac:dyDescent="0.3">
      <c r="A3131" s="731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4">RIGHT(I3131,5)</f>
        <v>12,24</v>
      </c>
      <c r="L3131" s="90" t="s">
        <v>266</v>
      </c>
      <c r="M3131" s="90">
        <v>8435.52</v>
      </c>
      <c r="N3131" s="325">
        <v>0.5</v>
      </c>
    </row>
    <row r="3132" spans="1:14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4"/>
        <v>12,24</v>
      </c>
      <c r="L3132" s="75" t="s">
        <v>265</v>
      </c>
      <c r="M3132" s="75">
        <v>17120.12</v>
      </c>
      <c r="N3132" s="322">
        <v>0.375</v>
      </c>
    </row>
    <row r="3133" spans="1:14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4"/>
        <v>12,24</v>
      </c>
      <c r="L3133" s="40" t="s">
        <v>28</v>
      </c>
      <c r="M3133" s="40">
        <v>16842.18</v>
      </c>
      <c r="N3133" s="317">
        <v>0.41666666666666702</v>
      </c>
    </row>
    <row r="3134" spans="1:14" ht="19.5" hidden="1" thickBot="1" x14ac:dyDescent="0.3">
      <c r="A3134" s="732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4"/>
        <v>12,24</v>
      </c>
      <c r="L3134" s="48" t="s">
        <v>28</v>
      </c>
      <c r="M3134" s="48">
        <v>3949.07</v>
      </c>
      <c r="N3134" s="315">
        <v>0.45833333333333298</v>
      </c>
    </row>
    <row r="3135" spans="1:14" ht="19.5" hidden="1" thickBot="1" x14ac:dyDescent="0.3">
      <c r="A3135" s="732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4"/>
        <v>12,24</v>
      </c>
      <c r="L3135" s="23" t="s">
        <v>28</v>
      </c>
      <c r="M3135" s="23">
        <v>2975.88</v>
      </c>
      <c r="N3135" s="329">
        <v>0.45833333333333298</v>
      </c>
    </row>
    <row r="3136" spans="1:14" ht="19.5" hidden="1" thickBot="1" x14ac:dyDescent="0.3">
      <c r="A3136" s="732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4"/>
        <v>12,24</v>
      </c>
      <c r="L3136" s="23" t="s">
        <v>28</v>
      </c>
      <c r="M3136" s="23">
        <v>6417.39</v>
      </c>
      <c r="N3136" s="329">
        <v>0.45833333333333298</v>
      </c>
    </row>
    <row r="3137" spans="1:14" ht="19.5" hidden="1" thickBot="1" x14ac:dyDescent="0.3">
      <c r="A3137" s="732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4"/>
        <v>12,24</v>
      </c>
      <c r="L3137" s="71" t="s">
        <v>28</v>
      </c>
      <c r="M3137" s="71">
        <v>3946.02</v>
      </c>
      <c r="N3137" s="323">
        <v>0.45833333333333298</v>
      </c>
    </row>
    <row r="3138" spans="1:14" ht="19.5" hidden="1" thickBot="1" x14ac:dyDescent="0.3">
      <c r="A3138" s="731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4"/>
        <v>12,24</v>
      </c>
      <c r="L3138" s="82" t="s">
        <v>266</v>
      </c>
      <c r="M3138" s="82">
        <v>1830</v>
      </c>
      <c r="N3138" s="319">
        <v>0.5</v>
      </c>
    </row>
    <row r="3139" spans="1:14" ht="19.5" hidden="1" thickBot="1" x14ac:dyDescent="0.3">
      <c r="A3139" s="731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4"/>
        <v>12,24</v>
      </c>
      <c r="L3139" s="98" t="s">
        <v>266</v>
      </c>
      <c r="M3139" s="98">
        <v>511.2</v>
      </c>
      <c r="N3139" s="364">
        <v>0.5</v>
      </c>
    </row>
    <row r="3140" spans="1:14" ht="19.5" hidden="1" thickBot="1" x14ac:dyDescent="0.3">
      <c r="A3140" s="731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4"/>
        <v>12,24</v>
      </c>
      <c r="L3140" s="98" t="s">
        <v>28</v>
      </c>
      <c r="M3140" s="98">
        <v>7005</v>
      </c>
      <c r="N3140" s="364">
        <v>0.5</v>
      </c>
    </row>
    <row r="3141" spans="1:14" ht="19.5" hidden="1" thickBot="1" x14ac:dyDescent="0.3">
      <c r="A3141" s="731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4"/>
        <v>12,24</v>
      </c>
      <c r="L3141" s="90" t="s">
        <v>28</v>
      </c>
      <c r="M3141" s="90">
        <v>7493.76</v>
      </c>
      <c r="N3141" s="325">
        <v>0.5</v>
      </c>
    </row>
    <row r="3142" spans="1:14" ht="19.5" hidden="1" thickBot="1" x14ac:dyDescent="0.3">
      <c r="A3142" s="732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4"/>
        <v>12,24</v>
      </c>
      <c r="L3142" s="48" t="s">
        <v>28</v>
      </c>
      <c r="M3142" s="48">
        <v>4615.16</v>
      </c>
      <c r="N3142" s="315">
        <v>0.41666666666666702</v>
      </c>
    </row>
    <row r="3143" spans="1:14" ht="19.5" hidden="1" thickBot="1" x14ac:dyDescent="0.3">
      <c r="A3143" s="732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4"/>
        <v>12,24</v>
      </c>
      <c r="L3143" s="23" t="s">
        <v>28</v>
      </c>
      <c r="M3143" s="23">
        <v>93</v>
      </c>
      <c r="N3143" s="329">
        <v>0.41666666666666702</v>
      </c>
    </row>
    <row r="3144" spans="1:14" ht="19.5" hidden="1" thickBot="1" x14ac:dyDescent="0.3">
      <c r="A3144" s="732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4"/>
        <v>12,24</v>
      </c>
      <c r="L3144" s="23" t="s">
        <v>28</v>
      </c>
      <c r="M3144" s="23">
        <v>6490.8</v>
      </c>
      <c r="N3144" s="329">
        <v>0.41666666666666702</v>
      </c>
    </row>
    <row r="3145" spans="1:14" ht="19.5" hidden="1" thickBot="1" x14ac:dyDescent="0.3">
      <c r="A3145" s="732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4"/>
        <v>12,24</v>
      </c>
      <c r="L3145" s="71" t="s">
        <v>28</v>
      </c>
      <c r="M3145" s="71">
        <v>32.4</v>
      </c>
      <c r="N3145" s="323">
        <v>0.41666666666666702</v>
      </c>
    </row>
    <row r="3146" spans="1:14" ht="19.5" hidden="1" thickBot="1" x14ac:dyDescent="0.3">
      <c r="A3146" s="731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4"/>
        <v>12,24</v>
      </c>
      <c r="L3146" s="82" t="s">
        <v>28</v>
      </c>
      <c r="M3146" s="82">
        <v>4861.76</v>
      </c>
      <c r="N3146" s="319">
        <v>0.45833333333333298</v>
      </c>
    </row>
    <row r="3147" spans="1:14" ht="19.5" hidden="1" thickBot="1" x14ac:dyDescent="0.3">
      <c r="A3147" s="731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4"/>
        <v>12,24</v>
      </c>
      <c r="L3147" s="98" t="s">
        <v>28</v>
      </c>
      <c r="M3147" s="98">
        <v>32.4</v>
      </c>
      <c r="N3147" s="364">
        <v>0.45833333333333298</v>
      </c>
    </row>
    <row r="3148" spans="1:14" ht="19.5" hidden="1" thickBot="1" x14ac:dyDescent="0.3">
      <c r="A3148" s="731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4"/>
        <v>12,24</v>
      </c>
      <c r="L3148" s="98" t="s">
        <v>28</v>
      </c>
      <c r="M3148" s="98">
        <v>2766</v>
      </c>
      <c r="N3148" s="364">
        <v>0.45833333333333298</v>
      </c>
    </row>
    <row r="3149" spans="1:14" ht="19.5" hidden="1" thickBot="1" x14ac:dyDescent="0.3">
      <c r="A3149" s="731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4"/>
        <v>12,24</v>
      </c>
      <c r="L3149" s="90" t="s">
        <v>28</v>
      </c>
      <c r="M3149" s="90">
        <v>3718.08</v>
      </c>
      <c r="N3149" s="325">
        <v>0.45833333333333298</v>
      </c>
    </row>
    <row r="3150" spans="1:14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4"/>
        <v>12,24</v>
      </c>
      <c r="L3150" s="75" t="s">
        <v>265</v>
      </c>
      <c r="M3150" s="75">
        <v>17221.57</v>
      </c>
      <c r="N3150" s="322">
        <v>0.375</v>
      </c>
    </row>
    <row r="3151" spans="1:14" ht="19.5" hidden="1" thickBot="1" x14ac:dyDescent="0.3">
      <c r="A3151" s="73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4"/>
        <v>12,24</v>
      </c>
      <c r="L3151" s="82" t="s">
        <v>266</v>
      </c>
      <c r="M3151" s="82">
        <v>5632.16</v>
      </c>
      <c r="N3151" s="319">
        <v>0.5</v>
      </c>
    </row>
    <row r="3152" spans="1:14" ht="19.5" hidden="1" thickBot="1" x14ac:dyDescent="0.3">
      <c r="A3152" s="73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4"/>
        <v>12,24</v>
      </c>
      <c r="L3152" s="98" t="s">
        <v>266</v>
      </c>
      <c r="M3152" s="98">
        <v>8147.97</v>
      </c>
      <c r="N3152" s="364">
        <v>0.5</v>
      </c>
    </row>
    <row r="3153" spans="1:14" ht="19.5" hidden="1" thickBot="1" x14ac:dyDescent="0.3">
      <c r="A3153" s="73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4"/>
        <v>12,24</v>
      </c>
      <c r="L3153" s="65" t="s">
        <v>28</v>
      </c>
      <c r="M3153" s="65">
        <v>2883</v>
      </c>
      <c r="N3153" s="434">
        <v>0.5</v>
      </c>
    </row>
    <row r="3154" spans="1:14" ht="19.5" hidden="1" thickBot="1" x14ac:dyDescent="0.3">
      <c r="A3154" s="732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4"/>
        <v>12,24</v>
      </c>
      <c r="L3154" s="48" t="s">
        <v>266</v>
      </c>
      <c r="M3154" s="48">
        <v>13293.46</v>
      </c>
      <c r="N3154" s="315">
        <v>0.41666666666666702</v>
      </c>
    </row>
    <row r="3155" spans="1:14" ht="19.5" hidden="1" thickBot="1" x14ac:dyDescent="0.3">
      <c r="A3155" s="732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4"/>
        <v>12,24</v>
      </c>
      <c r="L3155" s="71" t="s">
        <v>28</v>
      </c>
      <c r="M3155" s="71">
        <v>4810.2</v>
      </c>
      <c r="N3155" s="323">
        <v>0.41666666666666702</v>
      </c>
    </row>
    <row r="3156" spans="1:14" ht="19.5" hidden="1" thickBot="1" x14ac:dyDescent="0.3">
      <c r="A3156" s="731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4"/>
        <v>12,24</v>
      </c>
      <c r="L3156" s="82" t="s">
        <v>266</v>
      </c>
      <c r="M3156" s="82">
        <v>8002.8</v>
      </c>
      <c r="N3156" s="319">
        <v>0.45833333333333298</v>
      </c>
    </row>
    <row r="3157" spans="1:14" ht="19.5" hidden="1" thickBot="1" x14ac:dyDescent="0.3">
      <c r="A3157" s="731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4"/>
        <v>12,24</v>
      </c>
      <c r="L3157" s="90" t="s">
        <v>28</v>
      </c>
      <c r="M3157" s="90">
        <v>10005</v>
      </c>
      <c r="N3157" s="325">
        <v>0.45833333333333298</v>
      </c>
    </row>
    <row r="3158" spans="1:14" ht="18.75" hidden="1" customHeight="1" thickBot="1" x14ac:dyDescent="0.3">
      <c r="A3158" s="732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737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4"/>
        <v>12,24</v>
      </c>
      <c r="L3158" s="48" t="s">
        <v>266</v>
      </c>
      <c r="M3158" s="48">
        <v>2743.8</v>
      </c>
      <c r="N3158" s="315">
        <v>0.5</v>
      </c>
    </row>
    <row r="3159" spans="1:14" ht="19.5" hidden="1" thickBot="1" x14ac:dyDescent="0.3">
      <c r="A3159" s="732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737"/>
      <c r="H3159" s="23" t="s">
        <v>716</v>
      </c>
      <c r="I3159" s="180" t="s">
        <v>716</v>
      </c>
      <c r="J3159" s="27"/>
      <c r="K3159" s="23" t="str">
        <f t="shared" si="94"/>
        <v>12,24</v>
      </c>
      <c r="L3159" s="23" t="s">
        <v>266</v>
      </c>
      <c r="M3159" s="23">
        <v>2041.06</v>
      </c>
      <c r="N3159" s="329">
        <v>0.5</v>
      </c>
    </row>
    <row r="3160" spans="1:14" ht="19.5" hidden="1" thickBot="1" x14ac:dyDescent="0.3">
      <c r="A3160" s="732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737"/>
      <c r="H3160" s="23" t="s">
        <v>716</v>
      </c>
      <c r="I3160" s="180" t="s">
        <v>716</v>
      </c>
      <c r="J3160" s="27" t="s">
        <v>266</v>
      </c>
      <c r="K3160" s="23" t="str">
        <f t="shared" si="94"/>
        <v>12,24</v>
      </c>
      <c r="L3160" s="23" t="s">
        <v>266</v>
      </c>
      <c r="M3160" s="23">
        <v>1801.8</v>
      </c>
      <c r="N3160" s="329">
        <v>0.5</v>
      </c>
    </row>
    <row r="3161" spans="1:14" ht="19.5" hidden="1" thickBot="1" x14ac:dyDescent="0.3">
      <c r="A3161" s="732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737"/>
      <c r="H3161" s="71" t="s">
        <v>716</v>
      </c>
      <c r="I3161" s="167" t="s">
        <v>716</v>
      </c>
      <c r="J3161" s="168" t="s">
        <v>28</v>
      </c>
      <c r="K3161" s="71" t="str">
        <f t="shared" si="94"/>
        <v>12,24</v>
      </c>
      <c r="L3161" s="71" t="s">
        <v>28</v>
      </c>
      <c r="M3161" s="71">
        <v>1200</v>
      </c>
      <c r="N3161" s="323">
        <v>0.5</v>
      </c>
    </row>
    <row r="3162" spans="1:14" ht="19.5" hidden="1" thickBot="1" x14ac:dyDescent="0.3">
      <c r="A3162" s="731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4"/>
        <v>12,24</v>
      </c>
      <c r="L3162" s="82" t="s">
        <v>265</v>
      </c>
      <c r="M3162" s="82">
        <v>14089.72</v>
      </c>
      <c r="N3162" s="319">
        <v>0.375</v>
      </c>
    </row>
    <row r="3163" spans="1:14" ht="19.5" hidden="1" thickBot="1" x14ac:dyDescent="0.3">
      <c r="A3163" s="731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4"/>
        <v>12,24</v>
      </c>
      <c r="L3163" s="90" t="s">
        <v>265</v>
      </c>
      <c r="M3163" s="90">
        <v>3542.4</v>
      </c>
      <c r="N3163" s="325">
        <v>0.375</v>
      </c>
    </row>
    <row r="3164" spans="1:14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4"/>
        <v>12,24</v>
      </c>
      <c r="L3164" s="158" t="s">
        <v>265</v>
      </c>
      <c r="M3164" s="158">
        <v>11193.68</v>
      </c>
      <c r="N3164" s="433">
        <v>0.375</v>
      </c>
    </row>
    <row r="3165" spans="1:14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4"/>
        <v>12,24</v>
      </c>
      <c r="L3165" s="40" t="s">
        <v>265</v>
      </c>
      <c r="M3165" s="40">
        <v>17838.78</v>
      </c>
      <c r="N3165" s="317">
        <v>0.375</v>
      </c>
    </row>
    <row r="3166" spans="1:14" ht="19.5" hidden="1" thickBot="1" x14ac:dyDescent="0.3">
      <c r="A3166" s="732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4"/>
        <v>12,24</v>
      </c>
      <c r="L3166" s="48" t="s">
        <v>266</v>
      </c>
      <c r="M3166" s="48">
        <v>6867.6</v>
      </c>
      <c r="N3166" s="315">
        <v>0.41666666666666702</v>
      </c>
    </row>
    <row r="3167" spans="1:14" ht="19.5" hidden="1" thickBot="1" x14ac:dyDescent="0.3">
      <c r="A3167" s="732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4"/>
        <v>12,24</v>
      </c>
      <c r="L3167" s="71" t="s">
        <v>28</v>
      </c>
      <c r="M3167" s="71">
        <v>8224.48</v>
      </c>
      <c r="N3167" s="323">
        <v>0.41666666666666702</v>
      </c>
    </row>
    <row r="3168" spans="1:14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4"/>
        <v>12,24</v>
      </c>
      <c r="L3168" s="40" t="s">
        <v>28</v>
      </c>
      <c r="M3168" s="40">
        <v>17237.21</v>
      </c>
      <c r="N3168" s="317">
        <v>0.45833333333333298</v>
      </c>
    </row>
    <row r="3169" spans="1:14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4"/>
        <v>12,24</v>
      </c>
      <c r="L3169" s="75" t="s">
        <v>28</v>
      </c>
      <c r="M3169" s="75">
        <v>17476.41</v>
      </c>
      <c r="N3169" s="322">
        <v>0.5</v>
      </c>
    </row>
    <row r="3170" spans="1:14" ht="19.5" hidden="1" thickBot="1" x14ac:dyDescent="0.3">
      <c r="A3170" s="731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4"/>
        <v>12,24</v>
      </c>
      <c r="L3170" s="82" t="s">
        <v>28</v>
      </c>
      <c r="M3170" s="82">
        <v>12119.89</v>
      </c>
      <c r="N3170" s="319">
        <v>0.54166666666666696</v>
      </c>
    </row>
    <row r="3171" spans="1:14" ht="19.5" hidden="1" thickBot="1" x14ac:dyDescent="0.3">
      <c r="A3171" s="731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4"/>
        <v>12,24</v>
      </c>
      <c r="L3171" s="98" t="s">
        <v>266</v>
      </c>
      <c r="M3171" s="98">
        <v>259.2</v>
      </c>
      <c r="N3171" s="364">
        <v>0.54166666666666696</v>
      </c>
    </row>
    <row r="3172" spans="1:14" ht="19.5" hidden="1" thickBot="1" x14ac:dyDescent="0.3">
      <c r="A3172" s="731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4"/>
        <v>12,24</v>
      </c>
      <c r="L3172" s="90" t="s">
        <v>28</v>
      </c>
      <c r="M3172" s="90">
        <v>4914.24</v>
      </c>
      <c r="N3172" s="325">
        <v>0.54166666666666696</v>
      </c>
    </row>
    <row r="3173" spans="1:14" ht="19.5" hidden="1" thickBot="1" x14ac:dyDescent="0.3">
      <c r="A3173" s="732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4"/>
        <v>12,24</v>
      </c>
      <c r="L3173" s="48" t="s">
        <v>28</v>
      </c>
      <c r="M3173" s="48">
        <v>15231.68</v>
      </c>
      <c r="N3173" s="315">
        <v>0.58333333333333304</v>
      </c>
    </row>
    <row r="3174" spans="1:14" ht="19.5" hidden="1" thickBot="1" x14ac:dyDescent="0.3">
      <c r="A3174" s="732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4"/>
        <v>12,24</v>
      </c>
      <c r="L3174" s="23" t="s">
        <v>266</v>
      </c>
      <c r="M3174" s="23">
        <v>240</v>
      </c>
      <c r="N3174" s="329">
        <v>0.58333333333333304</v>
      </c>
    </row>
    <row r="3175" spans="1:14" ht="19.5" hidden="1" thickBot="1" x14ac:dyDescent="0.3">
      <c r="A3175" s="732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4"/>
        <v>12,24</v>
      </c>
      <c r="L3175" s="71" t="s">
        <v>28</v>
      </c>
      <c r="M3175" s="71">
        <v>1814.34</v>
      </c>
      <c r="N3175" s="323">
        <v>0.58333333333333304</v>
      </c>
    </row>
    <row r="3176" spans="1:14" ht="19.5" hidden="1" thickBot="1" x14ac:dyDescent="0.3">
      <c r="A3176" s="731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4"/>
        <v>12,24</v>
      </c>
      <c r="L3176" s="82" t="s">
        <v>28</v>
      </c>
      <c r="M3176" s="82">
        <v>3875.96</v>
      </c>
      <c r="N3176" s="319">
        <v>0.41666666666666702</v>
      </c>
    </row>
    <row r="3177" spans="1:14" ht="19.5" hidden="1" thickBot="1" x14ac:dyDescent="0.3">
      <c r="A3177" s="731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4"/>
        <v>12,24</v>
      </c>
      <c r="L3177" s="90" t="s">
        <v>28</v>
      </c>
      <c r="M3177" s="90">
        <v>9018.9599999999991</v>
      </c>
      <c r="N3177" s="325">
        <v>0.41666666666666702</v>
      </c>
    </row>
    <row r="3178" spans="1:14" ht="19.5" hidden="1" thickBot="1" x14ac:dyDescent="0.3">
      <c r="A3178" s="732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4"/>
        <v>12,24</v>
      </c>
      <c r="L3178" s="48" t="s">
        <v>28</v>
      </c>
      <c r="M3178" s="48">
        <v>6776.12</v>
      </c>
      <c r="N3178" s="315">
        <v>0.45833333333333298</v>
      </c>
    </row>
    <row r="3179" spans="1:14" ht="19.5" hidden="1" thickBot="1" x14ac:dyDescent="0.3">
      <c r="A3179" s="732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4"/>
        <v>12,24</v>
      </c>
      <c r="L3179" s="71" t="s">
        <v>28</v>
      </c>
      <c r="M3179" s="71">
        <v>4409.5200000000004</v>
      </c>
      <c r="N3179" s="323">
        <v>0.45833333333333298</v>
      </c>
    </row>
    <row r="3180" spans="1:14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4"/>
        <v>01,25</v>
      </c>
      <c r="L3180" s="40" t="s">
        <v>28</v>
      </c>
      <c r="M3180" s="40">
        <v>14978.4</v>
      </c>
      <c r="N3180" s="317">
        <v>0.41666666666666702</v>
      </c>
    </row>
    <row r="3181" spans="1:14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4"/>
        <v>01,25</v>
      </c>
      <c r="L3181" s="75" t="s">
        <v>266</v>
      </c>
      <c r="M3181" s="75">
        <v>15152.28</v>
      </c>
      <c r="N3181" s="322">
        <v>0.45833333333333298</v>
      </c>
    </row>
    <row r="3182" spans="1:14" ht="19.5" hidden="1" thickBot="1" x14ac:dyDescent="0.3">
      <c r="A3182" s="731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4"/>
        <v>01,25</v>
      </c>
      <c r="L3182" s="82" t="s">
        <v>28</v>
      </c>
      <c r="M3182" s="82">
        <v>1155</v>
      </c>
      <c r="N3182" s="319">
        <v>0.5</v>
      </c>
    </row>
    <row r="3183" spans="1:14" ht="19.5" hidden="1" thickBot="1" x14ac:dyDescent="0.3">
      <c r="A3183" s="731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4"/>
        <v>01,25</v>
      </c>
      <c r="L3183" s="98" t="s">
        <v>28</v>
      </c>
      <c r="M3183" s="98">
        <v>7388.4</v>
      </c>
      <c r="N3183" s="364">
        <v>0.5</v>
      </c>
    </row>
    <row r="3184" spans="1:14" ht="19.5" hidden="1" thickBot="1" x14ac:dyDescent="0.3">
      <c r="A3184" s="731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4"/>
        <v>01,25</v>
      </c>
      <c r="L3184" s="98" t="s">
        <v>28</v>
      </c>
      <c r="M3184" s="98">
        <v>4181.92</v>
      </c>
      <c r="N3184" s="364">
        <v>0.5</v>
      </c>
    </row>
    <row r="3185" spans="1:14" ht="19.5" hidden="1" thickBot="1" x14ac:dyDescent="0.3">
      <c r="A3185" s="731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4"/>
        <v>01,25</v>
      </c>
      <c r="L3185" s="90" t="s">
        <v>28</v>
      </c>
      <c r="M3185" s="90">
        <v>4755</v>
      </c>
      <c r="N3185" s="325">
        <v>0.5</v>
      </c>
    </row>
    <row r="3186" spans="1:14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4"/>
        <v>01,25</v>
      </c>
      <c r="L3186" s="40" t="s">
        <v>266</v>
      </c>
      <c r="M3186" s="40">
        <v>5331.4</v>
      </c>
      <c r="N3186" s="317">
        <v>0.41666666666666702</v>
      </c>
    </row>
    <row r="3187" spans="1:14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4"/>
        <v>01,25</v>
      </c>
      <c r="L3187" s="75" t="s">
        <v>265</v>
      </c>
      <c r="M3187" s="75">
        <v>17269.7</v>
      </c>
      <c r="N3187" s="322">
        <v>0.375</v>
      </c>
    </row>
    <row r="3188" spans="1:14" ht="19.5" hidden="1" thickBot="1" x14ac:dyDescent="0.3">
      <c r="A3188" s="73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4"/>
        <v>01,25</v>
      </c>
      <c r="L3188" s="82" t="s">
        <v>266</v>
      </c>
      <c r="M3188" s="82">
        <v>2004.6</v>
      </c>
      <c r="N3188" s="319">
        <v>0.41666666666666702</v>
      </c>
    </row>
    <row r="3189" spans="1:14" ht="19.5" hidden="1" thickBot="1" x14ac:dyDescent="0.3">
      <c r="A3189" s="73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4"/>
        <v>01,25</v>
      </c>
      <c r="L3189" s="98" t="s">
        <v>266</v>
      </c>
      <c r="M3189" s="98">
        <v>2051.52</v>
      </c>
      <c r="N3189" s="364">
        <v>0.41666666666666702</v>
      </c>
    </row>
    <row r="3190" spans="1:14" ht="19.5" hidden="1" thickBot="1" x14ac:dyDescent="0.3">
      <c r="A3190" s="73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4"/>
        <v>01,25</v>
      </c>
      <c r="L3190" s="65" t="s">
        <v>266</v>
      </c>
      <c r="M3190" s="65">
        <v>3601.2</v>
      </c>
      <c r="N3190" s="434">
        <v>0.41666666666666702</v>
      </c>
    </row>
    <row r="3191" spans="1:14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4"/>
        <v>01,25</v>
      </c>
      <c r="L3191" s="75" t="s">
        <v>265</v>
      </c>
      <c r="M3191" s="75">
        <v>17304.5</v>
      </c>
      <c r="N3191" s="322">
        <v>0.375</v>
      </c>
    </row>
    <row r="3192" spans="1:14" ht="57" hidden="1" thickBot="1" x14ac:dyDescent="0.3">
      <c r="A3192" s="731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4"/>
        <v>01,25</v>
      </c>
      <c r="L3192" s="82" t="s">
        <v>28</v>
      </c>
      <c r="M3192" s="82">
        <v>1280.8</v>
      </c>
      <c r="N3192" s="319">
        <v>0.5</v>
      </c>
    </row>
    <row r="3193" spans="1:14" ht="19.5" hidden="1" thickBot="1" x14ac:dyDescent="0.3">
      <c r="A3193" s="731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4"/>
        <v>01,25</v>
      </c>
      <c r="L3193" s="98" t="s">
        <v>28</v>
      </c>
      <c r="M3193" s="98">
        <v>13985.12</v>
      </c>
      <c r="N3193" s="364">
        <v>0.5</v>
      </c>
    </row>
    <row r="3194" spans="1:14" ht="19.5" hidden="1" thickBot="1" x14ac:dyDescent="0.3">
      <c r="A3194" s="731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4"/>
        <v>01,25</v>
      </c>
      <c r="L3194" s="90" t="s">
        <v>28</v>
      </c>
      <c r="M3194" s="90">
        <v>1521</v>
      </c>
      <c r="N3194" s="325">
        <v>0.5</v>
      </c>
    </row>
    <row r="3195" spans="1:14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5">RIGHT(I3195,5)</f>
        <v>01,25</v>
      </c>
      <c r="L3195" s="75" t="s">
        <v>265</v>
      </c>
      <c r="M3195" s="75">
        <v>17421.64</v>
      </c>
      <c r="N3195" s="322">
        <v>0.375</v>
      </c>
    </row>
    <row r="3196" spans="1:14" ht="19.5" hidden="1" thickBot="1" x14ac:dyDescent="0.3">
      <c r="A3196" s="731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5"/>
        <v>01,25</v>
      </c>
      <c r="L3196" s="82" t="s">
        <v>28</v>
      </c>
      <c r="M3196" s="82">
        <v>13959.9</v>
      </c>
      <c r="N3196" s="319">
        <v>0.41666666666666702</v>
      </c>
    </row>
    <row r="3197" spans="1:14" ht="19.5" hidden="1" thickBot="1" x14ac:dyDescent="0.3">
      <c r="A3197" s="731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5"/>
        <v>01,25</v>
      </c>
      <c r="L3197" s="90" t="s">
        <v>28</v>
      </c>
      <c r="M3197" s="90">
        <v>3875.7</v>
      </c>
      <c r="N3197" s="325">
        <v>0.41666666666666702</v>
      </c>
    </row>
    <row r="3198" spans="1:14" ht="19.5" hidden="1" thickBot="1" x14ac:dyDescent="0.3">
      <c r="A3198" s="732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5"/>
        <v>01,25</v>
      </c>
      <c r="L3198" s="48" t="s">
        <v>28</v>
      </c>
      <c r="M3198" s="48">
        <v>2075.38</v>
      </c>
      <c r="N3198" s="315">
        <v>0.45833333333333298</v>
      </c>
    </row>
    <row r="3199" spans="1:14" ht="19.5" hidden="1" thickBot="1" x14ac:dyDescent="0.3">
      <c r="A3199" s="732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5"/>
        <v>01,25</v>
      </c>
      <c r="L3199" s="23" t="s">
        <v>28</v>
      </c>
      <c r="M3199" s="23">
        <v>5360.9</v>
      </c>
      <c r="N3199" s="329">
        <v>0.45833333333333298</v>
      </c>
    </row>
    <row r="3200" spans="1:14" ht="19.5" hidden="1" thickBot="1" x14ac:dyDescent="0.3">
      <c r="A3200" s="732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5"/>
        <v>01,25</v>
      </c>
      <c r="L3200" s="71" t="s">
        <v>28</v>
      </c>
      <c r="M3200" s="71">
        <v>9960.06</v>
      </c>
      <c r="N3200" s="323">
        <v>0.45833333333333298</v>
      </c>
    </row>
    <row r="3201" spans="1:14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5"/>
        <v>01,25</v>
      </c>
      <c r="L3201" s="40" t="s">
        <v>265</v>
      </c>
      <c r="M3201" s="40">
        <v>12187.04</v>
      </c>
      <c r="N3201" s="317">
        <v>0.375</v>
      </c>
    </row>
    <row r="3202" spans="1:14" ht="19.5" hidden="1" thickBot="1" x14ac:dyDescent="0.3">
      <c r="A3202" s="732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5"/>
        <v>01,25</v>
      </c>
      <c r="L3202" s="48" t="s">
        <v>28</v>
      </c>
      <c r="M3202" s="48">
        <v>3312.8</v>
      </c>
      <c r="N3202" s="315">
        <v>0.41666666666666702</v>
      </c>
    </row>
    <row r="3203" spans="1:14" ht="19.5" hidden="1" thickBot="1" x14ac:dyDescent="0.3">
      <c r="A3203" s="732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5"/>
        <v>01,25</v>
      </c>
      <c r="L3203" s="71" t="s">
        <v>28</v>
      </c>
      <c r="M3203" s="71">
        <v>6920.04</v>
      </c>
      <c r="N3203" s="323">
        <v>0.41666666666666702</v>
      </c>
    </row>
    <row r="3204" spans="1:14" ht="19.5" hidden="1" thickBot="1" x14ac:dyDescent="0.3">
      <c r="A3204" s="731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5"/>
        <v>01,25</v>
      </c>
      <c r="L3204" s="82" t="s">
        <v>28</v>
      </c>
      <c r="M3204" s="82">
        <v>6898.32</v>
      </c>
      <c r="N3204" s="319">
        <v>0.45833333333333298</v>
      </c>
    </row>
    <row r="3205" spans="1:14" ht="19.5" hidden="1" thickBot="1" x14ac:dyDescent="0.3">
      <c r="A3205" s="731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5"/>
        <v>01,25</v>
      </c>
      <c r="L3205" s="90" t="s">
        <v>28</v>
      </c>
      <c r="M3205" s="90">
        <v>4853</v>
      </c>
      <c r="N3205" s="325">
        <v>0.45833333333333298</v>
      </c>
    </row>
    <row r="3206" spans="1:14" ht="38.25" hidden="1" thickBot="1" x14ac:dyDescent="0.3">
      <c r="A3206" s="735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5"/>
        <v>01,25</v>
      </c>
      <c r="L3206" s="48" t="s">
        <v>266</v>
      </c>
      <c r="M3206" s="48">
        <v>13032</v>
      </c>
      <c r="N3206" s="315">
        <v>0.41666666666666702</v>
      </c>
    </row>
    <row r="3207" spans="1:14" ht="38.25" hidden="1" thickBot="1" x14ac:dyDescent="0.3">
      <c r="A3207" s="735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5"/>
        <v>01,25</v>
      </c>
      <c r="L3207" s="293" t="s">
        <v>28</v>
      </c>
      <c r="M3207" s="293">
        <v>5010</v>
      </c>
      <c r="N3207" s="389">
        <v>0.41666666666666702</v>
      </c>
    </row>
    <row r="3208" spans="1:14" ht="19.5" hidden="1" thickBot="1" x14ac:dyDescent="0.3">
      <c r="A3208" s="731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5"/>
        <v>01,25</v>
      </c>
      <c r="L3208" s="82" t="s">
        <v>266</v>
      </c>
      <c r="M3208" s="82">
        <v>12340.04</v>
      </c>
      <c r="N3208" s="319">
        <v>0.41666666666666702</v>
      </c>
    </row>
    <row r="3209" spans="1:14" ht="19.5" hidden="1" thickBot="1" x14ac:dyDescent="0.3">
      <c r="A3209" s="731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5"/>
        <v>01,25</v>
      </c>
      <c r="L3209" s="90" t="s">
        <v>28</v>
      </c>
      <c r="M3209" s="90">
        <v>5805</v>
      </c>
      <c r="N3209" s="325">
        <v>0.41666666666666702</v>
      </c>
    </row>
    <row r="3210" spans="1:14" ht="19.5" hidden="1" thickBot="1" x14ac:dyDescent="0.3">
      <c r="A3210" s="732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5"/>
        <v>01,25</v>
      </c>
      <c r="L3210" s="48" t="s">
        <v>266</v>
      </c>
      <c r="M3210" s="48">
        <v>14318.99</v>
      </c>
      <c r="N3210" s="315">
        <v>0.45833333333333298</v>
      </c>
    </row>
    <row r="3211" spans="1:14" ht="19.5" hidden="1" thickBot="1" x14ac:dyDescent="0.3">
      <c r="A3211" s="732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5"/>
        <v>01,25</v>
      </c>
      <c r="L3211" s="71" t="s">
        <v>28</v>
      </c>
      <c r="M3211" s="71">
        <v>3750</v>
      </c>
      <c r="N3211" s="323">
        <v>0.45833333333333298</v>
      </c>
    </row>
    <row r="3212" spans="1:14" ht="19.5" hidden="1" thickBot="1" x14ac:dyDescent="0.3">
      <c r="A3212" s="731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5"/>
        <v>01,25</v>
      </c>
      <c r="L3212" s="82" t="s">
        <v>266</v>
      </c>
      <c r="M3212" s="82">
        <v>14527.2</v>
      </c>
      <c r="N3212" s="319">
        <v>0.5</v>
      </c>
    </row>
    <row r="3213" spans="1:14" ht="19.5" hidden="1" thickBot="1" x14ac:dyDescent="0.3">
      <c r="A3213" s="731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5"/>
        <v>01,25</v>
      </c>
      <c r="L3213" s="90" t="s">
        <v>28</v>
      </c>
      <c r="M3213" s="90">
        <v>3510</v>
      </c>
      <c r="N3213" s="325">
        <v>0.5</v>
      </c>
    </row>
    <row r="3214" spans="1:14" ht="17.850000000000001" hidden="1" customHeight="1" thickBot="1" x14ac:dyDescent="0.3">
      <c r="A3214" s="735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736" t="s">
        <v>467</v>
      </c>
      <c r="H3214" s="48" t="s">
        <v>727</v>
      </c>
      <c r="I3214" s="163" t="s">
        <v>728</v>
      </c>
      <c r="J3214" s="52"/>
      <c r="K3214" s="48" t="str">
        <f t="shared" si="95"/>
        <v>01,25</v>
      </c>
      <c r="L3214" s="48" t="s">
        <v>266</v>
      </c>
      <c r="M3214" s="48">
        <v>2179.64</v>
      </c>
      <c r="N3214" s="315">
        <v>0.54166666666666696</v>
      </c>
    </row>
    <row r="3215" spans="1:14" ht="19.5" hidden="1" thickBot="1" x14ac:dyDescent="0.3">
      <c r="A3215" s="735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736"/>
      <c r="H3215" s="23" t="s">
        <v>727</v>
      </c>
      <c r="I3215" s="180" t="s">
        <v>728</v>
      </c>
      <c r="J3215" s="27"/>
      <c r="K3215" s="23" t="str">
        <f t="shared" si="95"/>
        <v>01,25</v>
      </c>
      <c r="L3215" s="23" t="s">
        <v>266</v>
      </c>
      <c r="M3215" s="23">
        <v>893</v>
      </c>
      <c r="N3215" s="329">
        <v>0.54166666666666696</v>
      </c>
    </row>
    <row r="3216" spans="1:14" ht="19.5" hidden="1" thickBot="1" x14ac:dyDescent="0.3">
      <c r="A3216" s="735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736"/>
      <c r="H3216" s="23" t="s">
        <v>727</v>
      </c>
      <c r="I3216" s="180" t="s">
        <v>728</v>
      </c>
      <c r="J3216" s="27" t="s">
        <v>266</v>
      </c>
      <c r="K3216" s="23" t="str">
        <f t="shared" si="95"/>
        <v>01,25</v>
      </c>
      <c r="L3216" s="23" t="s">
        <v>266</v>
      </c>
      <c r="M3216" s="23">
        <v>1613.6</v>
      </c>
      <c r="N3216" s="329">
        <v>0.54166666666666696</v>
      </c>
    </row>
    <row r="3217" spans="1:14" ht="19.5" hidden="1" thickBot="1" x14ac:dyDescent="0.3">
      <c r="A3217" s="735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736"/>
      <c r="H3217" s="23" t="s">
        <v>727</v>
      </c>
      <c r="I3217" s="180" t="s">
        <v>728</v>
      </c>
      <c r="J3217" s="27" t="s">
        <v>266</v>
      </c>
      <c r="K3217" s="23" t="str">
        <f t="shared" si="95"/>
        <v>01,25</v>
      </c>
      <c r="L3217" s="23" t="s">
        <v>266</v>
      </c>
      <c r="M3217" s="23">
        <v>1781.26</v>
      </c>
      <c r="N3217" s="329">
        <v>0.54166666666666696</v>
      </c>
    </row>
    <row r="3218" spans="1:14" ht="19.5" hidden="1" thickBot="1" x14ac:dyDescent="0.3">
      <c r="A3218" s="735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736"/>
      <c r="H3218" s="23" t="s">
        <v>727</v>
      </c>
      <c r="I3218" s="180" t="s">
        <v>728</v>
      </c>
      <c r="J3218" s="27" t="s">
        <v>266</v>
      </c>
      <c r="K3218" s="23" t="str">
        <f t="shared" si="95"/>
        <v>01,25</v>
      </c>
      <c r="L3218" s="23" t="s">
        <v>266</v>
      </c>
      <c r="M3218" s="23">
        <v>1433.06</v>
      </c>
      <c r="N3218" s="329">
        <v>0.54166666666666696</v>
      </c>
    </row>
    <row r="3219" spans="1:14" ht="19.5" hidden="1" thickBot="1" x14ac:dyDescent="0.3">
      <c r="A3219" s="735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736"/>
      <c r="H3219" s="293" t="s">
        <v>727</v>
      </c>
      <c r="I3219" s="388" t="s">
        <v>728</v>
      </c>
      <c r="J3219" s="296" t="s">
        <v>28</v>
      </c>
      <c r="K3219" s="293" t="str">
        <f t="shared" si="95"/>
        <v>01,25</v>
      </c>
      <c r="L3219" s="293" t="s">
        <v>28</v>
      </c>
      <c r="M3219" s="293">
        <v>870</v>
      </c>
      <c r="N3219" s="389">
        <v>0.54166666666666696</v>
      </c>
    </row>
    <row r="3220" spans="1:14" ht="19.5" hidden="1" thickBot="1" x14ac:dyDescent="0.3">
      <c r="A3220" s="731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5"/>
        <v>01,25</v>
      </c>
      <c r="L3220" s="82" t="s">
        <v>265</v>
      </c>
      <c r="M3220" s="82">
        <v>12631.22</v>
      </c>
      <c r="N3220" s="319">
        <v>0.375</v>
      </c>
    </row>
    <row r="3221" spans="1:14" ht="19.5" hidden="1" thickBot="1" x14ac:dyDescent="0.3">
      <c r="A3221" s="731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5"/>
        <v>01,25</v>
      </c>
      <c r="L3221" s="90" t="s">
        <v>265</v>
      </c>
      <c r="M3221" s="90">
        <v>3976.4</v>
      </c>
      <c r="N3221" s="325">
        <v>0.375</v>
      </c>
    </row>
    <row r="3222" spans="1:14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5"/>
        <v>01,25</v>
      </c>
      <c r="L3222" s="75" t="s">
        <v>265</v>
      </c>
      <c r="M3222" s="75">
        <v>17254.080000000002</v>
      </c>
      <c r="N3222" s="322">
        <v>0.375</v>
      </c>
    </row>
    <row r="3223" spans="1:14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5"/>
        <v>01,25</v>
      </c>
      <c r="L3223" s="40" t="s">
        <v>28</v>
      </c>
      <c r="M3223" s="40">
        <v>15887.8</v>
      </c>
      <c r="N3223" s="317">
        <v>0.41666666666666702</v>
      </c>
    </row>
    <row r="3224" spans="1:14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5"/>
        <v>01,25</v>
      </c>
      <c r="L3224" s="75" t="s">
        <v>28</v>
      </c>
      <c r="M3224" s="75">
        <v>15681</v>
      </c>
      <c r="N3224" s="322">
        <v>0.45833333333333298</v>
      </c>
    </row>
    <row r="3225" spans="1:14" ht="57" hidden="1" thickBot="1" x14ac:dyDescent="0.3">
      <c r="A3225" s="731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5"/>
        <v>01,25</v>
      </c>
      <c r="L3225" s="82" t="s">
        <v>266</v>
      </c>
      <c r="M3225" s="82">
        <v>16245.3</v>
      </c>
      <c r="N3225" s="319">
        <v>0.5</v>
      </c>
    </row>
    <row r="3226" spans="1:14" ht="57" hidden="1" thickBot="1" x14ac:dyDescent="0.3">
      <c r="A3226" s="731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5"/>
        <v>01,25</v>
      </c>
      <c r="L3226" s="90" t="s">
        <v>28</v>
      </c>
      <c r="M3226" s="90">
        <v>1515</v>
      </c>
      <c r="N3226" s="325">
        <v>0.5</v>
      </c>
    </row>
    <row r="3227" spans="1:14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5"/>
        <v>01,25</v>
      </c>
      <c r="L3227" s="75" t="s">
        <v>265</v>
      </c>
      <c r="M3227" s="75">
        <v>12214.68</v>
      </c>
      <c r="N3227" s="322">
        <v>0.375</v>
      </c>
    </row>
    <row r="3228" spans="1:14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5"/>
        <v>01,25</v>
      </c>
      <c r="L3228" s="122" t="s">
        <v>28</v>
      </c>
      <c r="M3228" s="122">
        <v>12043.28</v>
      </c>
      <c r="N3228" s="365">
        <v>0.41666666666666702</v>
      </c>
    </row>
    <row r="3229" spans="1:14" ht="19.5" hidden="1" thickBot="1" x14ac:dyDescent="0.3">
      <c r="A3229" s="732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5"/>
        <v>01,25</v>
      </c>
      <c r="L3229" s="48" t="s">
        <v>265</v>
      </c>
      <c r="M3229" s="48">
        <v>2071.1999999999998</v>
      </c>
      <c r="N3229" s="315">
        <v>0.33333333333333298</v>
      </c>
    </row>
    <row r="3230" spans="1:14" ht="19.5" hidden="1" thickBot="1" x14ac:dyDescent="0.3">
      <c r="A3230" s="732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5"/>
        <v>01,25</v>
      </c>
      <c r="L3230" s="71" t="s">
        <v>265</v>
      </c>
      <c r="M3230" s="71">
        <v>9015.56</v>
      </c>
      <c r="N3230" s="323">
        <v>0.33333333333333298</v>
      </c>
    </row>
    <row r="3231" spans="1:14" ht="19.5" hidden="1" thickBot="1" x14ac:dyDescent="0.3">
      <c r="A3231" s="731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5"/>
        <v>01,25</v>
      </c>
      <c r="L3231" s="82" t="s">
        <v>28</v>
      </c>
      <c r="M3231" s="82">
        <v>1021.32</v>
      </c>
      <c r="N3231" s="319">
        <v>0.41666666666666702</v>
      </c>
    </row>
    <row r="3232" spans="1:14" ht="19.5" hidden="1" thickBot="1" x14ac:dyDescent="0.3">
      <c r="A3232" s="731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5"/>
        <v>01,25</v>
      </c>
      <c r="L3232" s="90" t="s">
        <v>28</v>
      </c>
      <c r="M3232" s="90">
        <v>16298.2</v>
      </c>
      <c r="N3232" s="325">
        <v>0.41666666666666702</v>
      </c>
    </row>
    <row r="3233" spans="1:14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5"/>
        <v>01,25</v>
      </c>
      <c r="L3233" s="75" t="s">
        <v>28</v>
      </c>
      <c r="M3233" s="75">
        <v>15727.8</v>
      </c>
      <c r="N3233" s="322">
        <v>0.45833333333333298</v>
      </c>
    </row>
    <row r="3234" spans="1:14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5"/>
        <v>01,25</v>
      </c>
      <c r="L3234" s="40" t="s">
        <v>28</v>
      </c>
      <c r="M3234" s="40">
        <v>17594.509999999998</v>
      </c>
      <c r="N3234" s="317">
        <v>0.5</v>
      </c>
    </row>
    <row r="3235" spans="1:14" ht="19.5" hidden="1" thickBot="1" x14ac:dyDescent="0.3">
      <c r="A3235" s="735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5"/>
        <v>01,25</v>
      </c>
      <c r="L3235" s="48" t="s">
        <v>28</v>
      </c>
      <c r="M3235" s="48">
        <v>1613.88</v>
      </c>
      <c r="N3235" s="315">
        <v>0.54166666666666696</v>
      </c>
    </row>
    <row r="3236" spans="1:14" ht="19.5" hidden="1" thickBot="1" x14ac:dyDescent="0.3">
      <c r="A3236" s="735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5"/>
        <v>01,25</v>
      </c>
      <c r="L3236" s="23" t="s">
        <v>28</v>
      </c>
      <c r="M3236" s="23">
        <v>9337.7900000000009</v>
      </c>
      <c r="N3236" s="329">
        <v>0.54166666666666696</v>
      </c>
    </row>
    <row r="3237" spans="1:14" ht="19.5" hidden="1" thickBot="1" x14ac:dyDescent="0.3">
      <c r="A3237" s="735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5"/>
        <v>01,25</v>
      </c>
      <c r="L3237" s="23" t="s">
        <v>28</v>
      </c>
      <c r="M3237" s="23">
        <v>2847.6</v>
      </c>
      <c r="N3237" s="329">
        <v>0.54166666666666696</v>
      </c>
    </row>
    <row r="3238" spans="1:14" ht="19.5" hidden="1" thickBot="1" x14ac:dyDescent="0.3">
      <c r="A3238" s="735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5"/>
        <v>01,25</v>
      </c>
      <c r="L3238" s="293" t="s">
        <v>28</v>
      </c>
      <c r="M3238" s="293">
        <v>3763.14</v>
      </c>
      <c r="N3238" s="389">
        <v>0.54166666666666696</v>
      </c>
    </row>
    <row r="3239" spans="1:14" ht="19.5" hidden="1" thickBot="1" x14ac:dyDescent="0.3">
      <c r="A3239" s="110">
        <f t="shared" ref="A3239:A3245" si="96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5"/>
        <v>01,25</v>
      </c>
      <c r="L3239" s="40" t="s">
        <v>28</v>
      </c>
      <c r="M3239" s="40">
        <v>15794.7</v>
      </c>
      <c r="N3239" s="317">
        <v>0.45833333333333298</v>
      </c>
    </row>
    <row r="3240" spans="1:14" ht="19.5" hidden="1" thickBot="1" x14ac:dyDescent="0.3">
      <c r="A3240" s="111">
        <f t="shared" si="96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5"/>
        <v>01,25</v>
      </c>
      <c r="L3240" s="48" t="s">
        <v>265</v>
      </c>
      <c r="M3240" s="48">
        <v>3053.18</v>
      </c>
      <c r="N3240" s="315">
        <v>0.41666666666666702</v>
      </c>
    </row>
    <row r="3241" spans="1:14" ht="75.75" hidden="1" thickBot="1" x14ac:dyDescent="0.3">
      <c r="A3241" s="110">
        <f t="shared" si="96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5"/>
        <v>01,25</v>
      </c>
      <c r="L3241" s="40" t="s">
        <v>28</v>
      </c>
      <c r="M3241" s="40">
        <v>8486.94</v>
      </c>
      <c r="N3241" s="317">
        <v>0.58333333333333304</v>
      </c>
    </row>
    <row r="3242" spans="1:14" ht="19.5" hidden="1" thickBot="1" x14ac:dyDescent="0.3">
      <c r="A3242" s="111">
        <f t="shared" si="96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5"/>
        <v>01,25</v>
      </c>
      <c r="L3242" s="75" t="s">
        <v>265</v>
      </c>
      <c r="M3242" s="75">
        <v>17366.5</v>
      </c>
      <c r="N3242" s="322">
        <v>0.375</v>
      </c>
    </row>
    <row r="3243" spans="1:14" ht="19.5" hidden="1" thickBot="1" x14ac:dyDescent="0.3">
      <c r="A3243" s="110">
        <f t="shared" si="96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5"/>
        <v>01,25</v>
      </c>
      <c r="L3243" s="40" t="s">
        <v>265</v>
      </c>
      <c r="M3243" s="40">
        <v>8029.2</v>
      </c>
      <c r="N3243" s="317">
        <v>0.58333333333333304</v>
      </c>
    </row>
    <row r="3244" spans="1:14" ht="19.5" hidden="1" thickBot="1" x14ac:dyDescent="0.3">
      <c r="A3244" s="111">
        <f t="shared" si="96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5"/>
        <v>01,25</v>
      </c>
      <c r="L3244" s="75" t="s">
        <v>28</v>
      </c>
      <c r="M3244" s="75">
        <v>11542.8</v>
      </c>
      <c r="N3244" s="322">
        <v>0.41666666666666702</v>
      </c>
    </row>
    <row r="3245" spans="1:14" ht="19.5" hidden="1" thickBot="1" x14ac:dyDescent="0.3">
      <c r="A3245" s="731">
        <f t="shared" si="96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5"/>
        <v>01,25</v>
      </c>
      <c r="L3245" s="82" t="s">
        <v>28</v>
      </c>
      <c r="M3245" s="82">
        <v>1026</v>
      </c>
      <c r="N3245" s="319">
        <v>0.45833333333333298</v>
      </c>
    </row>
    <row r="3246" spans="1:14" ht="19.5" hidden="1" thickBot="1" x14ac:dyDescent="0.3">
      <c r="A3246" s="731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5"/>
        <v>01,25</v>
      </c>
      <c r="L3246" s="98" t="s">
        <v>28</v>
      </c>
      <c r="M3246" s="98">
        <v>5172.1899999999996</v>
      </c>
      <c r="N3246" s="364">
        <v>0.45833333333333298</v>
      </c>
    </row>
    <row r="3247" spans="1:14" ht="19.5" hidden="1" thickBot="1" x14ac:dyDescent="0.3">
      <c r="A3247" s="731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5"/>
        <v>01,25</v>
      </c>
      <c r="L3247" s="90" t="s">
        <v>28</v>
      </c>
      <c r="M3247" s="90">
        <v>11593.5</v>
      </c>
      <c r="N3247" s="325">
        <v>0.45833333333333298</v>
      </c>
    </row>
    <row r="3248" spans="1:14" ht="19.5" hidden="1" thickBot="1" x14ac:dyDescent="0.3">
      <c r="A3248" s="732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5"/>
        <v>01,25</v>
      </c>
      <c r="L3248" s="48" t="s">
        <v>28</v>
      </c>
      <c r="M3248" s="48">
        <v>5018.92</v>
      </c>
      <c r="N3248" s="315">
        <v>0.5</v>
      </c>
    </row>
    <row r="3249" spans="1:14" ht="19.5" hidden="1" thickBot="1" x14ac:dyDescent="0.3">
      <c r="A3249" s="732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5"/>
        <v>01,25</v>
      </c>
      <c r="L3249" s="23" t="s">
        <v>28</v>
      </c>
      <c r="M3249" s="23">
        <v>2198.52</v>
      </c>
      <c r="N3249" s="329">
        <v>0.5</v>
      </c>
    </row>
    <row r="3250" spans="1:14" ht="19.5" hidden="1" thickBot="1" x14ac:dyDescent="0.3">
      <c r="A3250" s="732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5"/>
        <v>01,25</v>
      </c>
      <c r="L3250" s="71" t="s">
        <v>28</v>
      </c>
      <c r="M3250" s="71">
        <v>10605.6</v>
      </c>
      <c r="N3250" s="323">
        <v>0.5</v>
      </c>
    </row>
    <row r="3251" spans="1:14" ht="19.5" hidden="1" thickBot="1" x14ac:dyDescent="0.3">
      <c r="A3251" s="731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5"/>
        <v>01,25</v>
      </c>
      <c r="L3251" s="82" t="s">
        <v>28</v>
      </c>
      <c r="M3251" s="82">
        <v>4870.5600000000004</v>
      </c>
      <c r="N3251" s="319">
        <v>0.375</v>
      </c>
    </row>
    <row r="3252" spans="1:14" ht="19.5" hidden="1" thickBot="1" x14ac:dyDescent="0.3">
      <c r="A3252" s="731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5"/>
        <v>01,25</v>
      </c>
      <c r="L3252" s="90" t="s">
        <v>28</v>
      </c>
      <c r="M3252" s="90">
        <v>7660.4</v>
      </c>
      <c r="N3252" s="325">
        <v>0.375</v>
      </c>
    </row>
    <row r="3253" spans="1:14" ht="19.5" hidden="1" thickBot="1" x14ac:dyDescent="0.3">
      <c r="A3253" s="732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5"/>
        <v>01,25</v>
      </c>
      <c r="L3253" s="48" t="s">
        <v>28</v>
      </c>
      <c r="M3253" s="48">
        <v>5920.36</v>
      </c>
      <c r="N3253" s="315">
        <v>0.45833333333333298</v>
      </c>
    </row>
    <row r="3254" spans="1:14" ht="19.5" hidden="1" thickBot="1" x14ac:dyDescent="0.3">
      <c r="A3254" s="732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5"/>
        <v>01,25</v>
      </c>
      <c r="L3254" s="71" t="s">
        <v>28</v>
      </c>
      <c r="M3254" s="71">
        <v>6114.44</v>
      </c>
      <c r="N3254" s="323">
        <v>0.45833333333333298</v>
      </c>
    </row>
    <row r="3255" spans="1:14" ht="38.25" hidden="1" thickBot="1" x14ac:dyDescent="0.3">
      <c r="A3255" s="731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5"/>
        <v>01,25</v>
      </c>
      <c r="L3255" s="82" t="s">
        <v>266</v>
      </c>
      <c r="M3255" s="82">
        <v>14421.52</v>
      </c>
      <c r="N3255" s="319">
        <v>0.41666666666666702</v>
      </c>
    </row>
    <row r="3256" spans="1:14" ht="38.25" hidden="1" thickBot="1" x14ac:dyDescent="0.3">
      <c r="A3256" s="731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5"/>
        <v>01,25</v>
      </c>
      <c r="L3256" s="90" t="s">
        <v>28</v>
      </c>
      <c r="M3256" s="90">
        <v>3510</v>
      </c>
      <c r="N3256" s="325">
        <v>0.41666666666666702</v>
      </c>
    </row>
    <row r="3257" spans="1:14" ht="19.5" hidden="1" thickBot="1" x14ac:dyDescent="0.3">
      <c r="A3257" s="735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5"/>
        <v>01,25</v>
      </c>
      <c r="L3257" s="48" t="s">
        <v>266</v>
      </c>
      <c r="M3257" s="48">
        <v>12555.62</v>
      </c>
      <c r="N3257" s="315">
        <v>0.5</v>
      </c>
    </row>
    <row r="3258" spans="1:14" ht="19.5" hidden="1" thickBot="1" x14ac:dyDescent="0.3">
      <c r="A3258" s="735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5"/>
        <v>01,25</v>
      </c>
      <c r="L3258" s="23" t="s">
        <v>28</v>
      </c>
      <c r="M3258" s="23">
        <v>525</v>
      </c>
      <c r="N3258" s="329">
        <v>0.5</v>
      </c>
    </row>
    <row r="3259" spans="1:14" ht="19.5" hidden="1" thickBot="1" x14ac:dyDescent="0.3">
      <c r="A3259" s="735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7">RIGHT(I3259,5)</f>
        <v>01,25</v>
      </c>
      <c r="L3259" s="293" t="s">
        <v>266</v>
      </c>
      <c r="M3259" s="293">
        <v>1055.6400000000001</v>
      </c>
      <c r="N3259" s="389">
        <v>0.5</v>
      </c>
    </row>
    <row r="3260" spans="1:14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7"/>
        <v>01,25</v>
      </c>
      <c r="L3260" s="40" t="s">
        <v>28</v>
      </c>
      <c r="M3260" s="40">
        <v>3035.4</v>
      </c>
      <c r="N3260" s="317">
        <v>0.375</v>
      </c>
    </row>
    <row r="3261" spans="1:14" ht="19.5" hidden="1" thickBot="1" x14ac:dyDescent="0.3">
      <c r="A3261" s="732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7"/>
        <v>01,25</v>
      </c>
      <c r="L3261" s="48" t="s">
        <v>266</v>
      </c>
      <c r="M3261" s="48">
        <v>14151.1</v>
      </c>
      <c r="N3261" s="315">
        <v>0.41666666666666702</v>
      </c>
    </row>
    <row r="3262" spans="1:14" ht="19.5" hidden="1" thickBot="1" x14ac:dyDescent="0.3">
      <c r="A3262" s="732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7"/>
        <v>01,25</v>
      </c>
      <c r="L3262" s="71" t="s">
        <v>28</v>
      </c>
      <c r="M3262" s="71">
        <v>4005</v>
      </c>
      <c r="N3262" s="323">
        <v>0.41666666666666702</v>
      </c>
    </row>
    <row r="3263" spans="1:14" ht="19.5" hidden="1" thickBot="1" x14ac:dyDescent="0.3">
      <c r="A3263" s="731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7"/>
        <v>01,25</v>
      </c>
      <c r="L3263" s="82" t="s">
        <v>266</v>
      </c>
      <c r="M3263" s="82">
        <v>17191.72</v>
      </c>
      <c r="N3263" s="319">
        <v>0.45833333333333298</v>
      </c>
    </row>
    <row r="3264" spans="1:14" ht="19.5" hidden="1" thickBot="1" x14ac:dyDescent="0.3">
      <c r="A3264" s="731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7"/>
        <v>01,25</v>
      </c>
      <c r="L3264" s="90" t="s">
        <v>28</v>
      </c>
      <c r="M3264" s="90">
        <v>750</v>
      </c>
      <c r="N3264" s="325">
        <v>0.45833333333333298</v>
      </c>
    </row>
    <row r="3265" spans="1:14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7"/>
        <v>01,25</v>
      </c>
      <c r="L3265" s="75" t="s">
        <v>266</v>
      </c>
      <c r="M3265" s="75">
        <v>17993.400000000001</v>
      </c>
      <c r="N3265" s="322">
        <v>0.5</v>
      </c>
    </row>
    <row r="3266" spans="1:14" ht="19.5" hidden="1" thickBot="1" x14ac:dyDescent="0.3">
      <c r="A3266" s="73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7"/>
        <v>01,25</v>
      </c>
      <c r="L3266" s="82" t="s">
        <v>266</v>
      </c>
      <c r="M3266" s="82">
        <v>1342.65</v>
      </c>
      <c r="N3266" s="319">
        <v>0.54166666666666696</v>
      </c>
    </row>
    <row r="3267" spans="1:14" ht="19.5" hidden="1" thickBot="1" x14ac:dyDescent="0.3">
      <c r="A3267" s="73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7"/>
        <v>01,25</v>
      </c>
      <c r="L3267" s="98" t="s">
        <v>266</v>
      </c>
      <c r="M3267" s="98">
        <v>899.88</v>
      </c>
      <c r="N3267" s="364">
        <v>0.54166666666666696</v>
      </c>
    </row>
    <row r="3268" spans="1:14" ht="19.5" hidden="1" thickBot="1" x14ac:dyDescent="0.3">
      <c r="A3268" s="73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7"/>
        <v>01,25</v>
      </c>
      <c r="L3268" s="98" t="s">
        <v>266</v>
      </c>
      <c r="M3268" s="98">
        <v>3417.08</v>
      </c>
      <c r="N3268" s="364">
        <v>0.54166666666666696</v>
      </c>
    </row>
    <row r="3269" spans="1:14" ht="19.5" hidden="1" thickBot="1" x14ac:dyDescent="0.3">
      <c r="A3269" s="73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7"/>
        <v>01,25</v>
      </c>
      <c r="L3269" s="98" t="s">
        <v>28</v>
      </c>
      <c r="M3269" s="98">
        <v>300</v>
      </c>
      <c r="N3269" s="364">
        <v>0.54166666666666696</v>
      </c>
    </row>
    <row r="3270" spans="1:14" ht="19.5" hidden="1" thickBot="1" x14ac:dyDescent="0.3">
      <c r="A3270" s="73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7"/>
        <v>01,25</v>
      </c>
      <c r="L3270" s="98" t="s">
        <v>266</v>
      </c>
      <c r="M3270" s="98">
        <v>6141.82</v>
      </c>
      <c r="N3270" s="364">
        <v>0.54166666666666696</v>
      </c>
    </row>
    <row r="3271" spans="1:14" ht="19.5" hidden="1" thickBot="1" x14ac:dyDescent="0.3">
      <c r="A3271" s="73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7"/>
        <v>01,25</v>
      </c>
      <c r="L3271" s="98" t="s">
        <v>266</v>
      </c>
      <c r="M3271" s="98">
        <v>1444.37</v>
      </c>
      <c r="N3271" s="364">
        <v>0.54166666666666696</v>
      </c>
    </row>
    <row r="3272" spans="1:14" ht="19.5" hidden="1" thickBot="1" x14ac:dyDescent="0.3">
      <c r="A3272" s="73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7"/>
        <v>01,25</v>
      </c>
      <c r="L3272" s="98" t="s">
        <v>266</v>
      </c>
      <c r="M3272" s="98">
        <v>2196.1</v>
      </c>
      <c r="N3272" s="364">
        <v>0.54166666666666696</v>
      </c>
    </row>
    <row r="3273" spans="1:14" ht="19.5" hidden="1" thickBot="1" x14ac:dyDescent="0.3">
      <c r="A3273" s="73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7"/>
        <v>01,25</v>
      </c>
      <c r="L3273" s="65" t="s">
        <v>28</v>
      </c>
      <c r="M3273" s="65">
        <v>1455</v>
      </c>
      <c r="N3273" s="434">
        <v>0.54166666666666696</v>
      </c>
    </row>
    <row r="3274" spans="1:14" ht="19.5" hidden="1" thickBot="1" x14ac:dyDescent="0.3">
      <c r="A3274" s="732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7"/>
        <v>01,25</v>
      </c>
      <c r="L3274" s="48" t="s">
        <v>265</v>
      </c>
      <c r="M3274" s="48">
        <v>12123.94</v>
      </c>
      <c r="N3274" s="315">
        <v>0.375</v>
      </c>
    </row>
    <row r="3275" spans="1:14" ht="19.5" hidden="1" thickBot="1" x14ac:dyDescent="0.3">
      <c r="A3275" s="732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7"/>
        <v>01,25</v>
      </c>
      <c r="L3275" s="71" t="s">
        <v>265</v>
      </c>
      <c r="M3275" s="71">
        <v>4421.2</v>
      </c>
      <c r="N3275" s="323">
        <v>0.375</v>
      </c>
    </row>
    <row r="3276" spans="1:14" ht="19.5" hidden="1" thickBot="1" x14ac:dyDescent="0.3">
      <c r="A3276" s="731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7"/>
        <v>01,25</v>
      </c>
      <c r="L3276" s="82" t="s">
        <v>265</v>
      </c>
      <c r="M3276" s="82">
        <v>15206.19</v>
      </c>
      <c r="N3276" s="319">
        <v>0.375</v>
      </c>
    </row>
    <row r="3277" spans="1:14" ht="38.25" hidden="1" thickBot="1" x14ac:dyDescent="0.3">
      <c r="A3277" s="731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7"/>
        <v>01,25</v>
      </c>
      <c r="L3277" s="90" t="s">
        <v>265</v>
      </c>
      <c r="M3277" s="90">
        <v>2010</v>
      </c>
      <c r="N3277" s="325">
        <v>0.375</v>
      </c>
    </row>
    <row r="3278" spans="1:14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7"/>
        <v>01,25</v>
      </c>
      <c r="L3278" s="75" t="s">
        <v>265</v>
      </c>
      <c r="M3278" s="75">
        <v>11779.2</v>
      </c>
      <c r="N3278" s="322">
        <v>0.375</v>
      </c>
    </row>
    <row r="3279" spans="1:14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7"/>
        <v>01,25</v>
      </c>
      <c r="L3279" s="40" t="s">
        <v>28</v>
      </c>
      <c r="M3279" s="40">
        <v>10345.040000000001</v>
      </c>
      <c r="N3279" s="317">
        <v>0.41666666666666702</v>
      </c>
    </row>
    <row r="3280" spans="1:14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7"/>
        <v>01,25</v>
      </c>
      <c r="L3280" s="75" t="s">
        <v>265</v>
      </c>
      <c r="M3280" s="75">
        <v>11289.12</v>
      </c>
      <c r="N3280" s="322">
        <v>0.375</v>
      </c>
    </row>
    <row r="3281" spans="1:14" ht="19.5" hidden="1" thickBot="1" x14ac:dyDescent="0.3">
      <c r="A3281" s="731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7"/>
        <v>01,25</v>
      </c>
      <c r="L3281" s="82" t="s">
        <v>28</v>
      </c>
      <c r="M3281" s="82">
        <v>16649.12</v>
      </c>
      <c r="N3281" s="319">
        <v>0.45833333333333298</v>
      </c>
    </row>
    <row r="3282" spans="1:14" ht="38.25" hidden="1" thickBot="1" x14ac:dyDescent="0.3">
      <c r="A3282" s="731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7"/>
        <v>01,25</v>
      </c>
      <c r="L3282" s="90" t="s">
        <v>28</v>
      </c>
      <c r="M3282" s="90">
        <v>510</v>
      </c>
      <c r="N3282" s="325">
        <v>0.45833333333333298</v>
      </c>
    </row>
    <row r="3283" spans="1:14" ht="19.5" hidden="1" thickBot="1" x14ac:dyDescent="0.3">
      <c r="A3283" s="735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7"/>
        <v>01,25</v>
      </c>
      <c r="L3283" s="48" t="s">
        <v>28</v>
      </c>
      <c r="M3283" s="48">
        <v>12302.17</v>
      </c>
      <c r="N3283" s="315">
        <v>0.5</v>
      </c>
    </row>
    <row r="3284" spans="1:14" ht="38.25" hidden="1" thickBot="1" x14ac:dyDescent="0.3">
      <c r="A3284" s="735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7"/>
        <v>01,25</v>
      </c>
      <c r="L3284" s="23" t="s">
        <v>28</v>
      </c>
      <c r="M3284" s="23">
        <v>405</v>
      </c>
      <c r="N3284" s="329">
        <v>0.5</v>
      </c>
    </row>
    <row r="3285" spans="1:14" ht="19.5" hidden="1" thickBot="1" x14ac:dyDescent="0.3">
      <c r="A3285" s="735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7"/>
        <v>01,25</v>
      </c>
      <c r="L3285" s="293" t="s">
        <v>28</v>
      </c>
      <c r="M3285" s="293">
        <v>4572.72</v>
      </c>
      <c r="N3285" s="389">
        <v>0.5</v>
      </c>
    </row>
    <row r="3286" spans="1:14" ht="19.5" hidden="1" thickBot="1" x14ac:dyDescent="0.3">
      <c r="A3286" s="731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7"/>
        <v>01,25</v>
      </c>
      <c r="L3286" s="82" t="s">
        <v>28</v>
      </c>
      <c r="M3286" s="82">
        <v>9097.1</v>
      </c>
      <c r="N3286" s="319">
        <v>0.54166666666666696</v>
      </c>
    </row>
    <row r="3287" spans="1:14" ht="38.25" hidden="1" thickBot="1" x14ac:dyDescent="0.3">
      <c r="A3287" s="731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7"/>
        <v>01,25</v>
      </c>
      <c r="L3287" s="98" t="s">
        <v>28</v>
      </c>
      <c r="M3287" s="98">
        <v>300</v>
      </c>
      <c r="N3287" s="364">
        <v>0.54166666666666696</v>
      </c>
    </row>
    <row r="3288" spans="1:14" ht="19.5" hidden="1" thickBot="1" x14ac:dyDescent="0.3">
      <c r="A3288" s="731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7"/>
        <v>01,25</v>
      </c>
      <c r="L3288" s="98" t="s">
        <v>28</v>
      </c>
      <c r="M3288" s="98">
        <v>2561.4</v>
      </c>
      <c r="N3288" s="364">
        <v>0.54166666666666696</v>
      </c>
    </row>
    <row r="3289" spans="1:14" ht="19.5" hidden="1" thickBot="1" x14ac:dyDescent="0.3">
      <c r="A3289" s="731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7"/>
        <v>01,25</v>
      </c>
      <c r="L3289" s="98" t="s">
        <v>28</v>
      </c>
      <c r="M3289" s="98">
        <v>5232.8599999999997</v>
      </c>
      <c r="N3289" s="364">
        <v>0.54166666666666696</v>
      </c>
    </row>
    <row r="3290" spans="1:14" ht="38.25" hidden="1" thickBot="1" x14ac:dyDescent="0.3">
      <c r="A3290" s="731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7"/>
        <v>01,25</v>
      </c>
      <c r="L3290" s="90" t="s">
        <v>28</v>
      </c>
      <c r="M3290" s="90">
        <v>300</v>
      </c>
      <c r="N3290" s="325">
        <v>0.54166666666666696</v>
      </c>
    </row>
    <row r="3291" spans="1:14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7"/>
        <v>01,25</v>
      </c>
      <c r="L3291" s="158" t="s">
        <v>28</v>
      </c>
      <c r="M3291" s="158">
        <v>15563.46</v>
      </c>
      <c r="N3291" s="433">
        <v>0.41666666666666702</v>
      </c>
    </row>
    <row r="3292" spans="1:14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7"/>
        <v>01,25</v>
      </c>
      <c r="L3292" s="40" t="s">
        <v>28</v>
      </c>
      <c r="M3292" s="40">
        <v>15386.1</v>
      </c>
      <c r="N3292" s="317">
        <v>0.41666666666666702</v>
      </c>
    </row>
    <row r="3293" spans="1:14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7"/>
        <v>01,25</v>
      </c>
      <c r="L3293" s="75" t="s">
        <v>28</v>
      </c>
      <c r="M3293" s="75">
        <v>7754.94</v>
      </c>
      <c r="N3293" s="322">
        <v>0.45833333333333298</v>
      </c>
    </row>
    <row r="3294" spans="1:14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7"/>
        <v>01,25</v>
      </c>
      <c r="L3294" s="40" t="s">
        <v>265</v>
      </c>
      <c r="M3294" s="40">
        <v>17187.900000000001</v>
      </c>
      <c r="N3294" s="317">
        <v>0.375</v>
      </c>
    </row>
    <row r="3295" spans="1:14" ht="19.5" hidden="1" thickBot="1" x14ac:dyDescent="0.3">
      <c r="A3295" s="732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7"/>
        <v>01,25</v>
      </c>
      <c r="L3295" s="48" t="s">
        <v>28</v>
      </c>
      <c r="M3295" s="48">
        <v>12888.52</v>
      </c>
      <c r="N3295" s="315">
        <v>0.41666666666666702</v>
      </c>
    </row>
    <row r="3296" spans="1:14" ht="19.5" hidden="1" thickBot="1" x14ac:dyDescent="0.3">
      <c r="A3296" s="732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7"/>
        <v>01,25</v>
      </c>
      <c r="L3296" s="71" t="s">
        <v>28</v>
      </c>
      <c r="M3296" s="71">
        <v>4439.8599999999997</v>
      </c>
      <c r="N3296" s="323">
        <v>0.41666666666666702</v>
      </c>
    </row>
    <row r="3297" spans="1:14" ht="19.5" hidden="1" thickBot="1" x14ac:dyDescent="0.3">
      <c r="A3297" s="731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7"/>
        <v>01,25</v>
      </c>
      <c r="L3297" s="82" t="s">
        <v>28</v>
      </c>
      <c r="M3297" s="82">
        <v>1425.28</v>
      </c>
      <c r="N3297" s="319">
        <v>0.45833333333333298</v>
      </c>
    </row>
    <row r="3298" spans="1:14" ht="19.5" hidden="1" thickBot="1" x14ac:dyDescent="0.3">
      <c r="A3298" s="731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7"/>
        <v>01,25</v>
      </c>
      <c r="L3298" s="90" t="s">
        <v>28</v>
      </c>
      <c r="M3298" s="90">
        <v>15767.88</v>
      </c>
      <c r="N3298" s="325">
        <v>0.45833333333333298</v>
      </c>
    </row>
    <row r="3299" spans="1:14" ht="19.5" hidden="1" thickBot="1" x14ac:dyDescent="0.3">
      <c r="A3299" s="732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7"/>
        <v>01,25</v>
      </c>
      <c r="L3299" s="48" t="s">
        <v>28</v>
      </c>
      <c r="M3299" s="48">
        <v>2540.6799999999998</v>
      </c>
      <c r="N3299" s="315">
        <v>0.5</v>
      </c>
    </row>
    <row r="3300" spans="1:14" ht="19.5" hidden="1" thickBot="1" x14ac:dyDescent="0.3">
      <c r="A3300" s="732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7"/>
        <v>01,25</v>
      </c>
      <c r="L3300" s="23" t="s">
        <v>28</v>
      </c>
      <c r="M3300" s="23">
        <v>404.4</v>
      </c>
      <c r="N3300" s="329">
        <v>0.5</v>
      </c>
    </row>
    <row r="3301" spans="1:14" ht="19.5" hidden="1" thickBot="1" x14ac:dyDescent="0.3">
      <c r="A3301" s="732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7"/>
        <v>01,25</v>
      </c>
      <c r="L3301" s="23" t="s">
        <v>28</v>
      </c>
      <c r="M3301" s="23">
        <v>3195</v>
      </c>
      <c r="N3301" s="329">
        <v>0.5</v>
      </c>
    </row>
    <row r="3302" spans="1:14" ht="19.5" hidden="1" thickBot="1" x14ac:dyDescent="0.3">
      <c r="A3302" s="732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7"/>
        <v>01,25</v>
      </c>
      <c r="L3302" s="71" t="s">
        <v>28</v>
      </c>
      <c r="M3302" s="71">
        <v>11320.86</v>
      </c>
      <c r="N3302" s="323">
        <v>0.5</v>
      </c>
    </row>
    <row r="3303" spans="1:14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7"/>
        <v>01,25</v>
      </c>
      <c r="L3303" s="40" t="s">
        <v>265</v>
      </c>
      <c r="M3303" s="40">
        <v>17300.77</v>
      </c>
      <c r="N3303" s="317">
        <v>0.375</v>
      </c>
    </row>
    <row r="3304" spans="1:14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7"/>
        <v>01,25</v>
      </c>
      <c r="L3304" s="75" t="s">
        <v>28</v>
      </c>
      <c r="M3304" s="75">
        <v>13272.12</v>
      </c>
      <c r="N3304" s="322">
        <v>0.41666666666666702</v>
      </c>
    </row>
    <row r="3305" spans="1:14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7"/>
        <v>01,25</v>
      </c>
      <c r="L3305" s="40" t="s">
        <v>28</v>
      </c>
      <c r="M3305" s="40">
        <v>10865.04</v>
      </c>
      <c r="N3305" s="317">
        <v>0.45833333333333298</v>
      </c>
    </row>
    <row r="3306" spans="1:14" ht="19.5" hidden="1" thickBot="1" x14ac:dyDescent="0.3">
      <c r="A3306" s="735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7"/>
        <v>01,25</v>
      </c>
      <c r="L3306" s="48" t="s">
        <v>28</v>
      </c>
      <c r="M3306" s="48">
        <v>7253.52</v>
      </c>
      <c r="N3306" s="315">
        <v>0.5</v>
      </c>
    </row>
    <row r="3307" spans="1:14" ht="19.5" hidden="1" thickBot="1" x14ac:dyDescent="0.3">
      <c r="A3307" s="735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7"/>
        <v>01,25</v>
      </c>
      <c r="L3307" s="293" t="s">
        <v>28</v>
      </c>
      <c r="M3307" s="293">
        <v>5308.92</v>
      </c>
      <c r="N3307" s="389">
        <v>0.5</v>
      </c>
    </row>
    <row r="3308" spans="1:14" ht="19.5" hidden="1" thickBot="1" x14ac:dyDescent="0.3">
      <c r="A3308" s="731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7"/>
        <v>01,25</v>
      </c>
      <c r="L3308" s="82" t="s">
        <v>266</v>
      </c>
      <c r="M3308" s="82">
        <v>17068.28</v>
      </c>
      <c r="N3308" s="319">
        <v>0.41666666666666702</v>
      </c>
    </row>
    <row r="3309" spans="1:14" ht="19.5" hidden="1" thickBot="1" x14ac:dyDescent="0.3">
      <c r="A3309" s="731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7"/>
        <v>01,25</v>
      </c>
      <c r="L3309" s="90" t="s">
        <v>28</v>
      </c>
      <c r="M3309" s="90">
        <v>1005</v>
      </c>
      <c r="N3309" s="325">
        <v>0.41666666666666702</v>
      </c>
    </row>
    <row r="3310" spans="1:14" ht="19.5" hidden="1" thickBot="1" x14ac:dyDescent="0.3">
      <c r="A3310" s="732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7"/>
        <v>01,25</v>
      </c>
      <c r="L3310" s="48" t="s">
        <v>266</v>
      </c>
      <c r="M3310" s="48">
        <v>16668.939999999999</v>
      </c>
      <c r="N3310" s="315">
        <v>0.45833333333333298</v>
      </c>
    </row>
    <row r="3311" spans="1:14" ht="19.5" hidden="1" thickBot="1" x14ac:dyDescent="0.3">
      <c r="A3311" s="732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7"/>
        <v>01,25</v>
      </c>
      <c r="L3311" s="71" t="s">
        <v>28</v>
      </c>
      <c r="M3311" s="71">
        <v>1440</v>
      </c>
      <c r="N3311" s="323">
        <v>0.45833333333333298</v>
      </c>
    </row>
    <row r="3312" spans="1:14" ht="19.5" hidden="1" thickBot="1" x14ac:dyDescent="0.3">
      <c r="A3312" s="73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7"/>
        <v>01,25</v>
      </c>
      <c r="L3312" s="82" t="s">
        <v>266</v>
      </c>
      <c r="M3312" s="82">
        <v>510</v>
      </c>
      <c r="N3312" s="319">
        <v>0.5</v>
      </c>
    </row>
    <row r="3313" spans="1:14" ht="19.5" hidden="1" thickBot="1" x14ac:dyDescent="0.3">
      <c r="A3313" s="73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7"/>
        <v>01,25</v>
      </c>
      <c r="L3313" s="98" t="s">
        <v>28</v>
      </c>
      <c r="M3313" s="98">
        <v>600</v>
      </c>
      <c r="N3313" s="364">
        <v>0.5</v>
      </c>
    </row>
    <row r="3314" spans="1:14" ht="19.5" hidden="1" thickBot="1" x14ac:dyDescent="0.3">
      <c r="A3314" s="73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7"/>
        <v>01,25</v>
      </c>
      <c r="L3314" s="98" t="s">
        <v>266</v>
      </c>
      <c r="M3314" s="98">
        <v>3528.68</v>
      </c>
      <c r="N3314" s="364">
        <v>0.5</v>
      </c>
    </row>
    <row r="3315" spans="1:14" ht="19.5" hidden="1" thickBot="1" x14ac:dyDescent="0.3">
      <c r="A3315" s="73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7"/>
        <v>01,25</v>
      </c>
      <c r="L3315" s="98" t="s">
        <v>28</v>
      </c>
      <c r="M3315" s="98">
        <v>270</v>
      </c>
      <c r="N3315" s="364">
        <v>0.5</v>
      </c>
    </row>
    <row r="3316" spans="1:14" ht="19.5" hidden="1" thickBot="1" x14ac:dyDescent="0.3">
      <c r="A3316" s="73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7"/>
        <v>01,25</v>
      </c>
      <c r="L3316" s="98" t="s">
        <v>266</v>
      </c>
      <c r="M3316" s="98">
        <v>588.5</v>
      </c>
      <c r="N3316" s="364">
        <v>0.5</v>
      </c>
    </row>
    <row r="3317" spans="1:14" ht="19.5" hidden="1" thickBot="1" x14ac:dyDescent="0.3">
      <c r="A3317" s="73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7"/>
        <v>01,25</v>
      </c>
      <c r="L3317" s="98" t="s">
        <v>266</v>
      </c>
      <c r="M3317" s="98">
        <v>4880.22</v>
      </c>
      <c r="N3317" s="364">
        <v>0.5</v>
      </c>
    </row>
    <row r="3318" spans="1:14" ht="19.5" hidden="1" thickBot="1" x14ac:dyDescent="0.3">
      <c r="A3318" s="73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7"/>
        <v>01,25</v>
      </c>
      <c r="L3318" s="98" t="s">
        <v>266</v>
      </c>
      <c r="M3318" s="98">
        <v>2725.04</v>
      </c>
      <c r="N3318" s="364">
        <v>0.5</v>
      </c>
    </row>
    <row r="3319" spans="1:14" ht="19.5" hidden="1" thickBot="1" x14ac:dyDescent="0.3">
      <c r="A3319" s="73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7"/>
        <v>01,25</v>
      </c>
      <c r="L3319" s="98" t="s">
        <v>266</v>
      </c>
      <c r="M3319" s="98">
        <v>3592.62</v>
      </c>
      <c r="N3319" s="364">
        <v>0.5</v>
      </c>
    </row>
    <row r="3320" spans="1:14" ht="19.5" hidden="1" thickBot="1" x14ac:dyDescent="0.3">
      <c r="A3320" s="73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7"/>
        <v>01,25</v>
      </c>
      <c r="L3320" s="65" t="s">
        <v>28</v>
      </c>
      <c r="M3320" s="65">
        <v>1230</v>
      </c>
      <c r="N3320" s="434">
        <v>0.5</v>
      </c>
    </row>
    <row r="3321" spans="1:14" ht="19.5" hidden="1" thickBot="1" x14ac:dyDescent="0.3">
      <c r="A3321" s="732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7"/>
        <v>01,25</v>
      </c>
      <c r="L3321" s="48" t="s">
        <v>265</v>
      </c>
      <c r="M3321" s="48">
        <v>11211.28</v>
      </c>
      <c r="N3321" s="315">
        <v>0.375</v>
      </c>
    </row>
    <row r="3322" spans="1:14" ht="19.5" hidden="1" thickBot="1" x14ac:dyDescent="0.3">
      <c r="A3322" s="732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7"/>
        <v>01,25</v>
      </c>
      <c r="L3322" s="71" t="s">
        <v>265</v>
      </c>
      <c r="M3322" s="71">
        <v>5531.4</v>
      </c>
      <c r="N3322" s="323">
        <v>0.375</v>
      </c>
    </row>
    <row r="3323" spans="1:14" ht="38.25" hidden="1" thickBot="1" x14ac:dyDescent="0.3">
      <c r="A3323" s="110">
        <f t="shared" ref="A3323:A3328" si="98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99">RIGHT(I3323,5)</f>
        <v>01,25</v>
      </c>
      <c r="L3323" s="40" t="s">
        <v>28</v>
      </c>
      <c r="M3323" s="40">
        <v>17836.919999999998</v>
      </c>
      <c r="N3323" s="317">
        <v>0.41666666666666702</v>
      </c>
    </row>
    <row r="3324" spans="1:14" ht="19.5" hidden="1" thickBot="1" x14ac:dyDescent="0.3">
      <c r="A3324" s="111">
        <f t="shared" si="98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99"/>
        <v>01,25</v>
      </c>
      <c r="L3324" s="75" t="s">
        <v>265</v>
      </c>
      <c r="M3324" s="75">
        <v>17291.8</v>
      </c>
      <c r="N3324" s="322">
        <v>0.375</v>
      </c>
    </row>
    <row r="3325" spans="1:14" ht="19.5" hidden="1" thickBot="1" x14ac:dyDescent="0.3">
      <c r="A3325" s="149">
        <f t="shared" si="98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99"/>
        <v>01,25</v>
      </c>
      <c r="L3325" s="122" t="s">
        <v>265</v>
      </c>
      <c r="M3325" s="122">
        <v>11362.8</v>
      </c>
      <c r="N3325" s="365">
        <v>0.375</v>
      </c>
    </row>
    <row r="3326" spans="1:14" ht="19.5" hidden="1" thickBot="1" x14ac:dyDescent="0.3">
      <c r="A3326" s="111">
        <f t="shared" si="98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99"/>
        <v>01,25</v>
      </c>
      <c r="L3326" s="75" t="s">
        <v>265</v>
      </c>
      <c r="M3326" s="75">
        <v>14444.28</v>
      </c>
      <c r="N3326" s="322">
        <v>0.375</v>
      </c>
    </row>
    <row r="3327" spans="1:14" ht="113.25" hidden="1" thickBot="1" x14ac:dyDescent="0.3">
      <c r="A3327" s="110">
        <f t="shared" si="98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99"/>
        <v>01,25</v>
      </c>
      <c r="L3327" s="40" t="s">
        <v>28</v>
      </c>
      <c r="M3327" s="40">
        <v>12456.06</v>
      </c>
      <c r="N3327" s="317">
        <v>0.41666666666666702</v>
      </c>
    </row>
    <row r="3328" spans="1:14" ht="19.5" hidden="1" thickBot="1" x14ac:dyDescent="0.3">
      <c r="A3328" s="735">
        <f t="shared" si="98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99"/>
        <v>01,25</v>
      </c>
      <c r="L3328" s="48" t="s">
        <v>28</v>
      </c>
      <c r="M3328" s="48">
        <v>4412.08</v>
      </c>
      <c r="N3328" s="315">
        <v>0.45833333333333298</v>
      </c>
    </row>
    <row r="3329" spans="1:14" ht="19.5" hidden="1" thickBot="1" x14ac:dyDescent="0.3">
      <c r="A3329" s="735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99"/>
        <v>01,25</v>
      </c>
      <c r="L3329" s="23" t="s">
        <v>28</v>
      </c>
      <c r="M3329" s="23">
        <v>9780.82</v>
      </c>
      <c r="N3329" s="329">
        <v>0.45833333333333298</v>
      </c>
    </row>
    <row r="3330" spans="1:14" ht="19.5" hidden="1" thickBot="1" x14ac:dyDescent="0.3">
      <c r="A3330" s="735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99"/>
        <v>01,25</v>
      </c>
      <c r="L3330" s="293" t="s">
        <v>28</v>
      </c>
      <c r="M3330" s="293">
        <v>3463.2</v>
      </c>
      <c r="N3330" s="389">
        <v>0.45833333333333298</v>
      </c>
    </row>
    <row r="3331" spans="1:14" ht="19.5" hidden="1" thickBot="1" x14ac:dyDescent="0.3">
      <c r="A3331" s="149">
        <f t="shared" ref="A3331:A3336" si="100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99"/>
        <v>01,25</v>
      </c>
      <c r="L3331" s="122" t="s">
        <v>28</v>
      </c>
      <c r="M3331" s="122">
        <v>15588.1</v>
      </c>
      <c r="N3331" s="365">
        <v>0.41666666666666702</v>
      </c>
    </row>
    <row r="3332" spans="1:14" ht="150.75" hidden="1" thickBot="1" x14ac:dyDescent="0.3">
      <c r="A3332" s="111">
        <f t="shared" si="100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99"/>
        <v>01,25</v>
      </c>
      <c r="L3332" s="75" t="s">
        <v>28</v>
      </c>
      <c r="M3332" s="75">
        <v>9267.6</v>
      </c>
      <c r="N3332" s="322">
        <v>0.45833333333333298</v>
      </c>
    </row>
    <row r="3333" spans="1:14" ht="19.5" hidden="1" thickBot="1" x14ac:dyDescent="0.3">
      <c r="A3333" s="149">
        <f t="shared" si="100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99"/>
        <v>01,25</v>
      </c>
      <c r="L3333" s="122" t="s">
        <v>265</v>
      </c>
      <c r="M3333" s="122">
        <v>17369.439999999999</v>
      </c>
      <c r="N3333" s="365">
        <v>0.375</v>
      </c>
    </row>
    <row r="3334" spans="1:14" ht="19.5" hidden="1" thickBot="1" x14ac:dyDescent="0.3">
      <c r="A3334" s="111">
        <f t="shared" si="100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99"/>
        <v>01,25</v>
      </c>
      <c r="L3334" s="75" t="s">
        <v>28</v>
      </c>
      <c r="M3334" s="75">
        <v>15689.58</v>
      </c>
      <c r="N3334" s="322">
        <v>0.41666666666666702</v>
      </c>
    </row>
    <row r="3335" spans="1:14" ht="19.5" hidden="1" thickBot="1" x14ac:dyDescent="0.3">
      <c r="A3335" s="149">
        <f t="shared" si="100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99"/>
        <v>01,25</v>
      </c>
      <c r="L3335" s="122" t="s">
        <v>28</v>
      </c>
      <c r="M3335" s="122">
        <v>15673.62</v>
      </c>
      <c r="N3335" s="365">
        <v>0.45833333333333298</v>
      </c>
    </row>
    <row r="3336" spans="1:14" ht="19.5" hidden="1" thickBot="1" x14ac:dyDescent="0.3">
      <c r="A3336" s="732">
        <f t="shared" si="100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99"/>
        <v>01,25</v>
      </c>
      <c r="L3336" s="48" t="s">
        <v>28</v>
      </c>
      <c r="M3336" s="48">
        <v>2829.99</v>
      </c>
      <c r="N3336" s="315">
        <v>0.5</v>
      </c>
    </row>
    <row r="3337" spans="1:14" ht="19.5" hidden="1" thickBot="1" x14ac:dyDescent="0.3">
      <c r="A3337" s="732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99"/>
        <v>01,25</v>
      </c>
      <c r="L3337" s="23" t="s">
        <v>28</v>
      </c>
      <c r="M3337" s="23">
        <v>3137.64</v>
      </c>
      <c r="N3337" s="329">
        <v>0.5</v>
      </c>
    </row>
    <row r="3338" spans="1:14" ht="19.5" hidden="1" thickBot="1" x14ac:dyDescent="0.3">
      <c r="A3338" s="732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99"/>
        <v>01,25</v>
      </c>
      <c r="L3338" s="71" t="s">
        <v>28</v>
      </c>
      <c r="M3338" s="71">
        <v>11637.66</v>
      </c>
      <c r="N3338" s="323">
        <v>0.5</v>
      </c>
    </row>
    <row r="3339" spans="1:14" ht="19.5" hidden="1" thickBot="1" x14ac:dyDescent="0.3">
      <c r="A3339" s="73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99"/>
        <v>01,25</v>
      </c>
      <c r="L3339" s="82" t="s">
        <v>28</v>
      </c>
      <c r="M3339" s="82">
        <v>7385.52</v>
      </c>
      <c r="N3339" s="319">
        <v>0.54166666666666696</v>
      </c>
    </row>
    <row r="3340" spans="1:14" ht="19.5" hidden="1" thickBot="1" x14ac:dyDescent="0.3">
      <c r="A3340" s="73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99"/>
        <v>01,25</v>
      </c>
      <c r="L3340" s="65" t="s">
        <v>28</v>
      </c>
      <c r="M3340" s="65">
        <v>10351.58</v>
      </c>
      <c r="N3340" s="434">
        <v>0.54166666666666696</v>
      </c>
    </row>
    <row r="3341" spans="1:14" ht="19.5" hidden="1" thickBot="1" x14ac:dyDescent="0.3">
      <c r="A3341" s="732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99"/>
        <v>01,25</v>
      </c>
      <c r="L3341" s="48" t="s">
        <v>28</v>
      </c>
      <c r="M3341" s="48">
        <v>8268.5</v>
      </c>
      <c r="N3341" s="315">
        <v>0.58333333333333304</v>
      </c>
    </row>
    <row r="3342" spans="1:14" ht="19.5" hidden="1" thickBot="1" x14ac:dyDescent="0.3">
      <c r="A3342" s="732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99"/>
        <v>01,25</v>
      </c>
      <c r="L3342" s="71" t="s">
        <v>28</v>
      </c>
      <c r="M3342" s="71">
        <v>9426</v>
      </c>
      <c r="N3342" s="323">
        <v>0.58333333333333304</v>
      </c>
    </row>
    <row r="3343" spans="1:14" ht="19.5" hidden="1" thickBot="1" x14ac:dyDescent="0.3">
      <c r="A3343" s="73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99"/>
        <v>01,25</v>
      </c>
      <c r="L3343" s="82" t="s">
        <v>266</v>
      </c>
      <c r="M3343" s="82">
        <v>4342.84</v>
      </c>
      <c r="N3343" s="319">
        <v>0.41666666666666702</v>
      </c>
    </row>
    <row r="3344" spans="1:14" ht="19.5" hidden="1" thickBot="1" x14ac:dyDescent="0.3">
      <c r="A3344" s="73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99"/>
        <v>01,25</v>
      </c>
      <c r="L3344" s="65" t="s">
        <v>266</v>
      </c>
      <c r="M3344" s="65">
        <v>8823.2000000000007</v>
      </c>
      <c r="N3344" s="434">
        <v>0.41666666666666702</v>
      </c>
    </row>
    <row r="3345" spans="1:14" ht="19.5" hidden="1" thickBot="1" x14ac:dyDescent="0.3">
      <c r="A3345" s="732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99"/>
        <v>01,25</v>
      </c>
      <c r="L3345" s="48" t="s">
        <v>28</v>
      </c>
      <c r="M3345" s="48">
        <v>2803.2</v>
      </c>
      <c r="N3345" s="315">
        <v>0.45833333333333298</v>
      </c>
    </row>
    <row r="3346" spans="1:14" ht="19.5" hidden="1" thickBot="1" x14ac:dyDescent="0.3">
      <c r="A3346" s="732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99"/>
        <v>01,25</v>
      </c>
      <c r="L3346" s="71" t="s">
        <v>28</v>
      </c>
      <c r="M3346" s="71">
        <v>10267.92</v>
      </c>
      <c r="N3346" s="323">
        <v>0.45833333333333298</v>
      </c>
    </row>
    <row r="3347" spans="1:14" ht="19.5" hidden="1" thickBot="1" x14ac:dyDescent="0.3">
      <c r="A3347" s="73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99"/>
        <v>01,25</v>
      </c>
      <c r="L3347" s="82" t="s">
        <v>28</v>
      </c>
      <c r="M3347" s="82">
        <v>6468.12</v>
      </c>
      <c r="N3347" s="319">
        <v>0.5</v>
      </c>
    </row>
    <row r="3348" spans="1:14" ht="19.5" hidden="1" thickBot="1" x14ac:dyDescent="0.3">
      <c r="A3348" s="73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99"/>
        <v>01,25</v>
      </c>
      <c r="L3348" s="65" t="s">
        <v>28</v>
      </c>
      <c r="M3348" s="65">
        <v>6056.88</v>
      </c>
      <c r="N3348" s="434">
        <v>0.5</v>
      </c>
    </row>
    <row r="3349" spans="1:14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99"/>
        <v>01,25</v>
      </c>
      <c r="L3349" s="75" t="s">
        <v>28</v>
      </c>
      <c r="M3349" s="75">
        <v>18022.41</v>
      </c>
      <c r="N3349" s="322">
        <v>0.41666666666666702</v>
      </c>
    </row>
    <row r="3350" spans="1:14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99"/>
        <v>01,25</v>
      </c>
      <c r="L3350" s="40" t="s">
        <v>28</v>
      </c>
      <c r="M3350" s="40">
        <v>4528.2</v>
      </c>
      <c r="N3350" s="317">
        <v>0.45833333333333298</v>
      </c>
    </row>
    <row r="3351" spans="1:14" ht="19.5" hidden="1" thickBot="1" x14ac:dyDescent="0.3">
      <c r="A3351" s="735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99"/>
        <v>01,25</v>
      </c>
      <c r="L3351" s="48" t="s">
        <v>266</v>
      </c>
      <c r="M3351" s="48">
        <v>12363.21</v>
      </c>
      <c r="N3351" s="315">
        <v>0.5</v>
      </c>
    </row>
    <row r="3352" spans="1:14" ht="19.5" hidden="1" thickBot="1" x14ac:dyDescent="0.3">
      <c r="A3352" s="735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99"/>
        <v>01,25</v>
      </c>
      <c r="L3352" s="23" t="s">
        <v>28</v>
      </c>
      <c r="M3352" s="23">
        <v>675</v>
      </c>
      <c r="N3352" s="329">
        <v>0.5</v>
      </c>
    </row>
    <row r="3353" spans="1:14" ht="19.5" hidden="1" thickBot="1" x14ac:dyDescent="0.3">
      <c r="A3353" s="735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99"/>
        <v>01,25</v>
      </c>
      <c r="L3353" s="293" t="s">
        <v>266</v>
      </c>
      <c r="M3353" s="293">
        <v>4997.7</v>
      </c>
      <c r="N3353" s="389">
        <v>0.5</v>
      </c>
    </row>
    <row r="3354" spans="1:14" ht="19.5" hidden="1" thickBot="1" x14ac:dyDescent="0.3">
      <c r="A3354" s="731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99"/>
        <v>01,25</v>
      </c>
      <c r="L3354" s="82" t="s">
        <v>266</v>
      </c>
      <c r="M3354" s="82">
        <v>13622.4</v>
      </c>
      <c r="N3354" s="319">
        <v>0.41666666666666702</v>
      </c>
    </row>
    <row r="3355" spans="1:14" ht="19.5" hidden="1" thickBot="1" x14ac:dyDescent="0.3">
      <c r="A3355" s="731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99"/>
        <v>01,25</v>
      </c>
      <c r="L3355" s="90" t="s">
        <v>28</v>
      </c>
      <c r="M3355" s="90">
        <v>4500</v>
      </c>
      <c r="N3355" s="325">
        <v>0.41666666666666702</v>
      </c>
    </row>
    <row r="3356" spans="1:14" ht="19.5" hidden="1" thickBot="1" x14ac:dyDescent="0.3">
      <c r="A3356" s="732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99"/>
        <v>01,25</v>
      </c>
      <c r="L3356" s="48" t="s">
        <v>266</v>
      </c>
      <c r="M3356" s="48">
        <v>16709.439999999999</v>
      </c>
      <c r="N3356" s="315">
        <v>0.45833333333333298</v>
      </c>
    </row>
    <row r="3357" spans="1:14" ht="19.5" hidden="1" thickBot="1" x14ac:dyDescent="0.3">
      <c r="A3357" s="732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99"/>
        <v>01,25</v>
      </c>
      <c r="L3357" s="71" t="s">
        <v>28</v>
      </c>
      <c r="M3357" s="71">
        <v>1440</v>
      </c>
      <c r="N3357" s="323">
        <v>0.45833333333333298</v>
      </c>
    </row>
    <row r="3358" spans="1:14" ht="19.5" hidden="1" thickBot="1" x14ac:dyDescent="0.3">
      <c r="A3358" s="731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99"/>
        <v>01,25</v>
      </c>
      <c r="L3358" s="82" t="s">
        <v>266</v>
      </c>
      <c r="M3358" s="82">
        <v>16686.560000000001</v>
      </c>
      <c r="N3358" s="319">
        <v>0.5</v>
      </c>
    </row>
    <row r="3359" spans="1:14" ht="19.5" hidden="1" thickBot="1" x14ac:dyDescent="0.3">
      <c r="A3359" s="731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99"/>
        <v>01,25</v>
      </c>
      <c r="L3359" s="90" t="s">
        <v>28</v>
      </c>
      <c r="M3359" s="90">
        <v>1440</v>
      </c>
      <c r="N3359" s="325">
        <v>0.5</v>
      </c>
    </row>
    <row r="3360" spans="1:14" ht="19.5" hidden="1" thickBot="1" x14ac:dyDescent="0.3">
      <c r="A3360" s="735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99"/>
        <v>01,25</v>
      </c>
      <c r="L3360" s="48" t="s">
        <v>266</v>
      </c>
      <c r="M3360" s="48">
        <v>2206.1999999999998</v>
      </c>
      <c r="N3360" s="315">
        <v>0.54166666666666696</v>
      </c>
    </row>
    <row r="3361" spans="1:14" ht="19.5" hidden="1" thickBot="1" x14ac:dyDescent="0.3">
      <c r="A3361" s="735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99"/>
        <v>01,25</v>
      </c>
      <c r="L3361" s="23" t="s">
        <v>266</v>
      </c>
      <c r="M3361" s="23">
        <v>6173.74</v>
      </c>
      <c r="N3361" s="329">
        <v>0.54166666666666696</v>
      </c>
    </row>
    <row r="3362" spans="1:14" ht="19.5" hidden="1" thickBot="1" x14ac:dyDescent="0.3">
      <c r="A3362" s="735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99"/>
        <v>01,25</v>
      </c>
      <c r="L3362" s="23" t="s">
        <v>28</v>
      </c>
      <c r="M3362" s="23">
        <v>330</v>
      </c>
      <c r="N3362" s="329">
        <v>0.54166666666666696</v>
      </c>
    </row>
    <row r="3363" spans="1:14" ht="19.5" hidden="1" thickBot="1" x14ac:dyDescent="0.3">
      <c r="A3363" s="735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99"/>
        <v>01,25</v>
      </c>
      <c r="L3363" s="23" t="s">
        <v>266</v>
      </c>
      <c r="M3363" s="23">
        <v>611.79999999999995</v>
      </c>
      <c r="N3363" s="329">
        <v>0.54166666666666696</v>
      </c>
    </row>
    <row r="3364" spans="1:14" ht="19.5" hidden="1" thickBot="1" x14ac:dyDescent="0.3">
      <c r="A3364" s="735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99"/>
        <v>01,25</v>
      </c>
      <c r="L3364" s="23" t="s">
        <v>266</v>
      </c>
      <c r="M3364" s="23">
        <v>3003</v>
      </c>
      <c r="N3364" s="329">
        <v>0.54166666666666696</v>
      </c>
    </row>
    <row r="3365" spans="1:14" ht="19.5" hidden="1" thickBot="1" x14ac:dyDescent="0.3">
      <c r="A3365" s="735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99"/>
        <v>01,25</v>
      </c>
      <c r="L3365" s="23" t="s">
        <v>266</v>
      </c>
      <c r="M3365" s="23">
        <v>1926.72</v>
      </c>
      <c r="N3365" s="329">
        <v>0.54166666666666696</v>
      </c>
    </row>
    <row r="3366" spans="1:14" ht="19.5" hidden="1" thickBot="1" x14ac:dyDescent="0.3">
      <c r="A3366" s="735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99"/>
        <v>01,25</v>
      </c>
      <c r="L3366" s="23" t="s">
        <v>266</v>
      </c>
      <c r="M3366" s="23">
        <v>1783.48</v>
      </c>
      <c r="N3366" s="329">
        <v>0.54166666666666696</v>
      </c>
    </row>
    <row r="3367" spans="1:14" ht="19.5" hidden="1" thickBot="1" x14ac:dyDescent="0.3">
      <c r="A3367" s="735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99"/>
        <v>01,25</v>
      </c>
      <c r="L3367" s="293" t="s">
        <v>28</v>
      </c>
      <c r="M3367" s="293">
        <v>1230</v>
      </c>
      <c r="N3367" s="389">
        <v>0.54166666666666696</v>
      </c>
    </row>
    <row r="3368" spans="1:14" ht="19.5" hidden="1" thickBot="1" x14ac:dyDescent="0.3">
      <c r="A3368" s="731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99"/>
        <v>01,25</v>
      </c>
      <c r="L3368" s="82" t="s">
        <v>265</v>
      </c>
      <c r="M3368" s="82">
        <v>10142.66</v>
      </c>
      <c r="N3368" s="319">
        <v>0.375</v>
      </c>
    </row>
    <row r="3369" spans="1:14" ht="19.5" hidden="1" thickBot="1" x14ac:dyDescent="0.3">
      <c r="A3369" s="731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99"/>
        <v>01,25</v>
      </c>
      <c r="L3369" s="90" t="s">
        <v>265</v>
      </c>
      <c r="M3369" s="90">
        <v>6434.5</v>
      </c>
      <c r="N3369" s="325">
        <v>0.375</v>
      </c>
    </row>
    <row r="3370" spans="1:14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99"/>
        <v>01,25</v>
      </c>
      <c r="L3370" s="75" t="s">
        <v>265</v>
      </c>
      <c r="M3370" s="75">
        <v>17232.54</v>
      </c>
      <c r="N3370" s="322">
        <v>0.79166666666666696</v>
      </c>
    </row>
    <row r="3371" spans="1:14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99"/>
        <v>01,25</v>
      </c>
      <c r="L3371" s="122" t="s">
        <v>265</v>
      </c>
      <c r="M3371" s="122">
        <v>12282.24</v>
      </c>
      <c r="N3371" s="365">
        <v>0.375</v>
      </c>
    </row>
    <row r="3372" spans="1:14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99"/>
        <v>02,25</v>
      </c>
      <c r="L3372" s="75" t="s">
        <v>28</v>
      </c>
      <c r="M3372" s="75">
        <v>17687.72</v>
      </c>
      <c r="N3372" s="322">
        <v>0.41666666666666702</v>
      </c>
    </row>
    <row r="3373" spans="1:14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99"/>
        <v>02,25</v>
      </c>
      <c r="L3373" s="40" t="s">
        <v>28</v>
      </c>
      <c r="M3373" s="40">
        <v>15652.62</v>
      </c>
      <c r="N3373" s="317">
        <v>0.45833333333333298</v>
      </c>
    </row>
    <row r="3374" spans="1:14" ht="19.5" hidden="1" thickBot="1" x14ac:dyDescent="0.3">
      <c r="A3374" s="732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99"/>
        <v>02,25</v>
      </c>
      <c r="L3374" s="48" t="s">
        <v>28</v>
      </c>
      <c r="M3374" s="48">
        <v>4331.16</v>
      </c>
      <c r="N3374" s="315">
        <v>0.5</v>
      </c>
    </row>
    <row r="3375" spans="1:14" ht="19.5" hidden="1" thickBot="1" x14ac:dyDescent="0.3">
      <c r="A3375" s="732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99"/>
        <v>02,25</v>
      </c>
      <c r="L3375" s="71" t="s">
        <v>28</v>
      </c>
      <c r="M3375" s="71">
        <v>13418.96</v>
      </c>
      <c r="N3375" s="323">
        <v>0.5</v>
      </c>
    </row>
    <row r="3376" spans="1:14" ht="19.5" hidden="1" thickBot="1" x14ac:dyDescent="0.3">
      <c r="A3376" s="731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99"/>
        <v>02,25</v>
      </c>
      <c r="L3376" s="82" t="s">
        <v>28</v>
      </c>
      <c r="M3376" s="82">
        <v>3777.2</v>
      </c>
      <c r="N3376" s="319">
        <v>0.54166666666666696</v>
      </c>
    </row>
    <row r="3377" spans="1:14" ht="19.5" hidden="1" thickBot="1" x14ac:dyDescent="0.3">
      <c r="A3377" s="731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99"/>
        <v>02,25</v>
      </c>
      <c r="L3377" s="90" t="s">
        <v>28</v>
      </c>
      <c r="M3377" s="90">
        <v>14097.94</v>
      </c>
      <c r="N3377" s="325">
        <v>0.54166666666666696</v>
      </c>
    </row>
    <row r="3378" spans="1:14" ht="19.5" hidden="1" customHeight="1" thickBot="1" x14ac:dyDescent="0.3">
      <c r="A3378" s="735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737" t="s">
        <v>72</v>
      </c>
      <c r="H3378" s="48" t="s">
        <v>760</v>
      </c>
      <c r="I3378" s="163" t="s">
        <v>760</v>
      </c>
      <c r="J3378" s="52"/>
      <c r="K3378" s="48" t="str">
        <f t="shared" si="99"/>
        <v>02,25</v>
      </c>
      <c r="L3378" s="48" t="s">
        <v>265</v>
      </c>
      <c r="M3378" s="48">
        <v>9002.68</v>
      </c>
      <c r="N3378" s="315">
        <v>0.33333333333333298</v>
      </c>
    </row>
    <row r="3379" spans="1:14" ht="19.5" hidden="1" thickBot="1" x14ac:dyDescent="0.3">
      <c r="A3379" s="735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737"/>
      <c r="H3379" s="293" t="s">
        <v>760</v>
      </c>
      <c r="I3379" s="388" t="s">
        <v>760</v>
      </c>
      <c r="J3379" s="296"/>
      <c r="K3379" s="293" t="str">
        <f t="shared" si="99"/>
        <v>02,25</v>
      </c>
      <c r="L3379" s="293" t="s">
        <v>265</v>
      </c>
      <c r="M3379" s="293">
        <v>3061.18</v>
      </c>
      <c r="N3379" s="389">
        <v>0.41666666666666702</v>
      </c>
    </row>
    <row r="3380" spans="1:14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99"/>
        <v>02,25</v>
      </c>
      <c r="L3380" s="40" t="s">
        <v>28</v>
      </c>
      <c r="M3380" s="40">
        <v>15330.96</v>
      </c>
      <c r="N3380" s="317">
        <v>0.5</v>
      </c>
    </row>
    <row r="3381" spans="1:14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99"/>
        <v>02,25</v>
      </c>
      <c r="L3381" s="75" t="s">
        <v>265</v>
      </c>
      <c r="M3381" s="75">
        <v>17228.98</v>
      </c>
      <c r="N3381" s="322">
        <v>0.375</v>
      </c>
    </row>
    <row r="3382" spans="1:14" ht="19.5" hidden="1" thickBot="1" x14ac:dyDescent="0.3">
      <c r="A3382" s="731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99"/>
        <v>02,25</v>
      </c>
      <c r="L3382" s="82" t="s">
        <v>28</v>
      </c>
      <c r="M3382" s="82">
        <v>3366.09</v>
      </c>
      <c r="N3382" s="319">
        <v>0.41666666666666702</v>
      </c>
    </row>
    <row r="3383" spans="1:14" ht="19.5" hidden="1" thickBot="1" x14ac:dyDescent="0.3">
      <c r="A3383" s="731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99"/>
        <v>02,25</v>
      </c>
      <c r="L3383" s="98" t="s">
        <v>28</v>
      </c>
      <c r="M3383" s="98">
        <v>3956.42</v>
      </c>
      <c r="N3383" s="364">
        <v>0.41666666666666702</v>
      </c>
    </row>
    <row r="3384" spans="1:14" ht="19.5" hidden="1" thickBot="1" x14ac:dyDescent="0.3">
      <c r="A3384" s="731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99"/>
        <v>02,25</v>
      </c>
      <c r="L3384" s="90" t="s">
        <v>28</v>
      </c>
      <c r="M3384" s="90">
        <v>9935.64</v>
      </c>
      <c r="N3384" s="325">
        <v>0.41666666666666702</v>
      </c>
    </row>
    <row r="3385" spans="1:14" ht="19.5" hidden="1" thickBot="1" x14ac:dyDescent="0.3">
      <c r="A3385" s="732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99"/>
        <v>02,25</v>
      </c>
      <c r="L3385" s="48" t="s">
        <v>28</v>
      </c>
      <c r="M3385" s="48">
        <v>8124.31</v>
      </c>
      <c r="N3385" s="315">
        <v>0.45833333333333298</v>
      </c>
    </row>
    <row r="3386" spans="1:14" ht="19.5" hidden="1" thickBot="1" x14ac:dyDescent="0.3">
      <c r="A3386" s="732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99"/>
        <v>02,25</v>
      </c>
      <c r="L3386" s="71" t="s">
        <v>28</v>
      </c>
      <c r="M3386" s="71">
        <v>9594.06</v>
      </c>
      <c r="N3386" s="323">
        <v>0.45833333333333298</v>
      </c>
    </row>
    <row r="3387" spans="1:14" ht="19.5" hidden="1" thickBot="1" x14ac:dyDescent="0.3">
      <c r="A3387" s="731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1">RIGHT(I3387,5)</f>
        <v>02,25</v>
      </c>
      <c r="L3387" s="82" t="s">
        <v>28</v>
      </c>
      <c r="M3387" s="82">
        <v>4258.08</v>
      </c>
      <c r="N3387" s="319">
        <v>0.5</v>
      </c>
    </row>
    <row r="3388" spans="1:14" ht="19.5" hidden="1" thickBot="1" x14ac:dyDescent="0.3">
      <c r="A3388" s="731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1"/>
        <v>02,25</v>
      </c>
      <c r="L3388" s="90" t="s">
        <v>28</v>
      </c>
      <c r="M3388" s="90">
        <v>13452.81</v>
      </c>
      <c r="N3388" s="325">
        <v>0.5</v>
      </c>
    </row>
    <row r="3389" spans="1:14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1"/>
        <v>02,25</v>
      </c>
      <c r="L3389" s="75" t="s">
        <v>265</v>
      </c>
      <c r="M3389" s="75">
        <v>17223.34</v>
      </c>
      <c r="N3389" s="322">
        <v>0.375</v>
      </c>
    </row>
    <row r="3390" spans="1:14" ht="19.5" hidden="1" thickBot="1" x14ac:dyDescent="0.3">
      <c r="A3390" s="731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1"/>
        <v>02,25</v>
      </c>
      <c r="L3390" s="82" t="s">
        <v>28</v>
      </c>
      <c r="M3390" s="82">
        <v>1536.32</v>
      </c>
      <c r="N3390" s="319">
        <v>0.41666666666666702</v>
      </c>
    </row>
    <row r="3391" spans="1:14" ht="19.5" hidden="1" thickBot="1" x14ac:dyDescent="0.3">
      <c r="A3391" s="731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1"/>
        <v>02,25</v>
      </c>
      <c r="L3391" s="90" t="s">
        <v>28</v>
      </c>
      <c r="M3391" s="90">
        <v>8567.68</v>
      </c>
      <c r="N3391" s="325">
        <v>0.41666666666666702</v>
      </c>
    </row>
    <row r="3392" spans="1:14" ht="28.5" hidden="1" customHeight="1" thickBot="1" x14ac:dyDescent="0.3">
      <c r="A3392" s="732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737" t="s">
        <v>763</v>
      </c>
      <c r="H3392" s="48" t="s">
        <v>761</v>
      </c>
      <c r="I3392" s="163" t="s">
        <v>761</v>
      </c>
      <c r="J3392" s="52"/>
      <c r="K3392" s="48" t="str">
        <f t="shared" si="101"/>
        <v>02,25</v>
      </c>
      <c r="L3392" s="48" t="s">
        <v>28</v>
      </c>
      <c r="M3392" s="48">
        <v>3485.36</v>
      </c>
      <c r="N3392" s="315">
        <v>0.45833333333333298</v>
      </c>
    </row>
    <row r="3393" spans="1:14" ht="28.5" hidden="1" customHeight="1" thickBot="1" x14ac:dyDescent="0.3">
      <c r="A3393" s="732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737"/>
      <c r="H3393" s="71" t="s">
        <v>761</v>
      </c>
      <c r="I3393" s="167" t="s">
        <v>761</v>
      </c>
      <c r="J3393" s="168"/>
      <c r="K3393" s="71" t="str">
        <f t="shared" si="101"/>
        <v>02,25</v>
      </c>
      <c r="L3393" s="71" t="s">
        <v>28</v>
      </c>
      <c r="M3393" s="71">
        <v>7135.96</v>
      </c>
      <c r="N3393" s="323">
        <v>0.45833333333333298</v>
      </c>
    </row>
    <row r="3394" spans="1:14" ht="19.5" hidden="1" thickBot="1" x14ac:dyDescent="0.3">
      <c r="A3394" s="110">
        <f t="shared" ref="A3394:A3399" si="102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1"/>
        <v>02,25</v>
      </c>
      <c r="L3394" s="40" t="s">
        <v>28</v>
      </c>
      <c r="M3394" s="40">
        <v>12109.68</v>
      </c>
      <c r="N3394" s="317">
        <v>0.41666666666666702</v>
      </c>
    </row>
    <row r="3395" spans="1:14" ht="75.75" hidden="1" thickBot="1" x14ac:dyDescent="0.3">
      <c r="A3395" s="111">
        <f t="shared" si="102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1"/>
        <v>02,25</v>
      </c>
      <c r="L3395" s="75" t="s">
        <v>28</v>
      </c>
      <c r="M3395" s="75">
        <v>15200.04</v>
      </c>
      <c r="N3395" s="322">
        <v>0.41666666666666702</v>
      </c>
    </row>
    <row r="3396" spans="1:14" ht="38.25" hidden="1" thickBot="1" x14ac:dyDescent="0.3">
      <c r="A3396" s="149">
        <f t="shared" si="102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1"/>
        <v>02,25</v>
      </c>
      <c r="L3396" s="122" t="s">
        <v>28</v>
      </c>
      <c r="M3396" s="122">
        <v>18099.72</v>
      </c>
      <c r="N3396" s="365">
        <v>0.45833333333333298</v>
      </c>
    </row>
    <row r="3397" spans="1:14" ht="19.5" hidden="1" thickBot="1" x14ac:dyDescent="0.3">
      <c r="A3397" s="111">
        <f t="shared" si="102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1"/>
        <v>02,25</v>
      </c>
      <c r="L3397" s="75" t="s">
        <v>28</v>
      </c>
      <c r="M3397" s="75">
        <v>11454.12</v>
      </c>
      <c r="N3397" s="322">
        <v>0.41666666666666702</v>
      </c>
    </row>
    <row r="3398" spans="1:14" ht="19.5" hidden="1" thickBot="1" x14ac:dyDescent="0.3">
      <c r="A3398" s="110">
        <f t="shared" si="102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1"/>
        <v>02,25</v>
      </c>
      <c r="L3398" s="40" t="s">
        <v>266</v>
      </c>
      <c r="M3398" s="40">
        <v>18085.95</v>
      </c>
      <c r="N3398" s="317">
        <v>0.41666666666666702</v>
      </c>
    </row>
    <row r="3399" spans="1:14" ht="19.5" hidden="1" thickBot="1" x14ac:dyDescent="0.3">
      <c r="A3399" s="735">
        <f t="shared" si="102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1"/>
        <v>02,25</v>
      </c>
      <c r="L3399" s="48" t="s">
        <v>266</v>
      </c>
      <c r="M3399" s="48">
        <v>4591.92</v>
      </c>
      <c r="N3399" s="315">
        <v>0.45833333333333298</v>
      </c>
    </row>
    <row r="3400" spans="1:14" ht="19.5" hidden="1" thickBot="1" x14ac:dyDescent="0.3">
      <c r="A3400" s="735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1"/>
        <v>02,25</v>
      </c>
      <c r="L3400" s="23" t="s">
        <v>266</v>
      </c>
      <c r="M3400" s="23">
        <v>677.66</v>
      </c>
      <c r="N3400" s="329">
        <v>0.45833333333333298</v>
      </c>
    </row>
    <row r="3401" spans="1:14" ht="19.5" hidden="1" thickBot="1" x14ac:dyDescent="0.3">
      <c r="A3401" s="735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1"/>
        <v>02,25</v>
      </c>
      <c r="L3401" s="23" t="s">
        <v>266</v>
      </c>
      <c r="M3401" s="23">
        <v>4950.28</v>
      </c>
      <c r="N3401" s="329">
        <v>0.45833333333333298</v>
      </c>
    </row>
    <row r="3402" spans="1:14" ht="19.5" hidden="1" thickBot="1" x14ac:dyDescent="0.3">
      <c r="A3402" s="735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1"/>
        <v>02,25</v>
      </c>
      <c r="L3402" s="23" t="s">
        <v>266</v>
      </c>
      <c r="M3402" s="23">
        <v>2004.6</v>
      </c>
      <c r="N3402" s="329">
        <v>0.45833333333333298</v>
      </c>
    </row>
    <row r="3403" spans="1:14" ht="19.5" hidden="1" thickBot="1" x14ac:dyDescent="0.3">
      <c r="A3403" s="735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1"/>
        <v>02,25</v>
      </c>
      <c r="L3403" s="23" t="s">
        <v>266</v>
      </c>
      <c r="M3403" s="23">
        <v>2072.8200000000002</v>
      </c>
      <c r="N3403" s="329">
        <v>0.45833333333333298</v>
      </c>
    </row>
    <row r="3404" spans="1:14" ht="19.5" hidden="1" thickBot="1" x14ac:dyDescent="0.3">
      <c r="A3404" s="735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1"/>
        <v>02,25</v>
      </c>
      <c r="L3404" s="293" t="s">
        <v>266</v>
      </c>
      <c r="M3404" s="293">
        <v>3319.62</v>
      </c>
      <c r="N3404" s="389">
        <v>0.45833333333333298</v>
      </c>
    </row>
    <row r="3405" spans="1:14" ht="38.2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1"/>
        <v>02,25</v>
      </c>
      <c r="L3405" s="40" t="s">
        <v>28</v>
      </c>
      <c r="M3405" s="40">
        <v>10799.48</v>
      </c>
      <c r="N3405" s="317">
        <v>0.41666666666666702</v>
      </c>
    </row>
    <row r="3406" spans="1:14" ht="19.5" hidden="1" thickBot="1" x14ac:dyDescent="0.3">
      <c r="A3406" s="732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1"/>
        <v>02,25</v>
      </c>
      <c r="L3406" s="48" t="s">
        <v>265</v>
      </c>
      <c r="M3406" s="48">
        <v>7962.08</v>
      </c>
      <c r="N3406" s="315">
        <v>0.375</v>
      </c>
    </row>
    <row r="3407" spans="1:14" ht="19.5" hidden="1" thickBot="1" x14ac:dyDescent="0.3">
      <c r="A3407" s="732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1"/>
        <v>02,25</v>
      </c>
      <c r="L3407" s="71" t="s">
        <v>265</v>
      </c>
      <c r="M3407" s="71">
        <v>9266</v>
      </c>
      <c r="N3407" s="323">
        <v>0.375</v>
      </c>
    </row>
    <row r="3408" spans="1:14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1"/>
        <v>02,25</v>
      </c>
      <c r="L3408" s="40" t="s">
        <v>265</v>
      </c>
      <c r="M3408" s="40">
        <v>17519.72</v>
      </c>
      <c r="N3408" s="317">
        <v>0.375</v>
      </c>
    </row>
    <row r="3409" spans="1:14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1"/>
        <v>02,25</v>
      </c>
      <c r="L3409" s="158" t="s">
        <v>265</v>
      </c>
      <c r="M3409" s="158">
        <v>10984.24</v>
      </c>
      <c r="N3409" s="433">
        <v>0.375</v>
      </c>
    </row>
    <row r="3410" spans="1:14" ht="38.25" hidden="1" thickBot="1" x14ac:dyDescent="0.3">
      <c r="A3410" s="731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1"/>
        <v>02,25</v>
      </c>
      <c r="L3410" s="82" t="s">
        <v>28</v>
      </c>
      <c r="M3410" s="82">
        <v>950.44</v>
      </c>
      <c r="N3410" s="319">
        <v>0.41666666666666702</v>
      </c>
    </row>
    <row r="3411" spans="1:14" ht="38.25" hidden="1" thickBot="1" x14ac:dyDescent="0.3">
      <c r="A3411" s="731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1"/>
        <v>02,25</v>
      </c>
      <c r="L3411" s="98" t="s">
        <v>28</v>
      </c>
      <c r="M3411" s="98">
        <v>5454.65</v>
      </c>
      <c r="N3411" s="364">
        <v>0.41666666666666702</v>
      </c>
    </row>
    <row r="3412" spans="1:14" ht="38.25" hidden="1" thickBot="1" x14ac:dyDescent="0.3">
      <c r="A3412" s="731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1"/>
        <v>02,25</v>
      </c>
      <c r="L3412" s="98" t="s">
        <v>28</v>
      </c>
      <c r="M3412" s="98">
        <v>8271.8799999999992</v>
      </c>
      <c r="N3412" s="364">
        <v>0.41666666666666702</v>
      </c>
    </row>
    <row r="3413" spans="1:14" ht="38.25" hidden="1" thickBot="1" x14ac:dyDescent="0.3">
      <c r="A3413" s="731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1"/>
        <v>02,25</v>
      </c>
      <c r="L3413" s="90" t="s">
        <v>28</v>
      </c>
      <c r="M3413" s="90">
        <v>3336</v>
      </c>
      <c r="N3413" s="325">
        <v>0.41666666666666702</v>
      </c>
    </row>
    <row r="3414" spans="1:14" ht="18.75" hidden="1" customHeight="1" thickBot="1" x14ac:dyDescent="0.3">
      <c r="A3414" s="732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737" t="s">
        <v>72</v>
      </c>
      <c r="H3414" s="48" t="s">
        <v>772</v>
      </c>
      <c r="I3414" s="163" t="s">
        <v>772</v>
      </c>
      <c r="J3414" s="52"/>
      <c r="K3414" s="48" t="str">
        <f t="shared" si="101"/>
        <v>02,25</v>
      </c>
      <c r="L3414" s="48" t="s">
        <v>265</v>
      </c>
      <c r="M3414" s="48">
        <v>9016.8799999999992</v>
      </c>
      <c r="N3414" s="315">
        <v>0.33333333333333298</v>
      </c>
    </row>
    <row r="3415" spans="1:14" ht="19.5" hidden="1" thickBot="1" x14ac:dyDescent="0.3">
      <c r="A3415" s="732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737"/>
      <c r="H3415" s="71" t="s">
        <v>772</v>
      </c>
      <c r="I3415" s="167" t="s">
        <v>772</v>
      </c>
      <c r="J3415" s="168"/>
      <c r="K3415" s="71" t="str">
        <f t="shared" si="101"/>
        <v>02,25</v>
      </c>
      <c r="L3415" s="71" t="s">
        <v>265</v>
      </c>
      <c r="M3415" s="71">
        <v>3072</v>
      </c>
      <c r="N3415" s="323">
        <v>0.41666666666666702</v>
      </c>
    </row>
    <row r="3416" spans="1:14" ht="38.25" hidden="1" thickBot="1" x14ac:dyDescent="0.3">
      <c r="A3416" s="73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1"/>
        <v>02,25</v>
      </c>
      <c r="L3416" s="82" t="s">
        <v>28</v>
      </c>
      <c r="M3416" s="82">
        <v>480</v>
      </c>
      <c r="N3416" s="319">
        <v>0.5</v>
      </c>
    </row>
    <row r="3417" spans="1:14" ht="38.25" hidden="1" thickBot="1" x14ac:dyDescent="0.3">
      <c r="A3417" s="73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1"/>
        <v>02,25</v>
      </c>
      <c r="L3417" s="98" t="s">
        <v>28</v>
      </c>
      <c r="M3417" s="98">
        <v>2686.12</v>
      </c>
      <c r="N3417" s="364">
        <v>0.5</v>
      </c>
    </row>
    <row r="3418" spans="1:14" ht="38.25" hidden="1" thickBot="1" x14ac:dyDescent="0.3">
      <c r="A3418" s="73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1"/>
        <v>02,25</v>
      </c>
      <c r="L3418" s="98" t="s">
        <v>28</v>
      </c>
      <c r="M3418" s="98">
        <v>6371.16</v>
      </c>
      <c r="N3418" s="364">
        <v>0.5</v>
      </c>
    </row>
    <row r="3419" spans="1:14" ht="38.25" hidden="1" thickBot="1" x14ac:dyDescent="0.3">
      <c r="A3419" s="73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1"/>
        <v>02,25</v>
      </c>
      <c r="L3419" s="65" t="s">
        <v>28</v>
      </c>
      <c r="M3419" s="65">
        <v>8198.4599999999991</v>
      </c>
      <c r="N3419" s="434">
        <v>0.5</v>
      </c>
    </row>
    <row r="3420" spans="1:14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1"/>
        <v>02,25</v>
      </c>
      <c r="L3420" s="75" t="s">
        <v>265</v>
      </c>
      <c r="M3420" s="75">
        <v>17323.72</v>
      </c>
      <c r="N3420" s="322">
        <v>0.375</v>
      </c>
    </row>
    <row r="3421" spans="1:14" ht="38.25" hidden="1" thickBot="1" x14ac:dyDescent="0.3">
      <c r="A3421" s="731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1"/>
        <v>02,25</v>
      </c>
      <c r="L3421" s="82" t="s">
        <v>28</v>
      </c>
      <c r="M3421" s="82">
        <v>1225.97</v>
      </c>
      <c r="N3421" s="319">
        <v>0.41666666666666702</v>
      </c>
    </row>
    <row r="3422" spans="1:14" ht="38.25" hidden="1" thickBot="1" x14ac:dyDescent="0.3">
      <c r="A3422" s="731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1"/>
        <v>02,25</v>
      </c>
      <c r="L3422" s="98" t="s">
        <v>28</v>
      </c>
      <c r="M3422" s="98">
        <v>6152.75</v>
      </c>
      <c r="N3422" s="364">
        <v>0.41666666666666702</v>
      </c>
    </row>
    <row r="3423" spans="1:14" ht="38.25" hidden="1" thickBot="1" x14ac:dyDescent="0.3">
      <c r="A3423" s="731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1"/>
        <v>02,25</v>
      </c>
      <c r="L3423" s="98" t="s">
        <v>28</v>
      </c>
      <c r="M3423" s="98">
        <v>7031.18</v>
      </c>
      <c r="N3423" s="364">
        <v>0.41666666666666702</v>
      </c>
    </row>
    <row r="3424" spans="1:14" ht="38.25" hidden="1" thickBot="1" x14ac:dyDescent="0.3">
      <c r="A3424" s="731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1"/>
        <v>02,25</v>
      </c>
      <c r="L3424" s="90" t="s">
        <v>28</v>
      </c>
      <c r="M3424" s="90">
        <v>3535.78</v>
      </c>
      <c r="N3424" s="325">
        <v>0.41666666666666702</v>
      </c>
    </row>
    <row r="3425" spans="1:14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1"/>
        <v>02,25</v>
      </c>
      <c r="L3425" s="75" t="s">
        <v>265</v>
      </c>
      <c r="M3425" s="75">
        <v>17658.52</v>
      </c>
      <c r="N3425" s="322">
        <v>0.375</v>
      </c>
    </row>
    <row r="3426" spans="1:14" ht="19.5" hidden="1" thickBot="1" x14ac:dyDescent="0.3">
      <c r="A3426" s="731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1"/>
        <v>02,25</v>
      </c>
      <c r="L3426" s="82" t="s">
        <v>28</v>
      </c>
      <c r="M3426" s="82">
        <v>1209.5999999999999</v>
      </c>
      <c r="N3426" s="319">
        <v>0.41666666666666702</v>
      </c>
    </row>
    <row r="3427" spans="1:14" ht="19.5" hidden="1" thickBot="1" x14ac:dyDescent="0.3">
      <c r="A3427" s="731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1"/>
        <v>02,25</v>
      </c>
      <c r="L3427" s="98" t="s">
        <v>28</v>
      </c>
      <c r="M3427" s="98">
        <v>4524.3999999999996</v>
      </c>
      <c r="N3427" s="364">
        <v>0.41666666666666702</v>
      </c>
    </row>
    <row r="3428" spans="1:14" ht="19.5" hidden="1" thickBot="1" x14ac:dyDescent="0.3">
      <c r="A3428" s="731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1"/>
        <v>02,25</v>
      </c>
      <c r="L3428" s="98" t="s">
        <v>28</v>
      </c>
      <c r="M3428" s="98">
        <v>4085.92</v>
      </c>
      <c r="N3428" s="364">
        <v>0.41666666666666702</v>
      </c>
    </row>
    <row r="3429" spans="1:14" ht="19.5" hidden="1" thickBot="1" x14ac:dyDescent="0.3">
      <c r="A3429" s="731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1"/>
        <v>02,25</v>
      </c>
      <c r="L3429" s="90" t="s">
        <v>28</v>
      </c>
      <c r="M3429" s="90">
        <v>3631.16</v>
      </c>
      <c r="N3429" s="325">
        <v>0.41666666666666702</v>
      </c>
    </row>
    <row r="3430" spans="1:14" ht="38.2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1"/>
        <v>02,25</v>
      </c>
      <c r="L3430" s="75" t="s">
        <v>28</v>
      </c>
      <c r="M3430" s="75">
        <v>15124.44</v>
      </c>
      <c r="N3430" s="322">
        <v>0.45833333333333298</v>
      </c>
    </row>
    <row r="3431" spans="1:14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1"/>
        <v>02,25</v>
      </c>
      <c r="L3431" s="40" t="s">
        <v>28</v>
      </c>
      <c r="M3431" s="40">
        <v>18028.740000000002</v>
      </c>
      <c r="N3431" s="317">
        <v>0.41666666666666702</v>
      </c>
    </row>
    <row r="3432" spans="1:14" ht="19.5" hidden="1" thickBot="1" x14ac:dyDescent="0.3">
      <c r="A3432" s="735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1"/>
        <v>02,25</v>
      </c>
      <c r="L3432" s="48" t="s">
        <v>266</v>
      </c>
      <c r="M3432" s="48">
        <v>14388.15</v>
      </c>
      <c r="N3432" s="315">
        <v>0.5</v>
      </c>
    </row>
    <row r="3433" spans="1:14" ht="19.5" hidden="1" thickBot="1" x14ac:dyDescent="0.3">
      <c r="A3433" s="735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1"/>
        <v>02,25</v>
      </c>
      <c r="L3433" s="293" t="s">
        <v>266</v>
      </c>
      <c r="M3433" s="293">
        <v>3207.5</v>
      </c>
      <c r="N3433" s="389">
        <v>0.5</v>
      </c>
    </row>
    <row r="3434" spans="1:14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1"/>
        <v>02,25</v>
      </c>
      <c r="L3434" s="40" t="s">
        <v>266</v>
      </c>
      <c r="M3434" s="40">
        <v>18151.080000000002</v>
      </c>
      <c r="N3434" s="317">
        <v>0.41666666666666702</v>
      </c>
    </row>
    <row r="3435" spans="1:14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1"/>
        <v>02,25</v>
      </c>
      <c r="L3435" s="75" t="s">
        <v>266</v>
      </c>
      <c r="M3435" s="75">
        <v>18087.919999999998</v>
      </c>
      <c r="N3435" s="322">
        <v>0.45833333333333298</v>
      </c>
    </row>
    <row r="3436" spans="1:14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1"/>
        <v>02,25</v>
      </c>
      <c r="L3436" s="40" t="s">
        <v>266</v>
      </c>
      <c r="M3436" s="40">
        <v>17984.400000000001</v>
      </c>
      <c r="N3436" s="317">
        <v>0.5</v>
      </c>
    </row>
    <row r="3437" spans="1:14" ht="19.5" hidden="1" thickBot="1" x14ac:dyDescent="0.3">
      <c r="A3437" s="732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1"/>
        <v>02,25</v>
      </c>
      <c r="L3437" s="48" t="s">
        <v>266</v>
      </c>
      <c r="M3437" s="48">
        <v>6620.11</v>
      </c>
      <c r="N3437" s="315">
        <v>0.54166666666666696</v>
      </c>
    </row>
    <row r="3438" spans="1:14" ht="19.5" hidden="1" thickBot="1" x14ac:dyDescent="0.3">
      <c r="A3438" s="732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1"/>
        <v>02,25</v>
      </c>
      <c r="L3438" s="23" t="s">
        <v>266</v>
      </c>
      <c r="M3438" s="23">
        <v>529.36</v>
      </c>
      <c r="N3438" s="329">
        <v>0.54166666666666696</v>
      </c>
    </row>
    <row r="3439" spans="1:14" ht="19.5" hidden="1" thickBot="1" x14ac:dyDescent="0.3">
      <c r="A3439" s="732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1"/>
        <v>02,25</v>
      </c>
      <c r="L3439" s="23" t="s">
        <v>266</v>
      </c>
      <c r="M3439" s="23">
        <v>3871.72</v>
      </c>
      <c r="N3439" s="329">
        <v>0.54166666666666696</v>
      </c>
    </row>
    <row r="3440" spans="1:14" ht="19.5" hidden="1" thickBot="1" x14ac:dyDescent="0.3">
      <c r="A3440" s="732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1"/>
        <v>02,25</v>
      </c>
      <c r="L3440" s="23" t="s">
        <v>266</v>
      </c>
      <c r="M3440" s="23">
        <v>2028</v>
      </c>
      <c r="N3440" s="329">
        <v>0.54166666666666696</v>
      </c>
    </row>
    <row r="3441" spans="1:14" ht="19.5" hidden="1" thickBot="1" x14ac:dyDescent="0.3">
      <c r="A3441" s="732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1"/>
        <v>02,25</v>
      </c>
      <c r="L3441" s="71" t="s">
        <v>266</v>
      </c>
      <c r="M3441" s="71">
        <v>2277.54</v>
      </c>
      <c r="N3441" s="323">
        <v>0.54166666666666696</v>
      </c>
    </row>
    <row r="3442" spans="1:14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1"/>
        <v>02,25</v>
      </c>
      <c r="L3442" s="122" t="s">
        <v>266</v>
      </c>
      <c r="M3442" s="122">
        <v>4669.5600000000004</v>
      </c>
      <c r="N3442" s="365">
        <v>0.5</v>
      </c>
    </row>
    <row r="3443" spans="1:14" ht="19.5" hidden="1" thickBot="1" x14ac:dyDescent="0.3">
      <c r="A3443" s="732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1"/>
        <v>02,25</v>
      </c>
      <c r="L3443" s="48" t="s">
        <v>265</v>
      </c>
      <c r="M3443" s="48">
        <v>16125.66</v>
      </c>
      <c r="N3443" s="315">
        <v>0.375</v>
      </c>
    </row>
    <row r="3444" spans="1:14" ht="19.5" hidden="1" thickBot="1" x14ac:dyDescent="0.3">
      <c r="A3444" s="732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1"/>
        <v>02,25</v>
      </c>
      <c r="L3444" s="71" t="s">
        <v>265</v>
      </c>
      <c r="M3444" s="71">
        <v>1031.0999999999999</v>
      </c>
      <c r="N3444" s="323">
        <v>0.375</v>
      </c>
    </row>
    <row r="3445" spans="1:14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1"/>
        <v>02,25</v>
      </c>
      <c r="L3445" s="40" t="s">
        <v>265</v>
      </c>
      <c r="M3445" s="40">
        <v>17263.12</v>
      </c>
      <c r="N3445" s="317">
        <v>0.375</v>
      </c>
    </row>
    <row r="3446" spans="1:14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1"/>
        <v>02,25</v>
      </c>
      <c r="L3446" s="158" t="s">
        <v>265</v>
      </c>
      <c r="M3446" s="158">
        <v>12281.6</v>
      </c>
      <c r="N3446" s="433">
        <v>0.375</v>
      </c>
    </row>
    <row r="3447" spans="1:14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1"/>
        <v>02,25</v>
      </c>
      <c r="L3447" s="40" t="s">
        <v>28</v>
      </c>
      <c r="M3447" s="40">
        <v>17694.72</v>
      </c>
      <c r="N3447" s="317">
        <v>0.41666666666666702</v>
      </c>
    </row>
    <row r="3448" spans="1:14" ht="19.5" hidden="1" thickBot="1" x14ac:dyDescent="0.3">
      <c r="A3448" s="732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1"/>
        <v>02,25</v>
      </c>
      <c r="L3448" s="48" t="s">
        <v>28</v>
      </c>
      <c r="M3448" s="48">
        <v>15626.42</v>
      </c>
      <c r="N3448" s="315">
        <v>0.45833333333333298</v>
      </c>
    </row>
    <row r="3449" spans="1:14" ht="19.5" hidden="1" thickBot="1" x14ac:dyDescent="0.3">
      <c r="A3449" s="732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1"/>
        <v>02,25</v>
      </c>
      <c r="L3449" s="71" t="s">
        <v>28</v>
      </c>
      <c r="M3449" s="71">
        <v>2019</v>
      </c>
      <c r="N3449" s="323">
        <v>0.45833333333333298</v>
      </c>
    </row>
    <row r="3450" spans="1:14" ht="19.5" hidden="1" thickBot="1" x14ac:dyDescent="0.3">
      <c r="A3450" s="731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1"/>
        <v>02,25</v>
      </c>
      <c r="L3450" s="82" t="s">
        <v>28</v>
      </c>
      <c r="M3450" s="82">
        <v>7903.26</v>
      </c>
      <c r="N3450" s="319">
        <v>0.5</v>
      </c>
    </row>
    <row r="3451" spans="1:14" ht="19.5" hidden="1" thickBot="1" x14ac:dyDescent="0.3">
      <c r="A3451" s="731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3">RIGHT(I3451,5)</f>
        <v>02,25</v>
      </c>
      <c r="L3451" s="90" t="s">
        <v>28</v>
      </c>
      <c r="M3451" s="90">
        <v>9941.8799999999992</v>
      </c>
      <c r="N3451" s="325">
        <v>0.5</v>
      </c>
    </row>
    <row r="3452" spans="1:14" ht="18.75" hidden="1" customHeight="1" thickBot="1" x14ac:dyDescent="0.3">
      <c r="A3452" s="735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736" t="s">
        <v>72</v>
      </c>
      <c r="H3452" s="48" t="s">
        <v>780</v>
      </c>
      <c r="I3452" s="163" t="s">
        <v>780</v>
      </c>
      <c r="J3452" s="52"/>
      <c r="K3452" s="48" t="str">
        <f t="shared" si="103"/>
        <v>02,25</v>
      </c>
      <c r="L3452" s="48" t="s">
        <v>265</v>
      </c>
      <c r="M3452" s="48">
        <v>9770.9599999999991</v>
      </c>
      <c r="N3452" s="315">
        <v>0.33333333333333298</v>
      </c>
    </row>
    <row r="3453" spans="1:14" ht="19.5" hidden="1" thickBot="1" x14ac:dyDescent="0.3">
      <c r="A3453" s="735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736"/>
      <c r="H3453" s="56" t="s">
        <v>780</v>
      </c>
      <c r="I3453" s="190" t="s">
        <v>780</v>
      </c>
      <c r="J3453" s="60"/>
      <c r="K3453" s="56" t="str">
        <f t="shared" si="103"/>
        <v>02,25</v>
      </c>
      <c r="L3453" s="56" t="s">
        <v>265</v>
      </c>
      <c r="M3453" s="56">
        <v>3088.8</v>
      </c>
      <c r="N3453" s="318">
        <v>0.41666666666666702</v>
      </c>
    </row>
    <row r="3454" spans="1:14" ht="19.5" hidden="1" thickBot="1" x14ac:dyDescent="0.3">
      <c r="A3454" s="735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736"/>
      <c r="H3454" s="195" t="s">
        <v>780</v>
      </c>
      <c r="I3454" s="197" t="s">
        <v>780</v>
      </c>
      <c r="J3454" s="198" t="s">
        <v>76</v>
      </c>
      <c r="K3454" s="195" t="str">
        <f t="shared" si="103"/>
        <v>02,25</v>
      </c>
      <c r="L3454" s="195" t="s">
        <v>265</v>
      </c>
      <c r="M3454" s="195">
        <v>168</v>
      </c>
      <c r="N3454" s="324">
        <v>0.33333333333333298</v>
      </c>
    </row>
    <row r="3455" spans="1:14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3"/>
        <v>02,25</v>
      </c>
      <c r="L3455" s="40" t="s">
        <v>28</v>
      </c>
      <c r="M3455" s="40">
        <v>15093.34</v>
      </c>
      <c r="N3455" s="317">
        <v>0.5</v>
      </c>
    </row>
    <row r="3456" spans="1:14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3"/>
        <v>02,25</v>
      </c>
      <c r="L3456" s="75" t="s">
        <v>265</v>
      </c>
      <c r="M3456" s="75">
        <v>17383.919999999998</v>
      </c>
      <c r="N3456" s="322">
        <v>0.375</v>
      </c>
    </row>
    <row r="3457" spans="1:14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3"/>
        <v>02,25</v>
      </c>
      <c r="L3457" s="40" t="s">
        <v>28</v>
      </c>
      <c r="M3457" s="40">
        <v>17346.419999999998</v>
      </c>
      <c r="N3457" s="317">
        <v>0.41666666666666702</v>
      </c>
    </row>
    <row r="3458" spans="1:14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3"/>
        <v>02,25</v>
      </c>
      <c r="L3458" s="75" t="s">
        <v>28</v>
      </c>
      <c r="M3458" s="75">
        <v>17375.240000000002</v>
      </c>
      <c r="N3458" s="322">
        <v>0.45833333333333298</v>
      </c>
    </row>
    <row r="3459" spans="1:14" ht="19.5" hidden="1" thickBot="1" x14ac:dyDescent="0.3">
      <c r="A3459" s="731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3"/>
        <v>02,25</v>
      </c>
      <c r="L3459" s="82" t="s">
        <v>28</v>
      </c>
      <c r="M3459" s="82">
        <v>2934</v>
      </c>
      <c r="N3459" s="319">
        <v>0.5</v>
      </c>
    </row>
    <row r="3460" spans="1:14" ht="19.5" hidden="1" thickBot="1" x14ac:dyDescent="0.3">
      <c r="A3460" s="731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3"/>
        <v>02,25</v>
      </c>
      <c r="L3460" s="98" t="s">
        <v>28</v>
      </c>
      <c r="M3460" s="98">
        <v>3040.44</v>
      </c>
      <c r="N3460" s="364">
        <v>0.5</v>
      </c>
    </row>
    <row r="3461" spans="1:14" ht="19.5" hidden="1" thickBot="1" x14ac:dyDescent="0.3">
      <c r="A3461" s="731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3"/>
        <v>02,25</v>
      </c>
      <c r="L3461" s="98" t="s">
        <v>28</v>
      </c>
      <c r="M3461" s="98">
        <v>1005</v>
      </c>
      <c r="N3461" s="364">
        <v>0.5</v>
      </c>
    </row>
    <row r="3462" spans="1:14" ht="19.5" hidden="1" thickBot="1" x14ac:dyDescent="0.3">
      <c r="A3462" s="731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3"/>
        <v>02,25</v>
      </c>
      <c r="L3462" s="90" t="s">
        <v>28</v>
      </c>
      <c r="M3462" s="90">
        <v>10320.48</v>
      </c>
      <c r="N3462" s="325">
        <v>0.5</v>
      </c>
    </row>
    <row r="3463" spans="1:14" ht="19.5" hidden="1" thickBot="1" x14ac:dyDescent="0.3">
      <c r="A3463" s="732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3"/>
        <v>02,25</v>
      </c>
      <c r="L3463" s="48" t="s">
        <v>28</v>
      </c>
      <c r="M3463" s="48">
        <v>11361.85</v>
      </c>
      <c r="N3463" s="315">
        <v>0.54166666666666696</v>
      </c>
    </row>
    <row r="3464" spans="1:14" ht="19.5" hidden="1" thickBot="1" x14ac:dyDescent="0.3">
      <c r="A3464" s="732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3"/>
        <v>02,25</v>
      </c>
      <c r="L3464" s="71" t="s">
        <v>28</v>
      </c>
      <c r="M3464" s="71">
        <v>5939.52</v>
      </c>
      <c r="N3464" s="323">
        <v>0.54166666666666696</v>
      </c>
    </row>
    <row r="3465" spans="1:14" ht="19.5" hidden="1" thickBot="1" x14ac:dyDescent="0.3">
      <c r="A3465" s="731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3"/>
        <v>02,25</v>
      </c>
      <c r="L3465" s="82" t="s">
        <v>28</v>
      </c>
      <c r="M3465" s="82">
        <v>4344.1499999999996</v>
      </c>
      <c r="N3465" s="319">
        <v>0.58333333333333304</v>
      </c>
    </row>
    <row r="3466" spans="1:14" ht="19.5" hidden="1" thickBot="1" x14ac:dyDescent="0.3">
      <c r="A3466" s="731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3"/>
        <v>02,25</v>
      </c>
      <c r="L3466" s="98" t="s">
        <v>28</v>
      </c>
      <c r="M3466" s="98">
        <v>7833.6</v>
      </c>
      <c r="N3466" s="364">
        <v>0.58333333333333304</v>
      </c>
    </row>
    <row r="3467" spans="1:14" ht="19.5" hidden="1" thickBot="1" x14ac:dyDescent="0.3">
      <c r="A3467" s="731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3"/>
        <v>02,25</v>
      </c>
      <c r="L3467" s="90" t="s">
        <v>28</v>
      </c>
      <c r="M3467" s="90">
        <v>5215.74</v>
      </c>
      <c r="N3467" s="325">
        <v>0.58333333333333304</v>
      </c>
    </row>
    <row r="3468" spans="1:14" ht="19.5" hidden="1" thickBot="1" x14ac:dyDescent="0.3">
      <c r="A3468" s="732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3"/>
        <v>02,25</v>
      </c>
      <c r="L3468" s="48" t="s">
        <v>28</v>
      </c>
      <c r="M3468" s="48">
        <v>5031.24</v>
      </c>
      <c r="N3468" s="315">
        <v>0.41666666666666702</v>
      </c>
    </row>
    <row r="3469" spans="1:14" ht="19.5" hidden="1" thickBot="1" x14ac:dyDescent="0.3">
      <c r="A3469" s="732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3"/>
        <v>02,25</v>
      </c>
      <c r="L3469" s="71" t="s">
        <v>28</v>
      </c>
      <c r="M3469" s="71">
        <v>7285.44</v>
      </c>
      <c r="N3469" s="323">
        <v>0.41666666666666702</v>
      </c>
    </row>
    <row r="3470" spans="1:14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3"/>
        <v>02,25</v>
      </c>
      <c r="L3470" s="40" t="s">
        <v>28</v>
      </c>
      <c r="M3470" s="40">
        <v>13495</v>
      </c>
      <c r="N3470" s="317">
        <v>0.45833333333333298</v>
      </c>
    </row>
    <row r="3471" spans="1:14" ht="19.5" hidden="1" thickBot="1" x14ac:dyDescent="0.3">
      <c r="A3471" s="732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3"/>
        <v>02,25</v>
      </c>
      <c r="L3471" s="48" t="s">
        <v>28</v>
      </c>
      <c r="M3471" s="48">
        <v>10072.56</v>
      </c>
      <c r="N3471" s="315">
        <v>0.5</v>
      </c>
    </row>
    <row r="3472" spans="1:14" ht="19.5" hidden="1" thickBot="1" x14ac:dyDescent="0.3">
      <c r="A3472" s="732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3"/>
        <v>02,25</v>
      </c>
      <c r="L3472" s="71" t="s">
        <v>28</v>
      </c>
      <c r="M3472" s="71">
        <v>3024</v>
      </c>
      <c r="N3472" s="323">
        <v>0.5</v>
      </c>
    </row>
    <row r="3473" spans="1:14" ht="19.5" hidden="1" thickBot="1" x14ac:dyDescent="0.3">
      <c r="A3473" s="110">
        <f t="shared" ref="A3473:A3479" si="104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3"/>
        <v>02,25</v>
      </c>
      <c r="L3473" s="40" t="s">
        <v>28</v>
      </c>
      <c r="M3473" s="40">
        <v>9853.2000000000007</v>
      </c>
      <c r="N3473" s="317">
        <v>0.41666666666666702</v>
      </c>
    </row>
    <row r="3474" spans="1:14" ht="57" hidden="1" thickBot="1" x14ac:dyDescent="0.3">
      <c r="A3474" s="111">
        <f t="shared" si="104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3"/>
        <v>02,25</v>
      </c>
      <c r="L3474" s="75" t="s">
        <v>28</v>
      </c>
      <c r="M3474" s="75">
        <v>4011.12</v>
      </c>
      <c r="N3474" s="322">
        <v>0.41666666666666702</v>
      </c>
    </row>
    <row r="3475" spans="1:14" ht="38.25" hidden="1" thickBot="1" x14ac:dyDescent="0.3">
      <c r="A3475" s="149">
        <f t="shared" si="104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3"/>
        <v>02,25</v>
      </c>
      <c r="L3475" s="122" t="s">
        <v>266</v>
      </c>
      <c r="M3475" s="122">
        <v>17321.28</v>
      </c>
      <c r="N3475" s="365">
        <v>0.45833333333333298</v>
      </c>
    </row>
    <row r="3476" spans="1:14" ht="19.5" hidden="1" thickBot="1" x14ac:dyDescent="0.3">
      <c r="A3476" s="111">
        <f t="shared" si="104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3"/>
        <v>02,25</v>
      </c>
      <c r="L3476" s="75" t="s">
        <v>266</v>
      </c>
      <c r="M3476" s="75">
        <v>18300.72</v>
      </c>
      <c r="N3476" s="322">
        <v>0.41666666666666702</v>
      </c>
    </row>
    <row r="3477" spans="1:14" ht="19.5" hidden="1" thickBot="1" x14ac:dyDescent="0.3">
      <c r="A3477" s="110">
        <f t="shared" si="104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3"/>
        <v>02,25</v>
      </c>
      <c r="L3477" s="40" t="s">
        <v>266</v>
      </c>
      <c r="M3477" s="40">
        <v>18064.8</v>
      </c>
      <c r="N3477" s="317">
        <v>0.45833333333333298</v>
      </c>
    </row>
    <row r="3478" spans="1:14" ht="19.5" hidden="1" thickBot="1" x14ac:dyDescent="0.3">
      <c r="A3478" s="111">
        <f t="shared" si="104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3"/>
        <v>02,25</v>
      </c>
      <c r="L3478" s="75" t="s">
        <v>266</v>
      </c>
      <c r="M3478" s="75">
        <v>18099.46</v>
      </c>
      <c r="N3478" s="322">
        <v>0.5</v>
      </c>
    </row>
    <row r="3479" spans="1:14" ht="19.5" hidden="1" thickBot="1" x14ac:dyDescent="0.3">
      <c r="A3479" s="733">
        <f t="shared" si="104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3"/>
        <v>02,25</v>
      </c>
      <c r="L3479" s="82" t="s">
        <v>266</v>
      </c>
      <c r="M3479" s="82">
        <v>7044.34</v>
      </c>
      <c r="N3479" s="319">
        <v>0.54166666666666696</v>
      </c>
    </row>
    <row r="3480" spans="1:14" ht="19.5" hidden="1" thickBot="1" x14ac:dyDescent="0.3">
      <c r="A3480" s="73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3"/>
        <v>02,25</v>
      </c>
      <c r="L3480" s="98" t="s">
        <v>266</v>
      </c>
      <c r="M3480" s="98">
        <v>641.88</v>
      </c>
      <c r="N3480" s="364">
        <v>0.54166666666666696</v>
      </c>
    </row>
    <row r="3481" spans="1:14" ht="19.5" hidden="1" thickBot="1" x14ac:dyDescent="0.3">
      <c r="A3481" s="73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3"/>
        <v>02,25</v>
      </c>
      <c r="L3481" s="98" t="s">
        <v>266</v>
      </c>
      <c r="M3481" s="98">
        <v>4864.08</v>
      </c>
      <c r="N3481" s="364">
        <v>0.54166666666666696</v>
      </c>
    </row>
    <row r="3482" spans="1:14" ht="19.5" hidden="1" thickBot="1" x14ac:dyDescent="0.3">
      <c r="A3482" s="73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3"/>
        <v>02,25</v>
      </c>
      <c r="L3482" s="98" t="s">
        <v>266</v>
      </c>
      <c r="M3482" s="98">
        <v>1546.9</v>
      </c>
      <c r="N3482" s="364">
        <v>0.54166666666666696</v>
      </c>
    </row>
    <row r="3483" spans="1:14" ht="19.5" hidden="1" thickBot="1" x14ac:dyDescent="0.3">
      <c r="A3483" s="73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3"/>
        <v>02,25</v>
      </c>
      <c r="L3483" s="65" t="s">
        <v>266</v>
      </c>
      <c r="M3483" s="65">
        <v>2974.02</v>
      </c>
      <c r="N3483" s="434">
        <v>0.54166666666666696</v>
      </c>
    </row>
    <row r="3484" spans="1:14" ht="19.5" hidden="1" thickBot="1" x14ac:dyDescent="0.3">
      <c r="A3484" s="732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3"/>
        <v>02,25</v>
      </c>
      <c r="L3484" s="48" t="s">
        <v>265</v>
      </c>
      <c r="M3484" s="48">
        <v>11652.9</v>
      </c>
      <c r="N3484" s="315">
        <v>0.375</v>
      </c>
    </row>
    <row r="3485" spans="1:14" ht="19.5" hidden="1" thickBot="1" x14ac:dyDescent="0.3">
      <c r="A3485" s="732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3"/>
        <v>02,25</v>
      </c>
      <c r="L3485" s="71" t="s">
        <v>265</v>
      </c>
      <c r="M3485" s="71">
        <v>5367.8</v>
      </c>
      <c r="N3485" s="323">
        <v>0.375</v>
      </c>
    </row>
    <row r="3486" spans="1:14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3"/>
        <v>02,25</v>
      </c>
      <c r="L3486" s="40" t="s">
        <v>28</v>
      </c>
      <c r="M3486" s="40">
        <v>17122.759999999998</v>
      </c>
      <c r="N3486" s="317">
        <v>0.5</v>
      </c>
    </row>
    <row r="3487" spans="1:14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3"/>
        <v>02,25</v>
      </c>
      <c r="L3487" s="75" t="s">
        <v>265</v>
      </c>
      <c r="M3487" s="75">
        <v>17244.900000000001</v>
      </c>
      <c r="N3487" s="322">
        <v>0.375</v>
      </c>
    </row>
    <row r="3488" spans="1:14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3"/>
        <v>02,25</v>
      </c>
      <c r="L3488" s="40" t="s">
        <v>265</v>
      </c>
      <c r="M3488" s="40">
        <v>12267.2</v>
      </c>
      <c r="N3488" s="317">
        <v>0.375</v>
      </c>
    </row>
    <row r="3489" spans="1:14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3"/>
        <v>02,25</v>
      </c>
      <c r="L3489" s="158" t="s">
        <v>28</v>
      </c>
      <c r="M3489" s="158">
        <v>11211.24</v>
      </c>
      <c r="N3489" s="433">
        <v>0.5</v>
      </c>
    </row>
    <row r="3490" spans="1:14" ht="19.5" hidden="1" customHeight="1" thickBot="1" x14ac:dyDescent="0.3">
      <c r="A3490" s="731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734" t="s">
        <v>72</v>
      </c>
      <c r="H3490" s="82" t="s">
        <v>786</v>
      </c>
      <c r="I3490" s="147" t="s">
        <v>786</v>
      </c>
      <c r="J3490" s="86"/>
      <c r="K3490" s="82" t="str">
        <f t="shared" si="103"/>
        <v>02,25</v>
      </c>
      <c r="L3490" s="82" t="s">
        <v>265</v>
      </c>
      <c r="M3490" s="82">
        <v>9024.48</v>
      </c>
      <c r="N3490" s="319">
        <v>0.33333333333333298</v>
      </c>
    </row>
    <row r="3491" spans="1:14" ht="19.5" hidden="1" thickBot="1" x14ac:dyDescent="0.3">
      <c r="A3491" s="731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734"/>
      <c r="H3491" s="90" t="s">
        <v>786</v>
      </c>
      <c r="I3491" s="172" t="s">
        <v>786</v>
      </c>
      <c r="J3491" s="173"/>
      <c r="K3491" s="90" t="str">
        <f t="shared" si="103"/>
        <v>02,25</v>
      </c>
      <c r="L3491" s="90" t="s">
        <v>265</v>
      </c>
      <c r="M3491" s="90">
        <v>3102.86</v>
      </c>
      <c r="N3491" s="325">
        <v>0.41666666666666702</v>
      </c>
    </row>
    <row r="3492" spans="1:14" ht="19.5" hidden="1" thickBot="1" x14ac:dyDescent="0.3">
      <c r="A3492" s="732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3"/>
        <v>02,25</v>
      </c>
      <c r="L3492" s="48" t="s">
        <v>28</v>
      </c>
      <c r="M3492" s="48">
        <v>3015.8</v>
      </c>
      <c r="N3492" s="315">
        <v>0.41666666666666702</v>
      </c>
    </row>
    <row r="3493" spans="1:14" ht="19.5" hidden="1" thickBot="1" x14ac:dyDescent="0.3">
      <c r="A3493" s="732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3"/>
        <v>02,25</v>
      </c>
      <c r="L3493" s="71" t="s">
        <v>28</v>
      </c>
      <c r="M3493" s="71">
        <v>14202.84</v>
      </c>
      <c r="N3493" s="323">
        <v>0.41666666666666702</v>
      </c>
    </row>
    <row r="3494" spans="1:14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3"/>
        <v>02,25</v>
      </c>
      <c r="L3494" s="40" t="s">
        <v>28</v>
      </c>
      <c r="M3494" s="40">
        <v>17187.099999999999</v>
      </c>
      <c r="N3494" s="317">
        <v>0.45833333333333298</v>
      </c>
    </row>
    <row r="3495" spans="1:14" ht="19.5" hidden="1" thickBot="1" x14ac:dyDescent="0.3">
      <c r="A3495" s="735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3"/>
        <v>02,25</v>
      </c>
      <c r="L3495" s="48" t="s">
        <v>28</v>
      </c>
      <c r="M3495" s="48">
        <v>2130.36</v>
      </c>
      <c r="N3495" s="315">
        <v>0.5</v>
      </c>
    </row>
    <row r="3496" spans="1:14" ht="19.5" hidden="1" thickBot="1" x14ac:dyDescent="0.3">
      <c r="A3496" s="735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3"/>
        <v>02,25</v>
      </c>
      <c r="L3496" s="293" t="s">
        <v>28</v>
      </c>
      <c r="M3496" s="293">
        <v>15437.44</v>
      </c>
      <c r="N3496" s="389">
        <v>0.5</v>
      </c>
    </row>
    <row r="3497" spans="1:14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3"/>
        <v>02,25</v>
      </c>
      <c r="L3497" s="40" t="s">
        <v>265</v>
      </c>
      <c r="M3497" s="40">
        <v>17278.259999999998</v>
      </c>
      <c r="N3497" s="317">
        <v>0.375</v>
      </c>
    </row>
    <row r="3498" spans="1:14" ht="19.5" hidden="1" thickBot="1" x14ac:dyDescent="0.3">
      <c r="A3498" s="732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3"/>
        <v>02,25</v>
      </c>
      <c r="L3498" s="48" t="s">
        <v>28</v>
      </c>
      <c r="M3498" s="48">
        <v>4300.04</v>
      </c>
      <c r="N3498" s="315">
        <v>0.41666666666666702</v>
      </c>
    </row>
    <row r="3499" spans="1:14" ht="19.5" hidden="1" thickBot="1" x14ac:dyDescent="0.3">
      <c r="A3499" s="732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3"/>
        <v>02,25</v>
      </c>
      <c r="L3499" s="71" t="s">
        <v>28</v>
      </c>
      <c r="M3499" s="71">
        <v>13283.22</v>
      </c>
      <c r="N3499" s="323">
        <v>0.41666666666666702</v>
      </c>
    </row>
    <row r="3500" spans="1:14" ht="19.5" hidden="1" thickBot="1" x14ac:dyDescent="0.3">
      <c r="A3500" s="731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3"/>
        <v>02,25</v>
      </c>
      <c r="L3500" s="82" t="s">
        <v>28</v>
      </c>
      <c r="M3500" s="82">
        <v>586.14</v>
      </c>
      <c r="N3500" s="319">
        <v>0.45833333333333298</v>
      </c>
    </row>
    <row r="3501" spans="1:14" ht="19.5" hidden="1" thickBot="1" x14ac:dyDescent="0.3">
      <c r="A3501" s="731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3"/>
        <v>02,25</v>
      </c>
      <c r="L3501" s="98" t="s">
        <v>28</v>
      </c>
      <c r="M3501" s="98">
        <v>16146.57</v>
      </c>
      <c r="N3501" s="364">
        <v>0.45833333333333298</v>
      </c>
    </row>
    <row r="3502" spans="1:14" ht="19.5" hidden="1" thickBot="1" x14ac:dyDescent="0.3">
      <c r="A3502" s="731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3"/>
        <v>02,25</v>
      </c>
      <c r="L3502" s="90" t="s">
        <v>28</v>
      </c>
      <c r="M3502" s="90">
        <v>1133.28</v>
      </c>
      <c r="N3502" s="325">
        <v>0.45833333333333298</v>
      </c>
    </row>
    <row r="3503" spans="1:14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3"/>
        <v>02,25</v>
      </c>
      <c r="L3503" s="75" t="s">
        <v>265</v>
      </c>
      <c r="M3503" s="75">
        <v>17241.98</v>
      </c>
      <c r="N3503" s="322">
        <v>0.375</v>
      </c>
    </row>
    <row r="3504" spans="1:14" ht="19.5" hidden="1" thickBot="1" x14ac:dyDescent="0.3">
      <c r="A3504" s="731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3"/>
        <v>02,25</v>
      </c>
      <c r="L3504" s="82" t="s">
        <v>28</v>
      </c>
      <c r="M3504" s="82">
        <v>3052</v>
      </c>
      <c r="N3504" s="319">
        <v>0.375</v>
      </c>
    </row>
    <row r="3505" spans="1:14" ht="19.5" hidden="1" thickBot="1" x14ac:dyDescent="0.3">
      <c r="A3505" s="731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3"/>
        <v>02,25</v>
      </c>
      <c r="L3505" s="90" t="s">
        <v>28</v>
      </c>
      <c r="M3505" s="90">
        <v>8043.36</v>
      </c>
      <c r="N3505" s="325">
        <v>0.375</v>
      </c>
    </row>
    <row r="3506" spans="1:14" ht="19.5" hidden="1" thickBot="1" x14ac:dyDescent="0.3">
      <c r="A3506" s="732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3"/>
        <v>02,25</v>
      </c>
      <c r="L3506" s="48" t="s">
        <v>28</v>
      </c>
      <c r="M3506" s="48">
        <v>4942.24</v>
      </c>
      <c r="N3506" s="315">
        <v>0.41666666666666702</v>
      </c>
    </row>
    <row r="3507" spans="1:14" ht="19.5" hidden="1" thickBot="1" x14ac:dyDescent="0.3">
      <c r="A3507" s="732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3"/>
        <v>02,25</v>
      </c>
      <c r="L3507" s="23" t="s">
        <v>28</v>
      </c>
      <c r="M3507" s="23">
        <v>2081.1999999999998</v>
      </c>
      <c r="N3507" s="329">
        <v>0.41666666666666702</v>
      </c>
    </row>
    <row r="3508" spans="1:14" ht="19.5" hidden="1" thickBot="1" x14ac:dyDescent="0.3">
      <c r="A3508" s="732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3"/>
        <v>02,25</v>
      </c>
      <c r="L3508" s="71" t="s">
        <v>28</v>
      </c>
      <c r="M3508" s="71">
        <v>9221.4</v>
      </c>
      <c r="N3508" s="323">
        <v>0.41666666666666702</v>
      </c>
    </row>
    <row r="3509" spans="1:14" ht="19.5" hidden="1" thickBot="1" x14ac:dyDescent="0.3">
      <c r="A3509" s="149">
        <f t="shared" ref="A3509:A3515" si="105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3"/>
        <v>02,25</v>
      </c>
      <c r="L3509" s="122" t="s">
        <v>266</v>
      </c>
      <c r="M3509" s="122">
        <v>14386.99</v>
      </c>
      <c r="N3509" s="365">
        <v>0.5</v>
      </c>
    </row>
    <row r="3510" spans="1:14" ht="19.5" hidden="1" thickBot="1" x14ac:dyDescent="0.3">
      <c r="A3510" s="111">
        <f t="shared" si="105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3"/>
        <v>02,25</v>
      </c>
      <c r="L3510" s="75" t="s">
        <v>266</v>
      </c>
      <c r="M3510" s="75">
        <v>18114.36</v>
      </c>
      <c r="N3510" s="322">
        <v>0.41666666666666702</v>
      </c>
    </row>
    <row r="3511" spans="1:14" ht="19.5" hidden="1" thickBot="1" x14ac:dyDescent="0.3">
      <c r="A3511" s="110">
        <f t="shared" si="105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3"/>
        <v>02,25</v>
      </c>
      <c r="L3511" s="40" t="s">
        <v>266</v>
      </c>
      <c r="M3511" s="40">
        <v>18055.8</v>
      </c>
      <c r="N3511" s="317">
        <v>0.45833333333333298</v>
      </c>
    </row>
    <row r="3512" spans="1:14" ht="19.5" hidden="1" thickBot="1" x14ac:dyDescent="0.3">
      <c r="A3512" s="111">
        <f t="shared" si="105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3"/>
        <v>02,25</v>
      </c>
      <c r="L3512" s="75" t="s">
        <v>266</v>
      </c>
      <c r="M3512" s="75">
        <v>18165.22</v>
      </c>
      <c r="N3512" s="322">
        <v>0.5</v>
      </c>
    </row>
    <row r="3513" spans="1:14" ht="38.25" hidden="1" thickBot="1" x14ac:dyDescent="0.3">
      <c r="A3513" s="110">
        <f t="shared" si="105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3"/>
        <v>02,25</v>
      </c>
      <c r="L3513" s="40" t="s">
        <v>266</v>
      </c>
      <c r="M3513" s="40">
        <v>18033</v>
      </c>
      <c r="N3513" s="317">
        <v>0.54166666666666696</v>
      </c>
    </row>
    <row r="3514" spans="1:14" ht="38.25" hidden="1" thickBot="1" x14ac:dyDescent="0.3">
      <c r="A3514" s="111">
        <f t="shared" si="105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3"/>
        <v>02,25</v>
      </c>
      <c r="L3514" s="75" t="s">
        <v>28</v>
      </c>
      <c r="M3514" s="75">
        <v>17279.28</v>
      </c>
      <c r="N3514" s="322">
        <v>0.58333333333333304</v>
      </c>
    </row>
    <row r="3515" spans="1:14" ht="19.5" hidden="1" thickBot="1" x14ac:dyDescent="0.3">
      <c r="A3515" s="733">
        <f t="shared" si="105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3"/>
        <v>02,25</v>
      </c>
      <c r="L3515" s="82" t="s">
        <v>266</v>
      </c>
      <c r="M3515" s="82">
        <v>2745</v>
      </c>
      <c r="N3515" s="319">
        <v>0.625</v>
      </c>
    </row>
    <row r="3516" spans="1:14" ht="19.5" hidden="1" thickBot="1" x14ac:dyDescent="0.3">
      <c r="A3516" s="73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3"/>
        <v>02,25</v>
      </c>
      <c r="L3516" s="98" t="s">
        <v>266</v>
      </c>
      <c r="M3516" s="98">
        <v>507.8</v>
      </c>
      <c r="N3516" s="364">
        <v>0.625</v>
      </c>
    </row>
    <row r="3517" spans="1:14" ht="19.5" hidden="1" thickBot="1" x14ac:dyDescent="0.3">
      <c r="A3517" s="73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3"/>
        <v>02,25</v>
      </c>
      <c r="L3517" s="98" t="s">
        <v>266</v>
      </c>
      <c r="M3517" s="98">
        <v>2065.52</v>
      </c>
      <c r="N3517" s="364">
        <v>0.625</v>
      </c>
    </row>
    <row r="3518" spans="1:14" ht="19.5" hidden="1" thickBot="1" x14ac:dyDescent="0.3">
      <c r="A3518" s="73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3"/>
        <v>02,25</v>
      </c>
      <c r="L3518" s="98" t="s">
        <v>266</v>
      </c>
      <c r="M3518" s="98">
        <v>5159.58</v>
      </c>
      <c r="N3518" s="364">
        <v>0.625</v>
      </c>
    </row>
    <row r="3519" spans="1:14" ht="19.5" hidden="1" thickBot="1" x14ac:dyDescent="0.3">
      <c r="A3519" s="73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3"/>
        <v>02,25</v>
      </c>
      <c r="L3519" s="98" t="s">
        <v>266</v>
      </c>
      <c r="M3519" s="98">
        <v>2010</v>
      </c>
      <c r="N3519" s="364">
        <v>0.625</v>
      </c>
    </row>
    <row r="3520" spans="1:14" ht="19.5" hidden="1" thickBot="1" x14ac:dyDescent="0.3">
      <c r="A3520" s="73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3"/>
        <v>03,25</v>
      </c>
      <c r="L3520" s="98" t="s">
        <v>266</v>
      </c>
      <c r="M3520" s="98">
        <v>1991.87</v>
      </c>
      <c r="N3520" s="364">
        <v>0.625</v>
      </c>
    </row>
    <row r="3521" spans="1:14" ht="19.5" hidden="1" thickBot="1" x14ac:dyDescent="0.3">
      <c r="A3521" s="73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3"/>
        <v>02,25</v>
      </c>
      <c r="L3521" s="65" t="s">
        <v>266</v>
      </c>
      <c r="M3521" s="65">
        <v>2439.42</v>
      </c>
      <c r="N3521" s="434">
        <v>0.625</v>
      </c>
    </row>
    <row r="3522" spans="1:14" ht="19.5" hidden="1" thickBot="1" x14ac:dyDescent="0.3">
      <c r="A3522" s="732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3"/>
        <v>02,25</v>
      </c>
      <c r="L3522" s="48" t="s">
        <v>265</v>
      </c>
      <c r="M3522" s="48">
        <v>13079.66</v>
      </c>
      <c r="N3522" s="315">
        <v>0.375</v>
      </c>
    </row>
    <row r="3523" spans="1:14" ht="19.5" hidden="1" thickBot="1" x14ac:dyDescent="0.3">
      <c r="A3523" s="732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3"/>
        <v>02,25</v>
      </c>
      <c r="L3523" s="71" t="s">
        <v>265</v>
      </c>
      <c r="M3523" s="71">
        <v>4022.4</v>
      </c>
      <c r="N3523" s="323">
        <v>0.375</v>
      </c>
    </row>
    <row r="3524" spans="1:14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3"/>
        <v>02,25</v>
      </c>
      <c r="L3524" s="40" t="s">
        <v>28</v>
      </c>
      <c r="M3524" s="40">
        <v>15547.71</v>
      </c>
      <c r="N3524" s="317">
        <v>0.41666666666666702</v>
      </c>
    </row>
    <row r="3525" spans="1:14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3"/>
        <v>03,25</v>
      </c>
      <c r="L3525" s="75" t="s">
        <v>265</v>
      </c>
      <c r="M3525" s="75">
        <v>17228.88</v>
      </c>
      <c r="N3525" s="322">
        <v>0.375</v>
      </c>
    </row>
    <row r="3526" spans="1:14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3"/>
        <v>02,25</v>
      </c>
      <c r="L3526" s="40" t="s">
        <v>265</v>
      </c>
      <c r="M3526" s="40">
        <v>11975.16</v>
      </c>
      <c r="N3526" s="317">
        <v>0.375</v>
      </c>
    </row>
    <row r="3527" spans="1:14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3"/>
        <v>02,25</v>
      </c>
      <c r="L3527" s="158" t="s">
        <v>28</v>
      </c>
      <c r="M3527" s="158">
        <v>10871.28</v>
      </c>
      <c r="N3527" s="433">
        <v>0.41666666666666702</v>
      </c>
    </row>
    <row r="3528" spans="1:14" ht="18.75" hidden="1" customHeight="1" thickBot="1" x14ac:dyDescent="0.3">
      <c r="A3528" s="731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734" t="s">
        <v>72</v>
      </c>
      <c r="H3528" s="82" t="s">
        <v>793</v>
      </c>
      <c r="I3528" s="147" t="s">
        <v>793</v>
      </c>
      <c r="J3528" s="86"/>
      <c r="K3528" s="82" t="str">
        <f t="shared" si="103"/>
        <v>03,25</v>
      </c>
      <c r="L3528" s="82" t="s">
        <v>265</v>
      </c>
      <c r="M3528" s="82">
        <v>9498.36</v>
      </c>
      <c r="N3528" s="319">
        <v>0.33333333333333298</v>
      </c>
    </row>
    <row r="3529" spans="1:14" ht="19.5" hidden="1" thickBot="1" x14ac:dyDescent="0.3">
      <c r="A3529" s="731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734"/>
      <c r="H3529" s="90" t="s">
        <v>793</v>
      </c>
      <c r="I3529" s="172" t="s">
        <v>793</v>
      </c>
      <c r="J3529" s="173"/>
      <c r="K3529" s="90" t="str">
        <f t="shared" si="103"/>
        <v>03,25</v>
      </c>
      <c r="L3529" s="90" t="s">
        <v>265</v>
      </c>
      <c r="M3529" s="90">
        <v>3061.52</v>
      </c>
      <c r="N3529" s="325">
        <v>0.41666666666666702</v>
      </c>
    </row>
    <row r="3530" spans="1:14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3"/>
        <v>03,25</v>
      </c>
      <c r="L3530" s="75" t="s">
        <v>28</v>
      </c>
      <c r="M3530" s="75">
        <v>12212.92</v>
      </c>
      <c r="N3530" s="322">
        <v>0.41666666666666702</v>
      </c>
    </row>
    <row r="3531" spans="1:14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3"/>
        <v>03,25</v>
      </c>
      <c r="L3531" s="40" t="s">
        <v>28</v>
      </c>
      <c r="M3531" s="40">
        <v>17144.5</v>
      </c>
      <c r="N3531" s="317">
        <v>0.41666666666666702</v>
      </c>
    </row>
    <row r="3532" spans="1:14" ht="19.5" hidden="1" thickBot="1" x14ac:dyDescent="0.3">
      <c r="A3532" s="732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3"/>
        <v>03,25</v>
      </c>
      <c r="L3532" s="48" t="s">
        <v>28</v>
      </c>
      <c r="M3532" s="48">
        <v>2915.4</v>
      </c>
      <c r="N3532" s="315">
        <v>0.45833333333333298</v>
      </c>
    </row>
    <row r="3533" spans="1:14" ht="19.5" hidden="1" thickBot="1" x14ac:dyDescent="0.3">
      <c r="A3533" s="732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3"/>
        <v>03,25</v>
      </c>
      <c r="L3533" s="71" t="s">
        <v>28</v>
      </c>
      <c r="M3533" s="71">
        <v>14277.51</v>
      </c>
      <c r="N3533" s="323">
        <v>0.45833333333333298</v>
      </c>
    </row>
    <row r="3534" spans="1:14" ht="19.5" hidden="1" thickBot="1" x14ac:dyDescent="0.3">
      <c r="A3534" s="731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3"/>
        <v>03,25</v>
      </c>
      <c r="L3534" s="82" t="s">
        <v>28</v>
      </c>
      <c r="M3534" s="82">
        <v>4086.56</v>
      </c>
      <c r="N3534" s="319">
        <v>0.5</v>
      </c>
    </row>
    <row r="3535" spans="1:14" ht="19.5" hidden="1" thickBot="1" x14ac:dyDescent="0.3">
      <c r="A3535" s="731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3"/>
        <v>03,25</v>
      </c>
      <c r="L3535" s="98" t="s">
        <v>28</v>
      </c>
      <c r="M3535" s="98">
        <v>6137.4</v>
      </c>
      <c r="N3535" s="364">
        <v>0.5</v>
      </c>
    </row>
    <row r="3536" spans="1:14" ht="19.5" hidden="1" thickBot="1" x14ac:dyDescent="0.3">
      <c r="A3536" s="731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3"/>
        <v>03,25</v>
      </c>
      <c r="L3536" s="98" t="s">
        <v>28</v>
      </c>
      <c r="M3536" s="98">
        <v>4335.49</v>
      </c>
      <c r="N3536" s="364">
        <v>0.5</v>
      </c>
    </row>
    <row r="3537" spans="1:14" ht="19.5" hidden="1" thickBot="1" x14ac:dyDescent="0.3">
      <c r="A3537" s="731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3"/>
        <v>03,25</v>
      </c>
      <c r="L3537" s="90" t="s">
        <v>28</v>
      </c>
      <c r="M3537" s="90">
        <v>2700</v>
      </c>
      <c r="N3537" s="325">
        <v>0.5</v>
      </c>
    </row>
    <row r="3538" spans="1:14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3"/>
        <v>03,25</v>
      </c>
      <c r="L3538" s="75" t="s">
        <v>28</v>
      </c>
      <c r="M3538" s="75">
        <v>17196.36</v>
      </c>
      <c r="N3538" s="322">
        <v>0.54166666666666696</v>
      </c>
    </row>
    <row r="3539" spans="1:14" ht="57" hidden="1" thickBot="1" x14ac:dyDescent="0.3">
      <c r="A3539" s="73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3"/>
        <v>03,25</v>
      </c>
      <c r="L3539" s="82" t="s">
        <v>28</v>
      </c>
      <c r="M3539" s="82">
        <v>2295.08</v>
      </c>
      <c r="N3539" s="319">
        <v>0.58333333333333304</v>
      </c>
    </row>
    <row r="3540" spans="1:14" ht="19.5" hidden="1" thickBot="1" x14ac:dyDescent="0.3">
      <c r="A3540" s="73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3"/>
        <v>03,25</v>
      </c>
      <c r="L3540" s="65" t="s">
        <v>28</v>
      </c>
      <c r="M3540" s="65">
        <v>15652.14</v>
      </c>
      <c r="N3540" s="434">
        <v>0.58333333333333304</v>
      </c>
    </row>
    <row r="3541" spans="1:14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3"/>
        <v>03,25</v>
      </c>
      <c r="L3541" s="75" t="s">
        <v>265</v>
      </c>
      <c r="M3541" s="75">
        <v>17237.599999999999</v>
      </c>
      <c r="N3541" s="322">
        <v>0.375</v>
      </c>
    </row>
    <row r="3542" spans="1:14" ht="19.5" hidden="1" thickBot="1" x14ac:dyDescent="0.3">
      <c r="A3542" s="731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3"/>
        <v>03,25</v>
      </c>
      <c r="L3542" s="82" t="s">
        <v>28</v>
      </c>
      <c r="M3542" s="82">
        <v>1270.8</v>
      </c>
      <c r="N3542" s="319">
        <v>0.41666666666666702</v>
      </c>
    </row>
    <row r="3543" spans="1:14" ht="19.5" hidden="1" thickBot="1" x14ac:dyDescent="0.3">
      <c r="A3543" s="731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3"/>
        <v>03,25</v>
      </c>
      <c r="L3543" s="98" t="s">
        <v>28</v>
      </c>
      <c r="M3543" s="98">
        <v>5468.17</v>
      </c>
      <c r="N3543" s="364">
        <v>0.41666666666666702</v>
      </c>
    </row>
    <row r="3544" spans="1:14" ht="19.5" hidden="1" thickBot="1" x14ac:dyDescent="0.3">
      <c r="A3544" s="731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3"/>
        <v>03,25</v>
      </c>
      <c r="L3544" s="90" t="s">
        <v>28</v>
      </c>
      <c r="M3544" s="90">
        <v>10623.24</v>
      </c>
      <c r="N3544" s="325">
        <v>0.41666666666666702</v>
      </c>
    </row>
    <row r="3545" spans="1:14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3"/>
        <v>03,25</v>
      </c>
      <c r="L3545" s="75" t="s">
        <v>28</v>
      </c>
      <c r="M3545" s="75">
        <v>17331.61</v>
      </c>
      <c r="N3545" s="322">
        <v>0.45833333333333298</v>
      </c>
    </row>
    <row r="3546" spans="1:14" ht="19.5" hidden="1" thickBot="1" x14ac:dyDescent="0.3">
      <c r="A3546" s="731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3"/>
        <v>03,25</v>
      </c>
      <c r="L3546" s="82" t="s">
        <v>28</v>
      </c>
      <c r="M3546" s="82">
        <v>3431.52</v>
      </c>
      <c r="N3546" s="319">
        <v>0.5</v>
      </c>
    </row>
    <row r="3547" spans="1:14" ht="19.5" hidden="1" thickBot="1" x14ac:dyDescent="0.3">
      <c r="A3547" s="731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3"/>
        <v>03,25</v>
      </c>
      <c r="L3547" s="90" t="s">
        <v>28</v>
      </c>
      <c r="M3547" s="90">
        <v>13810.16</v>
      </c>
      <c r="N3547" s="325">
        <v>0.5</v>
      </c>
    </row>
    <row r="3548" spans="1:14" ht="19.5" hidden="1" thickBot="1" x14ac:dyDescent="0.3">
      <c r="A3548" s="732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3"/>
        <v>03,25</v>
      </c>
      <c r="L3548" s="48" t="s">
        <v>28</v>
      </c>
      <c r="M3548" s="48">
        <v>3956.8</v>
      </c>
      <c r="N3548" s="315">
        <v>0.41666666666666702</v>
      </c>
    </row>
    <row r="3549" spans="1:14" ht="19.5" hidden="1" thickBot="1" x14ac:dyDescent="0.3">
      <c r="A3549" s="732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3"/>
        <v>03,25</v>
      </c>
      <c r="L3549" s="71" t="s">
        <v>28</v>
      </c>
      <c r="M3549" s="71">
        <v>7767.8</v>
      </c>
      <c r="N3549" s="323">
        <v>0.41666666666666702</v>
      </c>
    </row>
    <row r="3550" spans="1:14" ht="39.75" hidden="1" customHeight="1" thickBot="1" x14ac:dyDescent="0.3">
      <c r="A3550" s="731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734" t="s">
        <v>796</v>
      </c>
      <c r="H3550" s="82" t="s">
        <v>795</v>
      </c>
      <c r="I3550" s="147" t="s">
        <v>795</v>
      </c>
      <c r="J3550" s="86"/>
      <c r="K3550" s="82" t="str">
        <f t="shared" si="103"/>
        <v>03,25</v>
      </c>
      <c r="L3550" s="82" t="s">
        <v>28</v>
      </c>
      <c r="M3550" s="82">
        <v>4741.2</v>
      </c>
      <c r="N3550" s="319">
        <v>0.45833333333333298</v>
      </c>
    </row>
    <row r="3551" spans="1:14" ht="39.75" hidden="1" customHeight="1" thickBot="1" x14ac:dyDescent="0.3">
      <c r="A3551" s="731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734"/>
      <c r="H3551" s="90" t="s">
        <v>795</v>
      </c>
      <c r="I3551" s="172" t="s">
        <v>795</v>
      </c>
      <c r="J3551" s="173"/>
      <c r="K3551" s="90" t="str">
        <f t="shared" si="103"/>
        <v>03,25</v>
      </c>
      <c r="L3551" s="90" t="s">
        <v>28</v>
      </c>
      <c r="M3551" s="90">
        <v>4788.32</v>
      </c>
      <c r="N3551" s="325">
        <v>0.45833333333333298</v>
      </c>
    </row>
    <row r="3552" spans="1:14" ht="39" hidden="1" customHeight="1" x14ac:dyDescent="0.25">
      <c r="A3552" s="711">
        <f t="shared" ref="A3552:A3615" si="106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720" t="s">
        <v>798</v>
      </c>
      <c r="H3552" s="483" t="s">
        <v>797</v>
      </c>
      <c r="I3552" s="484" t="s">
        <v>800</v>
      </c>
      <c r="J3552" s="485"/>
      <c r="K3552" s="483" t="str">
        <f t="shared" si="103"/>
        <v>03,25</v>
      </c>
      <c r="L3552" s="483" t="s">
        <v>28</v>
      </c>
      <c r="M3552" s="483">
        <v>6450.08</v>
      </c>
      <c r="N3552" s="486">
        <v>0.41666666666666669</v>
      </c>
    </row>
    <row r="3553" spans="1:14" ht="39" hidden="1" customHeight="1" thickBot="1" x14ac:dyDescent="0.3">
      <c r="A3553" s="713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722"/>
      <c r="H3553" s="499" t="s">
        <v>797</v>
      </c>
      <c r="I3553" s="500" t="s">
        <v>800</v>
      </c>
      <c r="J3553" s="501"/>
      <c r="K3553" s="499" t="str">
        <f t="shared" si="103"/>
        <v>03,25</v>
      </c>
      <c r="L3553" s="499" t="s">
        <v>28</v>
      </c>
      <c r="M3553" s="499">
        <v>2111.7600000000002</v>
      </c>
      <c r="N3553" s="502">
        <v>0.41666666666666669</v>
      </c>
    </row>
    <row r="3554" spans="1:14" ht="19.5" hidden="1" thickBot="1" x14ac:dyDescent="0.3">
      <c r="A3554" s="503">
        <f t="shared" si="106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3"/>
        <v>03,25</v>
      </c>
      <c r="L3554" s="508" t="s">
        <v>266</v>
      </c>
      <c r="M3554" s="508">
        <v>18097.139999999996</v>
      </c>
      <c r="N3554" s="512">
        <v>0.41666666666666669</v>
      </c>
    </row>
    <row r="3555" spans="1:14" ht="19.5" hidden="1" thickBot="1" x14ac:dyDescent="0.3">
      <c r="A3555" s="513">
        <f t="shared" si="106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3"/>
        <v>03,25</v>
      </c>
      <c r="L3555" s="518" t="s">
        <v>266</v>
      </c>
      <c r="M3555" s="518">
        <v>18053.099999999999</v>
      </c>
      <c r="N3555" s="522">
        <v>0.45833333333333331</v>
      </c>
    </row>
    <row r="3556" spans="1:14" ht="38.25" hidden="1" thickBot="1" x14ac:dyDescent="0.3">
      <c r="A3556" s="503">
        <f t="shared" si="106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3"/>
        <v>03,25</v>
      </c>
      <c r="L3556" s="508" t="s">
        <v>28</v>
      </c>
      <c r="M3556" s="508">
        <v>18043.5</v>
      </c>
      <c r="N3556" s="512">
        <v>0.5</v>
      </c>
    </row>
    <row r="3557" spans="1:14" ht="19.5" hidden="1" thickBot="1" x14ac:dyDescent="0.3">
      <c r="A3557" s="711">
        <f t="shared" si="106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720" t="s">
        <v>467</v>
      </c>
      <c r="H3557" s="483" t="s">
        <v>800</v>
      </c>
      <c r="I3557" s="484" t="s">
        <v>800</v>
      </c>
      <c r="J3557" s="485"/>
      <c r="K3557" s="483" t="str">
        <f t="shared" si="103"/>
        <v>03,25</v>
      </c>
      <c r="L3557" s="483" t="s">
        <v>266</v>
      </c>
      <c r="M3557" s="483">
        <v>3107.6400000000003</v>
      </c>
      <c r="N3557" s="486">
        <v>0.54166666666666663</v>
      </c>
    </row>
    <row r="3558" spans="1:14" ht="19.5" hidden="1" thickBot="1" x14ac:dyDescent="0.3">
      <c r="A3558" s="713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722"/>
      <c r="H3558" s="527" t="s">
        <v>800</v>
      </c>
      <c r="I3558" s="528" t="s">
        <v>800</v>
      </c>
      <c r="J3558" s="529"/>
      <c r="K3558" s="527" t="str">
        <f t="shared" si="103"/>
        <v>03,25</v>
      </c>
      <c r="L3558" s="527" t="s">
        <v>266</v>
      </c>
      <c r="M3558" s="527">
        <v>1801.8</v>
      </c>
      <c r="N3558" s="530">
        <v>0.54166666666666663</v>
      </c>
    </row>
    <row r="3559" spans="1:14" ht="19.5" hidden="1" thickBot="1" x14ac:dyDescent="0.3">
      <c r="A3559" s="713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722"/>
      <c r="H3559" s="527" t="s">
        <v>800</v>
      </c>
      <c r="I3559" s="528" t="s">
        <v>800</v>
      </c>
      <c r="J3559" s="529"/>
      <c r="K3559" s="527" t="str">
        <f t="shared" si="103"/>
        <v>03,25</v>
      </c>
      <c r="L3559" s="527" t="s">
        <v>266</v>
      </c>
      <c r="M3559" s="527">
        <v>2362.0000000000005</v>
      </c>
      <c r="N3559" s="530">
        <v>0.54166666666666663</v>
      </c>
    </row>
    <row r="3560" spans="1:14" ht="19.5" hidden="1" thickBot="1" x14ac:dyDescent="0.3">
      <c r="A3560" s="713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722"/>
      <c r="H3560" s="499" t="s">
        <v>800</v>
      </c>
      <c r="I3560" s="500" t="s">
        <v>800</v>
      </c>
      <c r="J3560" s="501"/>
      <c r="K3560" s="499" t="str">
        <f t="shared" si="103"/>
        <v>03,25</v>
      </c>
      <c r="L3560" s="499" t="s">
        <v>266</v>
      </c>
      <c r="M3560" s="499">
        <v>1299.9000000000001</v>
      </c>
      <c r="N3560" s="502">
        <v>0.54166666666666663</v>
      </c>
    </row>
    <row r="3561" spans="1:14" ht="19.5" hidden="1" thickBot="1" x14ac:dyDescent="0.3">
      <c r="A3561" s="714">
        <f t="shared" si="106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3"/>
        <v>03,25</v>
      </c>
      <c r="L3561" s="535" t="s">
        <v>265</v>
      </c>
      <c r="M3561" s="535">
        <v>13123.520000000004</v>
      </c>
      <c r="N3561" s="539">
        <v>0.375</v>
      </c>
    </row>
    <row r="3562" spans="1:14" ht="19.5" hidden="1" thickBot="1" x14ac:dyDescent="0.3">
      <c r="A3562" s="725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3"/>
        <v>03,25</v>
      </c>
      <c r="L3562" s="544" t="s">
        <v>265</v>
      </c>
      <c r="M3562" s="544">
        <v>4052.8</v>
      </c>
      <c r="N3562" s="548">
        <v>0.375</v>
      </c>
    </row>
    <row r="3563" spans="1:14" ht="19.5" hidden="1" thickBot="1" x14ac:dyDescent="0.3">
      <c r="A3563" s="513">
        <f t="shared" si="106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3"/>
        <v>03,25</v>
      </c>
      <c r="L3563" s="518" t="s">
        <v>28</v>
      </c>
      <c r="M3563" s="518">
        <v>12169.2</v>
      </c>
      <c r="N3563" s="522">
        <v>0.41666666666666669</v>
      </c>
    </row>
    <row r="3564" spans="1:14" ht="19.5" hidden="1" thickBot="1" x14ac:dyDescent="0.3">
      <c r="A3564" s="503">
        <f t="shared" si="106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3"/>
        <v>03,25</v>
      </c>
      <c r="L3564" s="508" t="s">
        <v>265</v>
      </c>
      <c r="M3564" s="508">
        <v>17206.72</v>
      </c>
      <c r="N3564" s="512">
        <v>0.375</v>
      </c>
    </row>
    <row r="3565" spans="1:14" ht="19.5" hidden="1" thickBot="1" x14ac:dyDescent="0.3">
      <c r="A3565" s="711">
        <f t="shared" si="106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3"/>
        <v>03,25</v>
      </c>
      <c r="L3565" s="483" t="s">
        <v>28</v>
      </c>
      <c r="M3565" s="483">
        <v>3458.3999999999996</v>
      </c>
      <c r="N3565" s="486">
        <v>0.45833333333333331</v>
      </c>
    </row>
    <row r="3566" spans="1:14" ht="19.5" hidden="1" thickBot="1" x14ac:dyDescent="0.3">
      <c r="A3566" s="724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3"/>
        <v>03,25</v>
      </c>
      <c r="L3566" s="491" t="s">
        <v>28</v>
      </c>
      <c r="M3566" s="491">
        <v>5747.16</v>
      </c>
      <c r="N3566" s="494">
        <v>0.45833333333333331</v>
      </c>
    </row>
    <row r="3567" spans="1:14" ht="19.5" hidden="1" thickBot="1" x14ac:dyDescent="0.3">
      <c r="A3567" s="551">
        <f t="shared" si="106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3"/>
        <v>03,25</v>
      </c>
      <c r="L3567" s="556" t="s">
        <v>265</v>
      </c>
      <c r="M3567" s="556">
        <v>12353.800000000001</v>
      </c>
      <c r="N3567" s="560">
        <v>0.375</v>
      </c>
    </row>
    <row r="3568" spans="1:14" ht="19.5" hidden="1" thickBot="1" x14ac:dyDescent="0.3">
      <c r="A3568" s="711">
        <f t="shared" si="106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720" t="s">
        <v>72</v>
      </c>
      <c r="H3568" s="483" t="s">
        <v>803</v>
      </c>
      <c r="I3568" s="484" t="s">
        <v>803</v>
      </c>
      <c r="J3568" s="485"/>
      <c r="K3568" s="483" t="str">
        <f t="shared" si="103"/>
        <v>03,25</v>
      </c>
      <c r="L3568" s="483" t="s">
        <v>265</v>
      </c>
      <c r="M3568" s="483">
        <v>9003.2800000000007</v>
      </c>
      <c r="N3568" s="486">
        <v>0.33333333333333331</v>
      </c>
    </row>
    <row r="3569" spans="1:14" ht="19.5" hidden="1" thickBot="1" x14ac:dyDescent="0.3">
      <c r="A3569" s="724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727"/>
      <c r="H3569" s="491" t="s">
        <v>803</v>
      </c>
      <c r="I3569" s="492" t="s">
        <v>803</v>
      </c>
      <c r="J3569" s="493"/>
      <c r="K3569" s="491" t="str">
        <f t="shared" si="103"/>
        <v>03,25</v>
      </c>
      <c r="L3569" s="491" t="s">
        <v>265</v>
      </c>
      <c r="M3569" s="491">
        <v>3033.32</v>
      </c>
      <c r="N3569" s="494">
        <v>0.41666666666666669</v>
      </c>
    </row>
    <row r="3570" spans="1:14" ht="19.5" hidden="1" thickBot="1" x14ac:dyDescent="0.3">
      <c r="A3570" s="503">
        <f t="shared" si="106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3"/>
        <v>03,25</v>
      </c>
      <c r="L3570" s="508" t="s">
        <v>28</v>
      </c>
      <c r="M3570" s="508">
        <v>17295.11</v>
      </c>
      <c r="N3570" s="512">
        <v>0.41666666666666669</v>
      </c>
    </row>
    <row r="3571" spans="1:14" ht="19.5" hidden="1" thickBot="1" x14ac:dyDescent="0.3">
      <c r="A3571" s="711">
        <f t="shared" si="106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3"/>
        <v>03,25</v>
      </c>
      <c r="L3571" s="483" t="s">
        <v>28</v>
      </c>
      <c r="M3571" s="483">
        <v>2262.1799999999998</v>
      </c>
      <c r="N3571" s="486">
        <v>0.45833333333333331</v>
      </c>
    </row>
    <row r="3572" spans="1:14" ht="19.5" hidden="1" thickBot="1" x14ac:dyDescent="0.3">
      <c r="A3572" s="713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3"/>
        <v>03,25</v>
      </c>
      <c r="L3572" s="527" t="s">
        <v>28</v>
      </c>
      <c r="M3572" s="527">
        <v>2438.4400000000005</v>
      </c>
      <c r="N3572" s="530">
        <v>0.45833333333333331</v>
      </c>
    </row>
    <row r="3573" spans="1:14" ht="19.5" hidden="1" thickBot="1" x14ac:dyDescent="0.3">
      <c r="A3573" s="713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3"/>
        <v>03,25</v>
      </c>
      <c r="L3573" s="527" t="s">
        <v>28</v>
      </c>
      <c r="M3573" s="527">
        <v>6582.8599999999988</v>
      </c>
      <c r="N3573" s="530">
        <v>0.45833333333333331</v>
      </c>
    </row>
    <row r="3574" spans="1:14" ht="19.5" hidden="1" thickBot="1" x14ac:dyDescent="0.3">
      <c r="A3574" s="713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3"/>
        <v>03,25</v>
      </c>
      <c r="L3574" s="499" t="s">
        <v>28</v>
      </c>
      <c r="M3574" s="499">
        <v>5958.36</v>
      </c>
      <c r="N3574" s="502">
        <v>0.45833333333333331</v>
      </c>
    </row>
    <row r="3575" spans="1:14" ht="19.5" hidden="1" thickBot="1" x14ac:dyDescent="0.3">
      <c r="A3575" s="503">
        <f t="shared" si="106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3"/>
        <v>03,25</v>
      </c>
      <c r="L3575" s="508" t="s">
        <v>266</v>
      </c>
      <c r="M3575" s="508">
        <v>4805.7600000000011</v>
      </c>
      <c r="N3575" s="512">
        <v>0.5</v>
      </c>
    </row>
    <row r="3576" spans="1:14" ht="19.5" hidden="1" thickBot="1" x14ac:dyDescent="0.3">
      <c r="A3576" s="513">
        <f t="shared" si="106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3"/>
        <v>03,25</v>
      </c>
      <c r="L3576" s="518" t="s">
        <v>265</v>
      </c>
      <c r="M3576" s="518">
        <v>17453.38</v>
      </c>
      <c r="N3576" s="522">
        <v>0.375</v>
      </c>
    </row>
    <row r="3577" spans="1:14" ht="19.5" hidden="1" thickBot="1" x14ac:dyDescent="0.3">
      <c r="A3577" s="714">
        <f t="shared" si="106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3"/>
        <v>03,25</v>
      </c>
      <c r="L3577" s="535" t="s">
        <v>28</v>
      </c>
      <c r="M3577" s="535">
        <v>1702.03</v>
      </c>
      <c r="N3577" s="539">
        <v>0.41666666666666669</v>
      </c>
    </row>
    <row r="3578" spans="1:14" ht="19.5" hidden="1" thickBot="1" x14ac:dyDescent="0.3">
      <c r="A3578" s="716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3"/>
        <v>03,25</v>
      </c>
      <c r="L3578" s="567" t="s">
        <v>28</v>
      </c>
      <c r="M3578" s="567">
        <v>2998.98</v>
      </c>
      <c r="N3578" s="571">
        <v>0.41666666666666669</v>
      </c>
    </row>
    <row r="3579" spans="1:14" ht="19.5" hidden="1" thickBot="1" x14ac:dyDescent="0.3">
      <c r="A3579" s="716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3"/>
        <v>03,25</v>
      </c>
      <c r="L3579" s="567" t="s">
        <v>28</v>
      </c>
      <c r="M3579" s="567">
        <v>6702.7800000000007</v>
      </c>
      <c r="N3579" s="571">
        <v>0.41666666666666669</v>
      </c>
    </row>
    <row r="3580" spans="1:14" ht="19.5" hidden="1" thickBot="1" x14ac:dyDescent="0.3">
      <c r="A3580" s="716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3"/>
        <v>03,25</v>
      </c>
      <c r="L3580" s="567" t="s">
        <v>28</v>
      </c>
      <c r="M3580" s="567">
        <v>1090.5999999999999</v>
      </c>
      <c r="N3580" s="571">
        <v>0.41666666666666669</v>
      </c>
    </row>
    <row r="3581" spans="1:14" ht="19.5" hidden="1" thickBot="1" x14ac:dyDescent="0.3">
      <c r="A3581" s="725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3"/>
        <v>03,25</v>
      </c>
      <c r="L3581" s="544" t="s">
        <v>28</v>
      </c>
      <c r="M3581" s="544">
        <v>5546.3399999999992</v>
      </c>
      <c r="N3581" s="548">
        <v>0.41666666666666669</v>
      </c>
    </row>
    <row r="3582" spans="1:14" ht="19.5" hidden="1" thickBot="1" x14ac:dyDescent="0.3">
      <c r="A3582" s="513">
        <f t="shared" si="106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3"/>
        <v>03,25</v>
      </c>
      <c r="L3582" s="518" t="s">
        <v>265</v>
      </c>
      <c r="M3582" s="518">
        <v>11010</v>
      </c>
      <c r="N3582" s="522">
        <v>0.375</v>
      </c>
    </row>
    <row r="3583" spans="1:14" ht="19.5" hidden="1" thickBot="1" x14ac:dyDescent="0.3">
      <c r="A3583" s="503">
        <f t="shared" si="106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3"/>
        <v>03,25</v>
      </c>
      <c r="L3583" s="508" t="s">
        <v>265</v>
      </c>
      <c r="M3583" s="508">
        <v>8526.7000000000007</v>
      </c>
      <c r="N3583" s="512">
        <v>0.45833333333333331</v>
      </c>
    </row>
    <row r="3584" spans="1:14" ht="19.5" hidden="1" thickBot="1" x14ac:dyDescent="0.3">
      <c r="A3584" s="711">
        <f t="shared" si="106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3"/>
        <v>03,25</v>
      </c>
      <c r="L3584" s="483" t="s">
        <v>28</v>
      </c>
      <c r="M3584" s="483">
        <v>8006.68</v>
      </c>
      <c r="N3584" s="486">
        <v>0.41666666666666669</v>
      </c>
    </row>
    <row r="3585" spans="1:14" ht="19.5" hidden="1" thickBot="1" x14ac:dyDescent="0.3">
      <c r="A3585" s="724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3"/>
        <v>03,25</v>
      </c>
      <c r="L3585" s="491" t="s">
        <v>28</v>
      </c>
      <c r="M3585" s="491">
        <v>3537.2</v>
      </c>
      <c r="N3585" s="494">
        <v>0.41666666666666669</v>
      </c>
    </row>
    <row r="3586" spans="1:14" ht="19.5" hidden="1" thickBot="1" x14ac:dyDescent="0.3">
      <c r="A3586" s="714">
        <f t="shared" si="106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3"/>
        <v>03,25</v>
      </c>
      <c r="L3586" s="535" t="s">
        <v>28</v>
      </c>
      <c r="M3586" s="535">
        <v>5826.6799999999994</v>
      </c>
      <c r="N3586" s="539">
        <v>0.45833333333333331</v>
      </c>
    </row>
    <row r="3587" spans="1:14" ht="19.5" hidden="1" thickBot="1" x14ac:dyDescent="0.3">
      <c r="A3587" s="725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3"/>
        <v>03,25</v>
      </c>
      <c r="L3587" s="544" t="s">
        <v>28</v>
      </c>
      <c r="M3587" s="544">
        <v>6243.1200000000008</v>
      </c>
      <c r="N3587" s="548">
        <v>0.45833333333333331</v>
      </c>
    </row>
    <row r="3588" spans="1:14" ht="19.5" hidden="1" thickBot="1" x14ac:dyDescent="0.3">
      <c r="A3588" s="513">
        <f t="shared" si="106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3"/>
        <v>03,25</v>
      </c>
      <c r="L3588" s="518" t="s">
        <v>28</v>
      </c>
      <c r="M3588" s="518">
        <v>15542.179999999998</v>
      </c>
      <c r="N3588" s="522">
        <v>0.54166666666666663</v>
      </c>
    </row>
    <row r="3589" spans="1:14" ht="57" hidden="1" thickBot="1" x14ac:dyDescent="0.3">
      <c r="A3589" s="503">
        <f t="shared" si="106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3"/>
        <v>03,25</v>
      </c>
      <c r="L3589" s="508" t="s">
        <v>28</v>
      </c>
      <c r="M3589" s="508">
        <v>3020.04</v>
      </c>
      <c r="N3589" s="512">
        <v>0.41666666666666669</v>
      </c>
    </row>
    <row r="3590" spans="1:14" ht="19.5" hidden="1" thickBot="1" x14ac:dyDescent="0.3">
      <c r="A3590" s="572">
        <f t="shared" si="106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3"/>
        <v>03,25</v>
      </c>
      <c r="L3590" s="577" t="s">
        <v>266</v>
      </c>
      <c r="M3590" s="577">
        <v>13697.9</v>
      </c>
      <c r="N3590" s="581">
        <v>0.5</v>
      </c>
    </row>
    <row r="3591" spans="1:14" ht="19.5" hidden="1" thickBot="1" x14ac:dyDescent="0.3">
      <c r="A3591" s="503">
        <f t="shared" si="106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3"/>
        <v>03,25</v>
      </c>
      <c r="L3591" s="508" t="s">
        <v>266</v>
      </c>
      <c r="M3591" s="508">
        <v>17899.900000000001</v>
      </c>
      <c r="N3591" s="512">
        <v>0.41666666666666669</v>
      </c>
    </row>
    <row r="3592" spans="1:14" ht="19.5" hidden="1" thickBot="1" x14ac:dyDescent="0.3">
      <c r="A3592" s="711">
        <f t="shared" si="106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3"/>
        <v>03,25</v>
      </c>
      <c r="L3592" s="483" t="s">
        <v>266</v>
      </c>
      <c r="M3592" s="483">
        <v>690.1</v>
      </c>
      <c r="N3592" s="486">
        <v>0.45833333333333331</v>
      </c>
    </row>
    <row r="3593" spans="1:14" ht="19.5" hidden="1" thickBot="1" x14ac:dyDescent="0.3">
      <c r="A3593" s="713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3"/>
        <v>03,25</v>
      </c>
      <c r="L3593" s="527" t="s">
        <v>266</v>
      </c>
      <c r="M3593" s="527">
        <v>3048.8399999999997</v>
      </c>
      <c r="N3593" s="530">
        <v>0.45833333333333331</v>
      </c>
    </row>
    <row r="3594" spans="1:14" ht="19.5" hidden="1" thickBot="1" x14ac:dyDescent="0.3">
      <c r="A3594" s="713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3"/>
        <v>03,25</v>
      </c>
      <c r="L3594" s="527" t="s">
        <v>266</v>
      </c>
      <c r="M3594" s="527">
        <v>5615.32</v>
      </c>
      <c r="N3594" s="530">
        <v>0.45833333333333331</v>
      </c>
    </row>
    <row r="3595" spans="1:14" ht="19.5" hidden="1" thickBot="1" x14ac:dyDescent="0.3">
      <c r="A3595" s="713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3"/>
        <v>03,25</v>
      </c>
      <c r="L3595" s="527" t="s">
        <v>266</v>
      </c>
      <c r="M3595" s="527">
        <v>5640.56</v>
      </c>
      <c r="N3595" s="530">
        <v>0.45833333333333331</v>
      </c>
    </row>
    <row r="3596" spans="1:14" ht="19.5" hidden="1" thickBot="1" x14ac:dyDescent="0.3">
      <c r="A3596" s="713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3"/>
        <v>03,25</v>
      </c>
      <c r="L3596" s="527" t="s">
        <v>266</v>
      </c>
      <c r="M3596" s="527">
        <v>1577.9799999999996</v>
      </c>
      <c r="N3596" s="530">
        <v>0.45833333333333331</v>
      </c>
    </row>
    <row r="3597" spans="1:14" ht="19.5" hidden="1" thickBot="1" x14ac:dyDescent="0.3">
      <c r="A3597" s="713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3"/>
        <v>03,25</v>
      </c>
      <c r="L3597" s="499" t="s">
        <v>266</v>
      </c>
      <c r="M3597" s="499">
        <v>1476.7199999999998</v>
      </c>
      <c r="N3597" s="502">
        <v>0.45833333333333331</v>
      </c>
    </row>
    <row r="3598" spans="1:14" ht="75" hidden="1" customHeight="1" x14ac:dyDescent="0.25">
      <c r="A3598" s="714">
        <f t="shared" si="106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717" t="s">
        <v>812</v>
      </c>
      <c r="H3598" s="535" t="s">
        <v>809</v>
      </c>
      <c r="I3598" s="537" t="s">
        <v>809</v>
      </c>
      <c r="J3598" s="538"/>
      <c r="K3598" s="535" t="str">
        <f t="shared" si="103"/>
        <v>03,25</v>
      </c>
      <c r="L3598" s="535" t="s">
        <v>266</v>
      </c>
      <c r="M3598" s="535">
        <v>6760.4500000000007</v>
      </c>
      <c r="N3598" s="539">
        <v>0.41666666666666669</v>
      </c>
    </row>
    <row r="3599" spans="1:14" ht="19.5" hidden="1" thickBot="1" x14ac:dyDescent="0.3">
      <c r="A3599" s="725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726"/>
      <c r="H3599" s="586" t="s">
        <v>809</v>
      </c>
      <c r="I3599" s="587" t="s">
        <v>809</v>
      </c>
      <c r="J3599" s="588"/>
      <c r="K3599" s="586" t="str">
        <f t="shared" si="103"/>
        <v>03,25</v>
      </c>
      <c r="L3599" s="586" t="s">
        <v>266</v>
      </c>
      <c r="M3599" s="586">
        <v>885.42</v>
      </c>
      <c r="N3599" s="589">
        <v>0.41666666666666669</v>
      </c>
    </row>
    <row r="3600" spans="1:14" ht="19.5" hidden="1" thickBot="1" x14ac:dyDescent="0.3">
      <c r="A3600" s="711">
        <f t="shared" si="106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3"/>
        <v>03,25</v>
      </c>
      <c r="L3600" s="483" t="s">
        <v>265</v>
      </c>
      <c r="M3600" s="483">
        <v>11158.779999999999</v>
      </c>
      <c r="N3600" s="486">
        <v>0.375</v>
      </c>
    </row>
    <row r="3601" spans="1:14" ht="19.5" hidden="1" thickBot="1" x14ac:dyDescent="0.3">
      <c r="A3601" s="724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3"/>
        <v>03,25</v>
      </c>
      <c r="L3601" s="491" t="s">
        <v>265</v>
      </c>
      <c r="M3601" s="491">
        <v>6075.9</v>
      </c>
      <c r="N3601" s="494">
        <v>0.375</v>
      </c>
    </row>
    <row r="3602" spans="1:14" ht="19.5" hidden="1" thickBot="1" x14ac:dyDescent="0.3">
      <c r="A3602" s="503">
        <f t="shared" si="106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3"/>
        <v>03,25</v>
      </c>
      <c r="L3602" s="508" t="s">
        <v>265</v>
      </c>
      <c r="M3602" s="508">
        <v>17297.259999999998</v>
      </c>
      <c r="N3602" s="512">
        <v>0.375</v>
      </c>
    </row>
    <row r="3603" spans="1:14" ht="19.5" hidden="1" thickBot="1" x14ac:dyDescent="0.3">
      <c r="A3603" s="572">
        <f t="shared" si="106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3"/>
        <v>03,25</v>
      </c>
      <c r="L3603" s="577" t="s">
        <v>265</v>
      </c>
      <c r="M3603" s="577">
        <v>12002.52</v>
      </c>
      <c r="N3603" s="581">
        <v>0.375</v>
      </c>
    </row>
    <row r="3604" spans="1:14" ht="19.5" hidden="1" thickBot="1" x14ac:dyDescent="0.3">
      <c r="A3604" s="714">
        <f t="shared" si="106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717" t="s">
        <v>72</v>
      </c>
      <c r="H3604" s="535" t="s">
        <v>813</v>
      </c>
      <c r="I3604" s="537" t="s">
        <v>813</v>
      </c>
      <c r="J3604" s="538"/>
      <c r="K3604" s="535" t="str">
        <f t="shared" si="103"/>
        <v>03,25</v>
      </c>
      <c r="L3604" s="535" t="s">
        <v>265</v>
      </c>
      <c r="M3604" s="535">
        <v>9018.2799999999988</v>
      </c>
      <c r="N3604" s="539">
        <v>0.33333333333333331</v>
      </c>
    </row>
    <row r="3605" spans="1:14" ht="19.5" hidden="1" thickBot="1" x14ac:dyDescent="0.3">
      <c r="A3605" s="725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726"/>
      <c r="H3605" s="544" t="s">
        <v>813</v>
      </c>
      <c r="I3605" s="546" t="s">
        <v>813</v>
      </c>
      <c r="J3605" s="547"/>
      <c r="K3605" s="544" t="str">
        <f t="shared" si="103"/>
        <v>03,25</v>
      </c>
      <c r="L3605" s="544" t="s">
        <v>265</v>
      </c>
      <c r="M3605" s="544">
        <v>3053.7599999999998</v>
      </c>
      <c r="N3605" s="548">
        <v>0.41666666666666669</v>
      </c>
    </row>
    <row r="3606" spans="1:14" ht="19.5" hidden="1" thickBot="1" x14ac:dyDescent="0.3">
      <c r="A3606" s="711">
        <f t="shared" si="106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3"/>
        <v>03,25</v>
      </c>
      <c r="L3606" s="483" t="s">
        <v>28</v>
      </c>
      <c r="M3606" s="483">
        <v>1929.6</v>
      </c>
      <c r="N3606" s="486">
        <v>0.41666666666666669</v>
      </c>
    </row>
    <row r="3607" spans="1:14" ht="19.5" hidden="1" thickBot="1" x14ac:dyDescent="0.3">
      <c r="A3607" s="713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3"/>
        <v>03,25</v>
      </c>
      <c r="L3607" s="527" t="s">
        <v>28</v>
      </c>
      <c r="M3607" s="527">
        <v>9516.6000000000022</v>
      </c>
      <c r="N3607" s="530">
        <v>0.41666666666666669</v>
      </c>
    </row>
    <row r="3608" spans="1:14" ht="19.5" hidden="1" thickBot="1" x14ac:dyDescent="0.3">
      <c r="A3608" s="713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3"/>
        <v>03,25</v>
      </c>
      <c r="L3608" s="527" t="s">
        <v>28</v>
      </c>
      <c r="M3608" s="527">
        <v>5620.19</v>
      </c>
      <c r="N3608" s="530">
        <v>0.41666666666666669</v>
      </c>
    </row>
    <row r="3609" spans="1:14" ht="19.5" hidden="1" thickBot="1" x14ac:dyDescent="0.3">
      <c r="A3609" s="724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3"/>
        <v>03,25</v>
      </c>
      <c r="L3609" s="491" t="s">
        <v>28</v>
      </c>
      <c r="M3609" s="491">
        <v>867.36</v>
      </c>
      <c r="N3609" s="494">
        <v>0.41666666666666669</v>
      </c>
    </row>
    <row r="3610" spans="1:14" ht="19.5" hidden="1" thickBot="1" x14ac:dyDescent="0.3">
      <c r="A3610" s="503">
        <f t="shared" si="106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3"/>
        <v>03,25</v>
      </c>
      <c r="L3610" s="508" t="s">
        <v>28</v>
      </c>
      <c r="M3610" s="508">
        <v>17939.82</v>
      </c>
      <c r="N3610" s="512">
        <v>0.45833333333333331</v>
      </c>
    </row>
    <row r="3611" spans="1:14" ht="19.5" hidden="1" thickBot="1" x14ac:dyDescent="0.3">
      <c r="A3611" s="711">
        <f t="shared" si="106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3"/>
        <v>03,25</v>
      </c>
      <c r="L3611" s="483" t="s">
        <v>28</v>
      </c>
      <c r="M3611" s="483">
        <v>2465.7199999999998</v>
      </c>
      <c r="N3611" s="486">
        <v>0.5</v>
      </c>
    </row>
    <row r="3612" spans="1:14" ht="19.5" hidden="1" thickBot="1" x14ac:dyDescent="0.3">
      <c r="A3612" s="713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3"/>
        <v>03,25</v>
      </c>
      <c r="L3612" s="499" t="s">
        <v>28</v>
      </c>
      <c r="M3612" s="499">
        <v>15489.18</v>
      </c>
      <c r="N3612" s="502">
        <v>0.5</v>
      </c>
    </row>
    <row r="3613" spans="1:14" ht="38.25" hidden="1" thickBot="1" x14ac:dyDescent="0.3">
      <c r="A3613" s="503">
        <f t="shared" si="106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3"/>
        <v>03,25</v>
      </c>
      <c r="L3613" s="508" t="s">
        <v>28</v>
      </c>
      <c r="M3613" s="508">
        <v>16544.13</v>
      </c>
      <c r="N3613" s="512">
        <v>0.5</v>
      </c>
    </row>
    <row r="3614" spans="1:14" ht="19.5" hidden="1" thickBot="1" x14ac:dyDescent="0.3">
      <c r="A3614" s="513">
        <f t="shared" si="106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3"/>
        <v>03,25</v>
      </c>
      <c r="L3614" s="518" t="s">
        <v>265</v>
      </c>
      <c r="M3614" s="518">
        <v>17157.71</v>
      </c>
      <c r="N3614" s="522">
        <v>0.375</v>
      </c>
    </row>
    <row r="3615" spans="1:14" ht="19.5" hidden="1" thickBot="1" x14ac:dyDescent="0.3">
      <c r="A3615" s="714">
        <f t="shared" si="106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3"/>
        <v>03,25</v>
      </c>
      <c r="L3615" s="535" t="s">
        <v>28</v>
      </c>
      <c r="M3615" s="535">
        <v>3736.1200000000003</v>
      </c>
      <c r="N3615" s="539">
        <v>0.41666666666666669</v>
      </c>
    </row>
    <row r="3616" spans="1:14" ht="19.5" hidden="1" thickBot="1" x14ac:dyDescent="0.3">
      <c r="A3616" s="716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3"/>
        <v>03,25</v>
      </c>
      <c r="L3616" s="567" t="s">
        <v>28</v>
      </c>
      <c r="M3616" s="567">
        <v>2196</v>
      </c>
      <c r="N3616" s="571">
        <v>0.41666666666666669</v>
      </c>
    </row>
    <row r="3617" spans="1:14" ht="19.5" hidden="1" thickBot="1" x14ac:dyDescent="0.3">
      <c r="A3617" s="716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3"/>
        <v>03,25</v>
      </c>
      <c r="L3617" s="567" t="s">
        <v>28</v>
      </c>
      <c r="M3617" s="567">
        <v>8405.31</v>
      </c>
      <c r="N3617" s="571">
        <v>0.41666666666666669</v>
      </c>
    </row>
    <row r="3618" spans="1:14" ht="19.5" hidden="1" thickBot="1" x14ac:dyDescent="0.3">
      <c r="A3618" s="725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3"/>
        <v>03,25</v>
      </c>
      <c r="L3618" s="544" t="s">
        <v>28</v>
      </c>
      <c r="M3618" s="544">
        <v>3613.1600000000003</v>
      </c>
      <c r="N3618" s="548">
        <v>0.41666666666666669</v>
      </c>
    </row>
    <row r="3619" spans="1:14" ht="19.5" hidden="1" thickBot="1" x14ac:dyDescent="0.3">
      <c r="A3619" s="513">
        <f t="shared" ref="A3619:A3681" si="107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3"/>
        <v>03,25</v>
      </c>
      <c r="L3619" s="518" t="s">
        <v>28</v>
      </c>
      <c r="M3619" s="518">
        <v>17839.79</v>
      </c>
      <c r="N3619" s="522">
        <v>0.45833333333333331</v>
      </c>
    </row>
    <row r="3620" spans="1:14" ht="38.25" hidden="1" thickBot="1" x14ac:dyDescent="0.3">
      <c r="A3620" s="503">
        <f t="shared" si="107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3"/>
        <v>03,25</v>
      </c>
      <c r="L3620" s="508" t="s">
        <v>266</v>
      </c>
      <c r="M3620" s="508">
        <v>16486.14</v>
      </c>
      <c r="N3620" s="512">
        <v>0.41666666666666669</v>
      </c>
    </row>
    <row r="3621" spans="1:14" ht="75.75" hidden="1" thickBot="1" x14ac:dyDescent="0.3">
      <c r="A3621" s="513">
        <f t="shared" si="107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3"/>
        <v>03,25</v>
      </c>
      <c r="L3621" s="518" t="s">
        <v>28</v>
      </c>
      <c r="M3621" s="518">
        <v>7771.2000000000007</v>
      </c>
      <c r="N3621" s="522">
        <v>0.41666666666666669</v>
      </c>
    </row>
    <row r="3622" spans="1:14" ht="19.5" hidden="1" thickBot="1" x14ac:dyDescent="0.3">
      <c r="A3622" s="714">
        <f t="shared" si="107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3"/>
        <v>03,25</v>
      </c>
      <c r="L3622" s="535" t="s">
        <v>28</v>
      </c>
      <c r="M3622" s="535">
        <v>5044.5599999999995</v>
      </c>
      <c r="N3622" s="539">
        <v>0.45833333333333331</v>
      </c>
    </row>
    <row r="3623" spans="1:14" ht="19.5" hidden="1" thickBot="1" x14ac:dyDescent="0.3">
      <c r="A3623" s="716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3"/>
        <v>03,25</v>
      </c>
      <c r="L3623" s="567" t="s">
        <v>28</v>
      </c>
      <c r="M3623" s="567">
        <v>2902.96</v>
      </c>
      <c r="N3623" s="571">
        <v>0.45833333333333331</v>
      </c>
    </row>
    <row r="3624" spans="1:14" ht="19.5" hidden="1" thickBot="1" x14ac:dyDescent="0.3">
      <c r="A3624" s="716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3"/>
        <v>03,25</v>
      </c>
      <c r="L3624" s="594" t="s">
        <v>28</v>
      </c>
      <c r="M3624" s="594">
        <v>4051.5999999999995</v>
      </c>
      <c r="N3624" s="598">
        <v>0.45833333333333331</v>
      </c>
    </row>
    <row r="3625" spans="1:14" ht="19.5" hidden="1" thickBot="1" x14ac:dyDescent="0.3">
      <c r="A3625" s="513">
        <f t="shared" si="107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3"/>
        <v>03,25</v>
      </c>
      <c r="L3625" s="518" t="s">
        <v>266</v>
      </c>
      <c r="M3625" s="518">
        <v>18246.439999999999</v>
      </c>
      <c r="N3625" s="522">
        <v>0.41666666666666669</v>
      </c>
    </row>
    <row r="3626" spans="1:14" ht="19.5" hidden="1" thickBot="1" x14ac:dyDescent="0.3">
      <c r="A3626" s="503">
        <f t="shared" si="107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3"/>
        <v>03,25</v>
      </c>
      <c r="L3626" s="508" t="s">
        <v>266</v>
      </c>
      <c r="M3626" s="508">
        <v>18088.899999999998</v>
      </c>
      <c r="N3626" s="512">
        <v>0.45833333333333331</v>
      </c>
    </row>
    <row r="3627" spans="1:14" ht="19.5" hidden="1" thickBot="1" x14ac:dyDescent="0.3">
      <c r="A3627" s="711">
        <f t="shared" si="107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3"/>
        <v>03,25</v>
      </c>
      <c r="L3627" s="483" t="s">
        <v>266</v>
      </c>
      <c r="M3627" s="483">
        <v>6853.6500000000005</v>
      </c>
      <c r="N3627" s="486">
        <v>0.5</v>
      </c>
    </row>
    <row r="3628" spans="1:14" ht="19.5" hidden="1" thickBot="1" x14ac:dyDescent="0.3">
      <c r="A3628" s="713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3"/>
        <v>03,25</v>
      </c>
      <c r="L3628" s="527" t="s">
        <v>266</v>
      </c>
      <c r="M3628" s="527">
        <v>711.82</v>
      </c>
      <c r="N3628" s="530">
        <v>0.5</v>
      </c>
    </row>
    <row r="3629" spans="1:14" ht="19.5" hidden="1" thickBot="1" x14ac:dyDescent="0.3">
      <c r="A3629" s="713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3"/>
        <v>03,25</v>
      </c>
      <c r="L3629" s="527" t="s">
        <v>266</v>
      </c>
      <c r="M3629" s="527">
        <v>3487.8399999999997</v>
      </c>
      <c r="N3629" s="530">
        <v>0.5</v>
      </c>
    </row>
    <row r="3630" spans="1:14" ht="19.5" hidden="1" thickBot="1" x14ac:dyDescent="0.3">
      <c r="A3630" s="713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3"/>
        <v>03,25</v>
      </c>
      <c r="L3630" s="527" t="s">
        <v>266</v>
      </c>
      <c r="M3630" s="527">
        <v>3003</v>
      </c>
      <c r="N3630" s="530">
        <v>0.5</v>
      </c>
    </row>
    <row r="3631" spans="1:14" ht="19.5" hidden="1" thickBot="1" x14ac:dyDescent="0.3">
      <c r="A3631" s="713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3"/>
        <v>03,25</v>
      </c>
      <c r="L3631" s="527" t="s">
        <v>266</v>
      </c>
      <c r="M3631" s="527">
        <v>1971.3</v>
      </c>
      <c r="N3631" s="530">
        <v>0.5</v>
      </c>
    </row>
    <row r="3632" spans="1:14" ht="19.5" hidden="1" thickBot="1" x14ac:dyDescent="0.3">
      <c r="A3632" s="713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3"/>
        <v>03,25</v>
      </c>
      <c r="L3632" s="499" t="s">
        <v>266</v>
      </c>
      <c r="M3632" s="499">
        <v>1798.08</v>
      </c>
      <c r="N3632" s="502">
        <v>0.5</v>
      </c>
    </row>
    <row r="3633" spans="1:14" ht="19.5" hidden="1" thickBot="1" x14ac:dyDescent="0.3">
      <c r="A3633" s="714">
        <f t="shared" si="107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3"/>
        <v>03,25</v>
      </c>
      <c r="L3633" s="535" t="s">
        <v>265</v>
      </c>
      <c r="M3633" s="535">
        <v>14429.980000000001</v>
      </c>
      <c r="N3633" s="539">
        <v>0.375</v>
      </c>
    </row>
    <row r="3634" spans="1:14" ht="19.5" hidden="1" thickBot="1" x14ac:dyDescent="0.3">
      <c r="A3634" s="725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3"/>
        <v>03,25</v>
      </c>
      <c r="L3634" s="544" t="s">
        <v>265</v>
      </c>
      <c r="M3634" s="544">
        <v>2593.2999999999997</v>
      </c>
      <c r="N3634" s="548">
        <v>0.375</v>
      </c>
    </row>
    <row r="3635" spans="1:14" ht="19.5" hidden="1" thickBot="1" x14ac:dyDescent="0.3">
      <c r="A3635" s="513">
        <f t="shared" si="107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3"/>
        <v>03,25</v>
      </c>
      <c r="L3635" s="518" t="s">
        <v>28</v>
      </c>
      <c r="M3635" s="518">
        <v>15391.89</v>
      </c>
      <c r="N3635" s="522">
        <v>0.41666666666666669</v>
      </c>
    </row>
    <row r="3636" spans="1:14" ht="19.5" hidden="1" thickBot="1" x14ac:dyDescent="0.3">
      <c r="A3636" s="503">
        <f t="shared" si="107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3"/>
        <v>03,25</v>
      </c>
      <c r="L3636" s="508" t="s">
        <v>265</v>
      </c>
      <c r="M3636" s="508">
        <v>17158.84</v>
      </c>
      <c r="N3636" s="512">
        <v>0.375</v>
      </c>
    </row>
    <row r="3637" spans="1:14" ht="19.5" hidden="1" thickBot="1" x14ac:dyDescent="0.3">
      <c r="A3637" s="513">
        <f t="shared" si="107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3"/>
        <v>03,25</v>
      </c>
      <c r="L3637" s="518" t="s">
        <v>265</v>
      </c>
      <c r="M3637" s="518">
        <v>11701.48</v>
      </c>
      <c r="N3637" s="522">
        <v>0.375</v>
      </c>
    </row>
    <row r="3638" spans="1:14" ht="19.5" hidden="1" thickBot="1" x14ac:dyDescent="0.3">
      <c r="A3638" s="551">
        <f t="shared" si="107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3"/>
        <v>03,25</v>
      </c>
      <c r="L3638" s="556" t="s">
        <v>28</v>
      </c>
      <c r="M3638" s="556">
        <v>11146.2</v>
      </c>
      <c r="N3638" s="560">
        <v>0.41666666666666669</v>
      </c>
    </row>
    <row r="3639" spans="1:14" ht="19.5" hidden="1" thickBot="1" x14ac:dyDescent="0.3">
      <c r="A3639" s="711">
        <f t="shared" si="107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720" t="s">
        <v>72</v>
      </c>
      <c r="H3639" s="483" t="s">
        <v>821</v>
      </c>
      <c r="I3639" s="484" t="s">
        <v>821</v>
      </c>
      <c r="J3639" s="485"/>
      <c r="K3639" s="483" t="str">
        <f t="shared" si="103"/>
        <v>03,25</v>
      </c>
      <c r="L3639" s="483" t="s">
        <v>265</v>
      </c>
      <c r="M3639" s="483">
        <v>8780.6799999999985</v>
      </c>
      <c r="N3639" s="486">
        <v>0.33333333333333331</v>
      </c>
    </row>
    <row r="3640" spans="1:14" ht="19.5" hidden="1" thickBot="1" x14ac:dyDescent="0.3">
      <c r="A3640" s="724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727"/>
      <c r="H3640" s="491" t="s">
        <v>821</v>
      </c>
      <c r="I3640" s="492" t="s">
        <v>821</v>
      </c>
      <c r="J3640" s="493"/>
      <c r="K3640" s="491" t="str">
        <f t="shared" si="103"/>
        <v>03,25</v>
      </c>
      <c r="L3640" s="491" t="s">
        <v>265</v>
      </c>
      <c r="M3640" s="491">
        <v>3007.9800000000005</v>
      </c>
      <c r="N3640" s="494">
        <v>0.41666666666666669</v>
      </c>
    </row>
    <row r="3641" spans="1:14" ht="19.5" hidden="1" thickBot="1" x14ac:dyDescent="0.3">
      <c r="A3641" s="503">
        <f t="shared" si="107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3"/>
        <v>03,25</v>
      </c>
      <c r="L3641" s="508" t="s">
        <v>28</v>
      </c>
      <c r="M3641" s="508">
        <v>9329.1200000000008</v>
      </c>
      <c r="N3641" s="512">
        <v>0.41666666666666669</v>
      </c>
    </row>
    <row r="3642" spans="1:14" ht="19.5" hidden="1" thickBot="1" x14ac:dyDescent="0.3">
      <c r="A3642" s="711">
        <f t="shared" si="107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720" t="s">
        <v>467</v>
      </c>
      <c r="H3642" s="483" t="s">
        <v>820</v>
      </c>
      <c r="I3642" s="484" t="s">
        <v>820</v>
      </c>
      <c r="J3642" s="485"/>
      <c r="K3642" s="483" t="str">
        <f t="shared" si="103"/>
        <v>03,25</v>
      </c>
      <c r="L3642" s="483" t="s">
        <v>266</v>
      </c>
      <c r="M3642" s="483">
        <v>5388.6299999999983</v>
      </c>
      <c r="N3642" s="486">
        <v>0.41666666666666669</v>
      </c>
    </row>
    <row r="3643" spans="1:14" ht="19.5" hidden="1" thickBot="1" x14ac:dyDescent="0.3">
      <c r="A3643" s="724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727"/>
      <c r="H3643" s="491" t="s">
        <v>820</v>
      </c>
      <c r="I3643" s="492" t="s">
        <v>820</v>
      </c>
      <c r="J3643" s="493"/>
      <c r="K3643" s="491" t="str">
        <f t="shared" si="103"/>
        <v>03,25</v>
      </c>
      <c r="L3643" s="491" t="s">
        <v>266</v>
      </c>
      <c r="M3643" s="491">
        <v>2004.6</v>
      </c>
      <c r="N3643" s="494">
        <v>0.41666666666666669</v>
      </c>
    </row>
    <row r="3644" spans="1:14" ht="19.5" hidden="1" thickBot="1" x14ac:dyDescent="0.3">
      <c r="A3644" s="503">
        <f t="shared" si="107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3"/>
        <v>03,25</v>
      </c>
      <c r="L3644" s="508" t="s">
        <v>28</v>
      </c>
      <c r="M3644" s="508">
        <v>17807.34</v>
      </c>
      <c r="N3644" s="512">
        <v>0.45833333333333331</v>
      </c>
    </row>
    <row r="3645" spans="1:14" ht="19.5" hidden="1" thickBot="1" x14ac:dyDescent="0.3">
      <c r="A3645" s="711">
        <f t="shared" si="107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3"/>
        <v>03,25</v>
      </c>
      <c r="L3645" s="483" t="s">
        <v>28</v>
      </c>
      <c r="M3645" s="483">
        <v>7243.3200000000006</v>
      </c>
      <c r="N3645" s="486">
        <v>0.5</v>
      </c>
    </row>
    <row r="3646" spans="1:14" ht="19.5" hidden="1" thickBot="1" x14ac:dyDescent="0.3">
      <c r="A3646" s="724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3"/>
        <v>03,25</v>
      </c>
      <c r="L3646" s="491" t="s">
        <v>28</v>
      </c>
      <c r="M3646" s="491">
        <v>10036.799999999999</v>
      </c>
      <c r="N3646" s="494">
        <v>0.5</v>
      </c>
    </row>
    <row r="3647" spans="1:14" ht="19.5" hidden="1" thickBot="1" x14ac:dyDescent="0.3">
      <c r="A3647" s="714">
        <f t="shared" si="107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3"/>
        <v>03,25</v>
      </c>
      <c r="L3647" s="535" t="s">
        <v>28</v>
      </c>
      <c r="M3647" s="535">
        <v>7149.98</v>
      </c>
      <c r="N3647" s="539">
        <v>0.54166666666666663</v>
      </c>
    </row>
    <row r="3648" spans="1:14" ht="19.5" hidden="1" thickBot="1" x14ac:dyDescent="0.3">
      <c r="A3648" s="725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3"/>
        <v>03,25</v>
      </c>
      <c r="L3648" s="544" t="s">
        <v>28</v>
      </c>
      <c r="M3648" s="544">
        <v>10200.24</v>
      </c>
      <c r="N3648" s="548">
        <v>0.54166666666666663</v>
      </c>
    </row>
    <row r="3649" spans="1:14" ht="19.5" hidden="1" thickBot="1" x14ac:dyDescent="0.3">
      <c r="A3649" s="711">
        <f t="shared" si="107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3"/>
        <v>03,25</v>
      </c>
      <c r="L3649" s="483" t="s">
        <v>28</v>
      </c>
      <c r="M3649" s="483">
        <v>5358.82</v>
      </c>
      <c r="N3649" s="486">
        <v>0.58333333333333337</v>
      </c>
    </row>
    <row r="3650" spans="1:14" ht="19.5" hidden="1" thickBot="1" x14ac:dyDescent="0.3">
      <c r="A3650" s="713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3"/>
        <v>03,25</v>
      </c>
      <c r="L3650" s="499" t="s">
        <v>28</v>
      </c>
      <c r="M3650" s="499">
        <v>11982.96</v>
      </c>
      <c r="N3650" s="502">
        <v>0.58333333333333337</v>
      </c>
    </row>
    <row r="3651" spans="1:14" ht="75.75" hidden="1" thickBot="1" x14ac:dyDescent="0.3">
      <c r="A3651" s="503">
        <f t="shared" si="107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3"/>
        <v>03,25</v>
      </c>
      <c r="L3651" s="508" t="s">
        <v>28</v>
      </c>
      <c r="M3651" s="508">
        <v>12047.58</v>
      </c>
      <c r="N3651" s="512">
        <v>0.5</v>
      </c>
    </row>
    <row r="3652" spans="1:14" ht="19.5" hidden="1" thickBot="1" x14ac:dyDescent="0.3">
      <c r="A3652" s="513">
        <f t="shared" si="107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3"/>
        <v>03,25</v>
      </c>
      <c r="L3652" s="518" t="s">
        <v>265</v>
      </c>
      <c r="M3652" s="518">
        <v>17189.939999999999</v>
      </c>
      <c r="N3652" s="522">
        <v>0.375</v>
      </c>
    </row>
    <row r="3653" spans="1:14" ht="38.25" hidden="1" thickBot="1" x14ac:dyDescent="0.3">
      <c r="A3653" s="503">
        <f t="shared" si="107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3"/>
        <v>03,25</v>
      </c>
      <c r="L3653" s="508" t="s">
        <v>266</v>
      </c>
      <c r="M3653" s="508">
        <v>17757.12</v>
      </c>
      <c r="N3653" s="512">
        <v>0.41666666666666669</v>
      </c>
    </row>
    <row r="3654" spans="1:14" ht="19.5" hidden="1" thickBot="1" x14ac:dyDescent="0.3">
      <c r="A3654" s="711">
        <f t="shared" si="107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3"/>
        <v>03,25</v>
      </c>
      <c r="L3654" s="483" t="s">
        <v>28</v>
      </c>
      <c r="M3654" s="483">
        <v>5029.08</v>
      </c>
      <c r="N3654" s="486">
        <v>0.45833333333333331</v>
      </c>
    </row>
    <row r="3655" spans="1:14" ht="19.5" hidden="1" thickBot="1" x14ac:dyDescent="0.3">
      <c r="A3655" s="724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3"/>
        <v>03,25</v>
      </c>
      <c r="L3655" s="491" t="s">
        <v>28</v>
      </c>
      <c r="M3655" s="491">
        <v>12019.86</v>
      </c>
      <c r="N3655" s="494">
        <v>0.45833333333333331</v>
      </c>
    </row>
    <row r="3656" spans="1:14" ht="19.5" hidden="1" thickBot="1" x14ac:dyDescent="0.3">
      <c r="A3656" s="714">
        <f t="shared" si="107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3"/>
        <v>03,25</v>
      </c>
      <c r="L3656" s="535" t="s">
        <v>28</v>
      </c>
      <c r="M3656" s="535">
        <v>1795.3799999999999</v>
      </c>
      <c r="N3656" s="539">
        <v>0.5</v>
      </c>
    </row>
    <row r="3657" spans="1:14" ht="19.5" hidden="1" thickBot="1" x14ac:dyDescent="0.3">
      <c r="A3657" s="725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3"/>
        <v>03,25</v>
      </c>
      <c r="L3657" s="544" t="s">
        <v>28</v>
      </c>
      <c r="M3657" s="544">
        <v>15631.039999999999</v>
      </c>
      <c r="N3657" s="548">
        <v>0.5</v>
      </c>
    </row>
    <row r="3658" spans="1:14" ht="19.5" hidden="1" thickBot="1" x14ac:dyDescent="0.3">
      <c r="A3658" s="711">
        <f t="shared" si="107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3"/>
        <v>03,25</v>
      </c>
      <c r="L3658" s="483" t="s">
        <v>28</v>
      </c>
      <c r="M3658" s="483">
        <v>2496.6</v>
      </c>
      <c r="N3658" s="486">
        <v>0.41666666666666669</v>
      </c>
    </row>
    <row r="3659" spans="1:14" ht="19.5" hidden="1" thickBot="1" x14ac:dyDescent="0.3">
      <c r="A3659" s="713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3"/>
        <v>03,25</v>
      </c>
      <c r="L3659" s="527" t="s">
        <v>28</v>
      </c>
      <c r="M3659" s="527">
        <v>5976.6</v>
      </c>
      <c r="N3659" s="530">
        <v>0.41666666666666669</v>
      </c>
    </row>
    <row r="3660" spans="1:14" ht="19.5" hidden="1" thickBot="1" x14ac:dyDescent="0.3">
      <c r="A3660" s="724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3"/>
        <v>03,25</v>
      </c>
      <c r="L3660" s="491" t="s">
        <v>28</v>
      </c>
      <c r="M3660" s="491">
        <v>4269.32</v>
      </c>
      <c r="N3660" s="494">
        <v>0.41666666666666669</v>
      </c>
    </row>
    <row r="3661" spans="1:14" ht="19.5" hidden="1" thickBot="1" x14ac:dyDescent="0.3">
      <c r="A3661" s="714">
        <f t="shared" si="107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3"/>
        <v>03,25</v>
      </c>
      <c r="L3661" s="535" t="s">
        <v>28</v>
      </c>
      <c r="M3661" s="535">
        <v>1769.6</v>
      </c>
      <c r="N3661" s="539">
        <v>0.45833333333333331</v>
      </c>
    </row>
    <row r="3662" spans="1:14" ht="19.5" hidden="1" thickBot="1" x14ac:dyDescent="0.3">
      <c r="A3662" s="716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3"/>
        <v>03,25</v>
      </c>
      <c r="L3662" s="567" t="s">
        <v>28</v>
      </c>
      <c r="M3662" s="567">
        <v>5462.12</v>
      </c>
      <c r="N3662" s="571">
        <v>0.45833333333333331</v>
      </c>
    </row>
    <row r="3663" spans="1:14" ht="19.5" hidden="1" thickBot="1" x14ac:dyDescent="0.3">
      <c r="A3663" s="725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3"/>
        <v>03,25</v>
      </c>
      <c r="L3663" s="544" t="s">
        <v>28</v>
      </c>
      <c r="M3663" s="544">
        <v>5263.7199999999993</v>
      </c>
      <c r="N3663" s="548">
        <v>0.45833333333333331</v>
      </c>
    </row>
    <row r="3664" spans="1:14" ht="38.25" hidden="1" thickBot="1" x14ac:dyDescent="0.3">
      <c r="A3664" s="513">
        <f t="shared" si="107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3"/>
        <v>03,25</v>
      </c>
      <c r="L3664" s="518" t="s">
        <v>28</v>
      </c>
      <c r="M3664" s="518">
        <v>17502.12</v>
      </c>
      <c r="N3664" s="522">
        <v>0.41666666666666669</v>
      </c>
    </row>
    <row r="3665" spans="1:14" ht="19.5" hidden="1" thickBot="1" x14ac:dyDescent="0.3">
      <c r="A3665" s="551">
        <f t="shared" si="107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3"/>
        <v>03,25</v>
      </c>
      <c r="L3665" s="556" t="s">
        <v>266</v>
      </c>
      <c r="M3665" s="556">
        <v>14299.25</v>
      </c>
      <c r="N3665" s="560">
        <v>0.5</v>
      </c>
    </row>
    <row r="3666" spans="1:14" ht="19.5" hidden="1" thickBot="1" x14ac:dyDescent="0.3">
      <c r="A3666" s="513">
        <f t="shared" si="107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3"/>
        <v>03,25</v>
      </c>
      <c r="L3666" s="518" t="s">
        <v>266</v>
      </c>
      <c r="M3666" s="518">
        <v>18081.3</v>
      </c>
      <c r="N3666" s="522">
        <v>0.41666666666666669</v>
      </c>
    </row>
    <row r="3667" spans="1:14" ht="19.5" hidden="1" thickBot="1" x14ac:dyDescent="0.3">
      <c r="A3667" s="503">
        <f t="shared" si="107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3"/>
        <v>03,25</v>
      </c>
      <c r="L3667" s="508" t="s">
        <v>266</v>
      </c>
      <c r="M3667" s="508">
        <v>18017.5</v>
      </c>
      <c r="N3667" s="512">
        <v>0.45833333333333331</v>
      </c>
    </row>
    <row r="3668" spans="1:14" ht="19.5" hidden="1" thickBot="1" x14ac:dyDescent="0.3">
      <c r="A3668" s="513">
        <f t="shared" si="107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3"/>
        <v>03,25</v>
      </c>
      <c r="L3668" s="518" t="s">
        <v>266</v>
      </c>
      <c r="M3668" s="518">
        <v>18068.379999999997</v>
      </c>
      <c r="N3668" s="522">
        <v>0.5</v>
      </c>
    </row>
    <row r="3669" spans="1:14" ht="19.5" hidden="1" thickBot="1" x14ac:dyDescent="0.3">
      <c r="A3669" s="714">
        <f t="shared" si="107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3"/>
        <v>03,25</v>
      </c>
      <c r="L3669" s="535" t="s">
        <v>266</v>
      </c>
      <c r="M3669" s="535">
        <v>3231.6000000000004</v>
      </c>
      <c r="N3669" s="539">
        <v>0.54166666666666663</v>
      </c>
    </row>
    <row r="3670" spans="1:14" ht="19.5" hidden="1" thickBot="1" x14ac:dyDescent="0.3">
      <c r="A3670" s="716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3"/>
        <v>03,25</v>
      </c>
      <c r="L3670" s="567" t="s">
        <v>266</v>
      </c>
      <c r="M3670" s="567">
        <v>580.6</v>
      </c>
      <c r="N3670" s="571">
        <v>0.54166666666666663</v>
      </c>
    </row>
    <row r="3671" spans="1:14" ht="19.5" hidden="1" thickBot="1" x14ac:dyDescent="0.3">
      <c r="A3671" s="716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3"/>
        <v>03,25</v>
      </c>
      <c r="L3671" s="567" t="s">
        <v>266</v>
      </c>
      <c r="M3671" s="567">
        <v>4029.12</v>
      </c>
      <c r="N3671" s="571">
        <v>0.54166666666666663</v>
      </c>
    </row>
    <row r="3672" spans="1:14" ht="19.5" hidden="1" thickBot="1" x14ac:dyDescent="0.3">
      <c r="A3672" s="716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3"/>
        <v>03,25</v>
      </c>
      <c r="L3672" s="567" t="s">
        <v>266</v>
      </c>
      <c r="M3672" s="567">
        <v>6331.96</v>
      </c>
      <c r="N3672" s="571">
        <v>0.54166666666666663</v>
      </c>
    </row>
    <row r="3673" spans="1:14" ht="19.5" hidden="1" thickBot="1" x14ac:dyDescent="0.3">
      <c r="A3673" s="716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3"/>
        <v>03,25</v>
      </c>
      <c r="L3673" s="567" t="s">
        <v>266</v>
      </c>
      <c r="M3673" s="567">
        <v>1927.9600000000003</v>
      </c>
      <c r="N3673" s="571">
        <v>0.54166666666666663</v>
      </c>
    </row>
    <row r="3674" spans="1:14" ht="19.5" hidden="1" thickBot="1" x14ac:dyDescent="0.3">
      <c r="A3674" s="716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3"/>
        <v>03,25</v>
      </c>
      <c r="L3674" s="594" t="s">
        <v>266</v>
      </c>
      <c r="M3674" s="594">
        <v>1906.56</v>
      </c>
      <c r="N3674" s="598">
        <v>0.54166666666666663</v>
      </c>
    </row>
    <row r="3675" spans="1:14" ht="19.5" hidden="1" thickBot="1" x14ac:dyDescent="0.3">
      <c r="A3675" s="711">
        <f t="shared" si="107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3"/>
        <v>03,25</v>
      </c>
      <c r="L3675" s="483" t="s">
        <v>265</v>
      </c>
      <c r="M3675" s="483">
        <v>15174.639999999998</v>
      </c>
      <c r="N3675" s="486">
        <v>0.375</v>
      </c>
    </row>
    <row r="3676" spans="1:14" ht="19.5" hidden="1" thickBot="1" x14ac:dyDescent="0.3">
      <c r="A3676" s="724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3"/>
        <v>03,25</v>
      </c>
      <c r="L3676" s="491" t="s">
        <v>265</v>
      </c>
      <c r="M3676" s="491">
        <v>1914.5</v>
      </c>
      <c r="N3676" s="494">
        <v>0.375</v>
      </c>
    </row>
    <row r="3677" spans="1:14" ht="19.5" hidden="1" thickBot="1" x14ac:dyDescent="0.3">
      <c r="A3677" s="714">
        <f t="shared" si="107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717" t="s">
        <v>467</v>
      </c>
      <c r="H3677" s="535" t="s">
        <v>827</v>
      </c>
      <c r="I3677" s="537" t="s">
        <v>827</v>
      </c>
      <c r="J3677" s="538"/>
      <c r="K3677" s="535" t="str">
        <f t="shared" si="103"/>
        <v>03,25</v>
      </c>
      <c r="L3677" s="535" t="s">
        <v>266</v>
      </c>
      <c r="M3677" s="535">
        <v>1877.6100000000001</v>
      </c>
      <c r="N3677" s="539">
        <v>0.41666666666666669</v>
      </c>
    </row>
    <row r="3678" spans="1:14" ht="19.5" hidden="1" thickBot="1" x14ac:dyDescent="0.3">
      <c r="A3678" s="725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726"/>
      <c r="H3678" s="544" t="s">
        <v>827</v>
      </c>
      <c r="I3678" s="546" t="s">
        <v>827</v>
      </c>
      <c r="J3678" s="547"/>
      <c r="K3678" s="544" t="str">
        <f t="shared" si="103"/>
        <v>03,25</v>
      </c>
      <c r="L3678" s="544" t="s">
        <v>266</v>
      </c>
      <c r="M3678" s="544">
        <v>6106.2</v>
      </c>
      <c r="N3678" s="548">
        <v>0.41666666666666669</v>
      </c>
    </row>
    <row r="3679" spans="1:14" ht="19.5" hidden="1" thickBot="1" x14ac:dyDescent="0.3">
      <c r="A3679" s="513">
        <f t="shared" si="107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3"/>
        <v>03,25</v>
      </c>
      <c r="L3679" s="518" t="s">
        <v>265</v>
      </c>
      <c r="M3679" s="518">
        <v>17302.560000000001</v>
      </c>
      <c r="N3679" s="522">
        <v>0.375</v>
      </c>
    </row>
    <row r="3680" spans="1:14" ht="19.5" hidden="1" thickBot="1" x14ac:dyDescent="0.3">
      <c r="A3680" s="551">
        <f t="shared" si="107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3"/>
        <v>03,25</v>
      </c>
      <c r="L3680" s="556" t="s">
        <v>265</v>
      </c>
      <c r="M3680" s="556">
        <v>12082.359999999999</v>
      </c>
      <c r="N3680" s="560">
        <v>0.375</v>
      </c>
    </row>
    <row r="3681" spans="1:14" ht="57" hidden="1" thickBot="1" x14ac:dyDescent="0.3">
      <c r="A3681" s="711">
        <f t="shared" si="107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3"/>
        <v>03,25</v>
      </c>
      <c r="L3681" s="483" t="s">
        <v>28</v>
      </c>
      <c r="M3681" s="483">
        <v>1003.68</v>
      </c>
      <c r="N3681" s="486">
        <v>0.41666666666666669</v>
      </c>
    </row>
    <row r="3682" spans="1:14" ht="19.5" hidden="1" thickBot="1" x14ac:dyDescent="0.3">
      <c r="A3682" s="724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3"/>
        <v>03,25</v>
      </c>
      <c r="L3682" s="491" t="s">
        <v>28</v>
      </c>
      <c r="M3682" s="491">
        <v>16425.120000000003</v>
      </c>
      <c r="N3682" s="494">
        <v>0.41666666666666669</v>
      </c>
    </row>
    <row r="3683" spans="1:14" ht="19.5" hidden="1" thickBot="1" x14ac:dyDescent="0.3">
      <c r="A3683" s="503">
        <f t="shared" ref="A3683:A3709" si="108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3"/>
        <v>03,25</v>
      </c>
      <c r="L3683" s="508" t="s">
        <v>266</v>
      </c>
      <c r="M3683" s="508">
        <v>18000</v>
      </c>
      <c r="N3683" s="512">
        <v>0.45833333333333331</v>
      </c>
    </row>
    <row r="3684" spans="1:14" ht="19.5" hidden="1" thickBot="1" x14ac:dyDescent="0.3">
      <c r="A3684" s="513">
        <f t="shared" si="108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3"/>
        <v>03,25</v>
      </c>
      <c r="L3684" s="518" t="s">
        <v>28</v>
      </c>
      <c r="M3684" s="518">
        <v>17766.820000000003</v>
      </c>
      <c r="N3684" s="522">
        <v>0.5</v>
      </c>
    </row>
    <row r="3685" spans="1:14" ht="19.5" hidden="1" thickBot="1" x14ac:dyDescent="0.3">
      <c r="A3685" s="714">
        <f t="shared" si="108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3"/>
        <v>03,25</v>
      </c>
      <c r="L3685" s="535" t="s">
        <v>28</v>
      </c>
      <c r="M3685" s="535">
        <v>3185.6400000000003</v>
      </c>
      <c r="N3685" s="539">
        <v>0.54166666666666663</v>
      </c>
    </row>
    <row r="3686" spans="1:14" ht="19.5" hidden="1" thickBot="1" x14ac:dyDescent="0.3">
      <c r="A3686" s="725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3"/>
        <v>03,25</v>
      </c>
      <c r="L3686" s="544" t="s">
        <v>28</v>
      </c>
      <c r="M3686" s="544">
        <v>14564.76</v>
      </c>
      <c r="N3686" s="548">
        <v>0.54166666666666663</v>
      </c>
    </row>
    <row r="3687" spans="1:14" ht="19.5" hidden="1" thickBot="1" x14ac:dyDescent="0.3">
      <c r="A3687" s="711">
        <f t="shared" si="108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3"/>
        <v>03,25</v>
      </c>
      <c r="L3687" s="483" t="s">
        <v>28</v>
      </c>
      <c r="M3687" s="483">
        <v>2999.2999999999997</v>
      </c>
      <c r="N3687" s="486">
        <v>0.58333333333333337</v>
      </c>
    </row>
    <row r="3688" spans="1:14" ht="19.5" hidden="1" thickBot="1" x14ac:dyDescent="0.3">
      <c r="A3688" s="713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3"/>
        <v>03,25</v>
      </c>
      <c r="L3688" s="527" t="s">
        <v>28</v>
      </c>
      <c r="M3688" s="527">
        <v>2754</v>
      </c>
      <c r="N3688" s="530">
        <v>0.58333333333333337</v>
      </c>
    </row>
    <row r="3689" spans="1:14" ht="19.5" hidden="1" thickBot="1" x14ac:dyDescent="0.3">
      <c r="A3689" s="713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3"/>
        <v>03,25</v>
      </c>
      <c r="L3689" s="527" t="s">
        <v>28</v>
      </c>
      <c r="M3689" s="527">
        <v>4582.71</v>
      </c>
      <c r="N3689" s="530">
        <v>0.58333333333333337</v>
      </c>
    </row>
    <row r="3690" spans="1:14" ht="19.5" hidden="1" thickBot="1" x14ac:dyDescent="0.3">
      <c r="A3690" s="724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3"/>
        <v>03,25</v>
      </c>
      <c r="L3690" s="491" t="s">
        <v>28</v>
      </c>
      <c r="M3690" s="491">
        <v>7537.86</v>
      </c>
      <c r="N3690" s="494">
        <v>0.58333333333333337</v>
      </c>
    </row>
    <row r="3691" spans="1:14" ht="19.5" hidden="1" thickBot="1" x14ac:dyDescent="0.3">
      <c r="A3691" s="503">
        <f t="shared" si="108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3"/>
        <v>03,25</v>
      </c>
      <c r="L3691" s="508" t="s">
        <v>265</v>
      </c>
      <c r="M3691" s="508">
        <v>17129.34</v>
      </c>
      <c r="N3691" s="512">
        <v>0.375</v>
      </c>
    </row>
    <row r="3692" spans="1:14" ht="19.5" hidden="1" thickBot="1" x14ac:dyDescent="0.3">
      <c r="A3692" s="572">
        <f t="shared" si="108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3"/>
        <v>03,25</v>
      </c>
      <c r="L3692" s="577" t="s">
        <v>266</v>
      </c>
      <c r="M3692" s="577">
        <v>11547.639999999998</v>
      </c>
      <c r="N3692" s="581">
        <v>0.375</v>
      </c>
    </row>
    <row r="3693" spans="1:14" ht="19.5" hidden="1" thickBot="1" x14ac:dyDescent="0.3">
      <c r="A3693" s="503">
        <f t="shared" si="108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3"/>
        <v>03,25</v>
      </c>
      <c r="L3693" s="508" t="s">
        <v>28</v>
      </c>
      <c r="M3693" s="508">
        <v>15709.360000000004</v>
      </c>
      <c r="N3693" s="512">
        <v>0.45833333333333331</v>
      </c>
    </row>
    <row r="3694" spans="1:14" ht="28.5" hidden="1" customHeight="1" x14ac:dyDescent="0.25">
      <c r="A3694" s="711">
        <f t="shared" si="108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720" t="s">
        <v>834</v>
      </c>
      <c r="H3694" s="483" t="s">
        <v>829</v>
      </c>
      <c r="I3694" s="484" t="s">
        <v>830</v>
      </c>
      <c r="J3694" s="485"/>
      <c r="K3694" s="483" t="str">
        <f t="shared" si="103"/>
        <v>03,25</v>
      </c>
      <c r="L3694" s="483" t="s">
        <v>28</v>
      </c>
      <c r="M3694" s="483">
        <v>8670.86</v>
      </c>
      <c r="N3694" s="486">
        <v>0.5</v>
      </c>
    </row>
    <row r="3695" spans="1:14" ht="28.5" hidden="1" customHeight="1" thickBot="1" x14ac:dyDescent="0.3">
      <c r="A3695" s="724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727"/>
      <c r="H3695" s="491" t="s">
        <v>829</v>
      </c>
      <c r="I3695" s="492" t="s">
        <v>830</v>
      </c>
      <c r="J3695" s="493"/>
      <c r="K3695" s="491" t="str">
        <f t="shared" si="103"/>
        <v>03,25</v>
      </c>
      <c r="L3695" s="491" t="s">
        <v>28</v>
      </c>
      <c r="M3695" s="491">
        <v>1945.38</v>
      </c>
      <c r="N3695" s="494">
        <v>0.5</v>
      </c>
    </row>
    <row r="3696" spans="1:14" ht="19.5" hidden="1" thickBot="1" x14ac:dyDescent="0.3">
      <c r="A3696" s="503">
        <f t="shared" si="108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3"/>
        <v>04,25</v>
      </c>
      <c r="L3696" s="508" t="s">
        <v>266</v>
      </c>
      <c r="M3696" s="508">
        <v>17017.539999999997</v>
      </c>
      <c r="N3696" s="512">
        <v>0.375</v>
      </c>
    </row>
    <row r="3697" spans="1:14" ht="38.25" hidden="1" thickBot="1" x14ac:dyDescent="0.3">
      <c r="A3697" s="513">
        <f t="shared" si="108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3"/>
        <v>03,25</v>
      </c>
      <c r="L3697" s="518" t="s">
        <v>266</v>
      </c>
      <c r="M3697" s="518">
        <v>16135.920000000002</v>
      </c>
      <c r="N3697" s="522">
        <v>0.41666666666666669</v>
      </c>
    </row>
    <row r="3698" spans="1:14" ht="19.5" hidden="1" thickBot="1" x14ac:dyDescent="0.3">
      <c r="A3698" s="714">
        <f t="shared" si="108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3"/>
        <v>04,25</v>
      </c>
      <c r="L3698" s="535" t="s">
        <v>28</v>
      </c>
      <c r="M3698" s="535">
        <v>1301.46</v>
      </c>
      <c r="N3698" s="539">
        <v>0.45833333333333331</v>
      </c>
    </row>
    <row r="3699" spans="1:14" ht="19.5" hidden="1" thickBot="1" x14ac:dyDescent="0.3">
      <c r="A3699" s="716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3"/>
        <v>04,25</v>
      </c>
      <c r="L3699" s="567" t="s">
        <v>28</v>
      </c>
      <c r="M3699" s="567">
        <v>9474.3599999999988</v>
      </c>
      <c r="N3699" s="571">
        <v>0.45833333333333331</v>
      </c>
    </row>
    <row r="3700" spans="1:14" ht="19.5" hidden="1" thickBot="1" x14ac:dyDescent="0.3">
      <c r="A3700" s="725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3"/>
        <v>04,25</v>
      </c>
      <c r="L3700" s="544" t="s">
        <v>28</v>
      </c>
      <c r="M3700" s="544">
        <v>6544.26</v>
      </c>
      <c r="N3700" s="548">
        <v>0.45833333333333331</v>
      </c>
    </row>
    <row r="3701" spans="1:14" ht="19.5" hidden="1" thickBot="1" x14ac:dyDescent="0.3">
      <c r="A3701" s="711">
        <f t="shared" si="108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3"/>
        <v>03,25</v>
      </c>
      <c r="L3701" s="483" t="s">
        <v>28</v>
      </c>
      <c r="M3701" s="483">
        <v>5998.5999999999995</v>
      </c>
      <c r="N3701" s="486">
        <v>0.41666666666666669</v>
      </c>
    </row>
    <row r="3702" spans="1:14" ht="19.5" hidden="1" thickBot="1" x14ac:dyDescent="0.3">
      <c r="A3702" s="724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3"/>
        <v>03,25</v>
      </c>
      <c r="L3702" s="491" t="s">
        <v>28</v>
      </c>
      <c r="M3702" s="491">
        <v>6619.84</v>
      </c>
      <c r="N3702" s="494">
        <v>0.41666666666666669</v>
      </c>
    </row>
    <row r="3703" spans="1:14" ht="49.5" hidden="1" customHeight="1" x14ac:dyDescent="0.25">
      <c r="A3703" s="714">
        <f t="shared" si="108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717" t="s">
        <v>831</v>
      </c>
      <c r="H3703" s="535" t="s">
        <v>830</v>
      </c>
      <c r="I3703" s="537" t="s">
        <v>830</v>
      </c>
      <c r="J3703" s="538"/>
      <c r="K3703" s="535" t="str">
        <f t="shared" si="103"/>
        <v>03,25</v>
      </c>
      <c r="L3703" s="535" t="s">
        <v>28</v>
      </c>
      <c r="M3703" s="535">
        <v>4723.96</v>
      </c>
      <c r="N3703" s="539">
        <v>0.45833333333333331</v>
      </c>
    </row>
    <row r="3704" spans="1:14" ht="49.5" hidden="1" customHeight="1" thickBot="1" x14ac:dyDescent="0.3">
      <c r="A3704" s="725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726"/>
      <c r="H3704" s="544" t="s">
        <v>830</v>
      </c>
      <c r="I3704" s="546" t="s">
        <v>830</v>
      </c>
      <c r="J3704" s="547"/>
      <c r="K3704" s="544" t="str">
        <f t="shared" si="103"/>
        <v>03,25</v>
      </c>
      <c r="L3704" s="544" t="s">
        <v>28</v>
      </c>
      <c r="M3704" s="544">
        <v>5569.6</v>
      </c>
      <c r="N3704" s="548">
        <v>0.45833333333333331</v>
      </c>
    </row>
    <row r="3705" spans="1:14" ht="19.5" hidden="1" thickBot="1" x14ac:dyDescent="0.3">
      <c r="A3705" s="513">
        <f t="shared" si="108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3"/>
        <v>03,25</v>
      </c>
      <c r="L3705" s="518" t="s">
        <v>266</v>
      </c>
      <c r="M3705" s="518">
        <v>12010.480000000001</v>
      </c>
      <c r="N3705" s="522">
        <v>0.41666666666666669</v>
      </c>
    </row>
    <row r="3706" spans="1:14" ht="38.25" hidden="1" thickBot="1" x14ac:dyDescent="0.3">
      <c r="A3706" s="551">
        <f t="shared" si="108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09">RIGHT(I3706,5)</f>
        <v>04,25</v>
      </c>
      <c r="L3706" s="556" t="s">
        <v>28</v>
      </c>
      <c r="M3706" s="556">
        <v>16214.520000000002</v>
      </c>
      <c r="N3706" s="560">
        <v>0.41666666666666669</v>
      </c>
    </row>
    <row r="3707" spans="1:14" ht="19.5" hidden="1" thickBot="1" x14ac:dyDescent="0.3">
      <c r="A3707" s="513">
        <f t="shared" si="108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09"/>
        <v>04,25</v>
      </c>
      <c r="L3707" s="518" t="s">
        <v>266</v>
      </c>
      <c r="M3707" s="518">
        <v>18346.38</v>
      </c>
      <c r="N3707" s="522">
        <v>0.41666666666666669</v>
      </c>
    </row>
    <row r="3708" spans="1:14" ht="19.5" hidden="1" thickBot="1" x14ac:dyDescent="0.3">
      <c r="A3708" s="503">
        <f t="shared" si="108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09"/>
        <v>04,25</v>
      </c>
      <c r="L3708" s="508" t="s">
        <v>266</v>
      </c>
      <c r="M3708" s="508">
        <v>18297.760000000002</v>
      </c>
      <c r="N3708" s="512">
        <v>0.45833333333333331</v>
      </c>
    </row>
    <row r="3709" spans="1:14" ht="19.5" hidden="1" thickBot="1" x14ac:dyDescent="0.3">
      <c r="A3709" s="711">
        <f t="shared" si="108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09"/>
        <v>04,25</v>
      </c>
      <c r="L3709" s="483" t="s">
        <v>266</v>
      </c>
      <c r="M3709" s="483">
        <v>2890.2799999999997</v>
      </c>
      <c r="N3709" s="486">
        <v>0.5</v>
      </c>
    </row>
    <row r="3710" spans="1:14" ht="19.5" hidden="1" thickBot="1" x14ac:dyDescent="0.3">
      <c r="A3710" s="713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09"/>
        <v>04,25</v>
      </c>
      <c r="L3710" s="527" t="s">
        <v>266</v>
      </c>
      <c r="M3710" s="527">
        <v>1260.92</v>
      </c>
      <c r="N3710" s="530">
        <v>0.5</v>
      </c>
    </row>
    <row r="3711" spans="1:14" ht="19.5" hidden="1" thickBot="1" x14ac:dyDescent="0.3">
      <c r="A3711" s="713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09"/>
        <v>04,25</v>
      </c>
      <c r="L3711" s="527" t="s">
        <v>266</v>
      </c>
      <c r="M3711" s="527">
        <v>4249.1000000000004</v>
      </c>
      <c r="N3711" s="530">
        <v>0.5</v>
      </c>
    </row>
    <row r="3712" spans="1:14" ht="19.5" hidden="1" thickBot="1" x14ac:dyDescent="0.3">
      <c r="A3712" s="713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09"/>
        <v>04,25</v>
      </c>
      <c r="L3712" s="527" t="s">
        <v>266</v>
      </c>
      <c r="M3712" s="527">
        <v>1803.8400000000001</v>
      </c>
      <c r="N3712" s="530">
        <v>0.5</v>
      </c>
    </row>
    <row r="3713" spans="1:14" ht="19.5" hidden="1" thickBot="1" x14ac:dyDescent="0.3">
      <c r="A3713" s="713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09"/>
        <v>04,25</v>
      </c>
      <c r="L3713" s="527" t="s">
        <v>266</v>
      </c>
      <c r="M3713" s="527">
        <v>701.1</v>
      </c>
      <c r="N3713" s="530">
        <v>0.5</v>
      </c>
    </row>
    <row r="3714" spans="1:14" ht="19.5" hidden="1" thickBot="1" x14ac:dyDescent="0.3">
      <c r="A3714" s="713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09"/>
        <v>04,25</v>
      </c>
      <c r="L3714" s="499" t="s">
        <v>266</v>
      </c>
      <c r="M3714" s="499">
        <v>4321.8199999999988</v>
      </c>
      <c r="N3714" s="502">
        <v>0.5</v>
      </c>
    </row>
    <row r="3715" spans="1:14" ht="19.5" hidden="1" thickBot="1" x14ac:dyDescent="0.3">
      <c r="A3715" s="714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09"/>
        <v>04,25</v>
      </c>
      <c r="L3715" s="535" t="s">
        <v>265</v>
      </c>
      <c r="M3715" s="535">
        <v>10908.15</v>
      </c>
      <c r="N3715" s="539">
        <v>0.375</v>
      </c>
    </row>
    <row r="3716" spans="1:14" ht="19.5" hidden="1" thickBot="1" x14ac:dyDescent="0.3">
      <c r="A3716" s="725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09"/>
        <v>04,25</v>
      </c>
      <c r="L3716" s="544" t="s">
        <v>265</v>
      </c>
      <c r="M3716" s="544">
        <v>6244.5000000000009</v>
      </c>
      <c r="N3716" s="548">
        <v>0.375</v>
      </c>
    </row>
    <row r="3717" spans="1:14" ht="19.5" hidden="1" thickBot="1" x14ac:dyDescent="0.3">
      <c r="A3717" s="513">
        <f t="shared" ref="A3717:A3723" si="110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09"/>
        <v>04,25</v>
      </c>
      <c r="L3717" s="518" t="s">
        <v>28</v>
      </c>
      <c r="M3717" s="518">
        <v>15924.180000000002</v>
      </c>
      <c r="N3717" s="522">
        <v>0.41666666666666669</v>
      </c>
    </row>
    <row r="3718" spans="1:14" ht="19.5" hidden="1" thickBot="1" x14ac:dyDescent="0.3">
      <c r="A3718" s="714">
        <f t="shared" si="110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09"/>
        <v>04,25</v>
      </c>
      <c r="L3718" s="535" t="s">
        <v>265</v>
      </c>
      <c r="M3718" s="535">
        <v>17236.600000000002</v>
      </c>
      <c r="N3718" s="539">
        <v>0.375</v>
      </c>
    </row>
    <row r="3719" spans="1:14" ht="19.5" hidden="1" thickBot="1" x14ac:dyDescent="0.3">
      <c r="A3719" s="725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09"/>
        <v>04,25</v>
      </c>
      <c r="L3719" s="544" t="s">
        <v>265</v>
      </c>
      <c r="M3719" s="544">
        <v>100.8</v>
      </c>
      <c r="N3719" s="548">
        <v>0.375</v>
      </c>
    </row>
    <row r="3720" spans="1:14" ht="19.5" hidden="1" thickBot="1" x14ac:dyDescent="0.3">
      <c r="A3720" s="572">
        <f t="shared" si="110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09"/>
        <v>04,25</v>
      </c>
      <c r="L3720" s="577" t="s">
        <v>265</v>
      </c>
      <c r="M3720" s="577">
        <v>11722.599999999999</v>
      </c>
      <c r="N3720" s="581">
        <v>0.375</v>
      </c>
    </row>
    <row r="3721" spans="1:14" ht="19.5" hidden="1" thickBot="1" x14ac:dyDescent="0.3">
      <c r="A3721" s="714">
        <f t="shared" si="110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717" t="s">
        <v>72</v>
      </c>
      <c r="H3721" s="535" t="s">
        <v>838</v>
      </c>
      <c r="I3721" s="537" t="s">
        <v>838</v>
      </c>
      <c r="J3721" s="538"/>
      <c r="K3721" s="535" t="str">
        <f t="shared" si="109"/>
        <v>04,25</v>
      </c>
      <c r="L3721" s="535" t="s">
        <v>265</v>
      </c>
      <c r="M3721" s="535">
        <v>4898.0400000000009</v>
      </c>
      <c r="N3721" s="539">
        <v>0.33333333333333331</v>
      </c>
    </row>
    <row r="3722" spans="1:14" ht="19.5" hidden="1" thickBot="1" x14ac:dyDescent="0.3">
      <c r="A3722" s="725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726"/>
      <c r="H3722" s="544" t="s">
        <v>838</v>
      </c>
      <c r="I3722" s="546" t="s">
        <v>838</v>
      </c>
      <c r="J3722" s="547"/>
      <c r="K3722" s="544" t="str">
        <f t="shared" si="109"/>
        <v>04,25</v>
      </c>
      <c r="L3722" s="544" t="s">
        <v>265</v>
      </c>
      <c r="M3722" s="544">
        <v>9141.880000000001</v>
      </c>
      <c r="N3722" s="548">
        <v>0.41666666666666669</v>
      </c>
    </row>
    <row r="3723" spans="1:14" ht="19.5" hidden="1" thickBot="1" x14ac:dyDescent="0.3">
      <c r="A3723" s="711">
        <f t="shared" si="110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09"/>
        <v>04,25</v>
      </c>
      <c r="L3723" s="483" t="s">
        <v>28</v>
      </c>
      <c r="M3723" s="483">
        <v>15202.470000000001</v>
      </c>
      <c r="N3723" s="486">
        <v>0.41666666666666669</v>
      </c>
    </row>
    <row r="3724" spans="1:14" ht="19.5" hidden="1" thickBot="1" x14ac:dyDescent="0.3">
      <c r="A3724" s="713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09"/>
        <v>04,25</v>
      </c>
      <c r="L3724" s="527" t="s">
        <v>28</v>
      </c>
      <c r="M3724" s="527">
        <v>111.60000000000001</v>
      </c>
      <c r="N3724" s="530">
        <v>0.41666666666666669</v>
      </c>
    </row>
    <row r="3725" spans="1:14" ht="19.5" hidden="1" thickBot="1" x14ac:dyDescent="0.3">
      <c r="A3725" s="724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09"/>
        <v>04,25</v>
      </c>
      <c r="L3725" s="491" t="s">
        <v>28</v>
      </c>
      <c r="M3725" s="491">
        <v>2133.66</v>
      </c>
      <c r="N3725" s="494">
        <v>0.41666666666666669</v>
      </c>
    </row>
    <row r="3726" spans="1:14" ht="19.5" hidden="1" thickBot="1" x14ac:dyDescent="0.3">
      <c r="A3726" s="714">
        <f t="shared" ref="A3726" si="111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09"/>
        <v>04,25</v>
      </c>
      <c r="L3726" s="535" t="s">
        <v>28</v>
      </c>
      <c r="M3726" s="535">
        <v>11093.95</v>
      </c>
      <c r="N3726" s="539">
        <v>0.45833333333333331</v>
      </c>
    </row>
    <row r="3727" spans="1:14" ht="19.5" hidden="1" thickBot="1" x14ac:dyDescent="0.3">
      <c r="A3727" s="716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09"/>
        <v>04,25</v>
      </c>
      <c r="L3727" s="567" t="s">
        <v>28</v>
      </c>
      <c r="M3727" s="567">
        <v>111.60000000000001</v>
      </c>
      <c r="N3727" s="571">
        <v>0.45833333333333331</v>
      </c>
    </row>
    <row r="3728" spans="1:14" ht="19.5" hidden="1" thickBot="1" x14ac:dyDescent="0.3">
      <c r="A3728" s="725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09"/>
        <v>04,25</v>
      </c>
      <c r="L3728" s="544" t="s">
        <v>28</v>
      </c>
      <c r="M3728" s="544">
        <v>6712.38</v>
      </c>
      <c r="N3728" s="548">
        <v>0.45833333333333331</v>
      </c>
    </row>
    <row r="3729" spans="1:14" ht="19.5" hidden="1" thickBot="1" x14ac:dyDescent="0.3">
      <c r="A3729" s="711">
        <f t="shared" ref="A3729" si="112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09"/>
        <v>04,25</v>
      </c>
      <c r="L3729" s="483" t="s">
        <v>28</v>
      </c>
      <c r="M3729" s="483">
        <v>2520.6800000000003</v>
      </c>
      <c r="N3729" s="486">
        <v>0.5</v>
      </c>
    </row>
    <row r="3730" spans="1:14" ht="19.5" hidden="1" thickBot="1" x14ac:dyDescent="0.3">
      <c r="A3730" s="713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09"/>
        <v>04,25</v>
      </c>
      <c r="L3730" s="527" t="s">
        <v>28</v>
      </c>
      <c r="M3730" s="527">
        <v>41.4</v>
      </c>
      <c r="N3730" s="530">
        <v>0.5</v>
      </c>
    </row>
    <row r="3731" spans="1:14" ht="19.5" hidden="1" thickBot="1" x14ac:dyDescent="0.3">
      <c r="A3731" s="724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09"/>
        <v>04,25</v>
      </c>
      <c r="L3731" s="491" t="s">
        <v>28</v>
      </c>
      <c r="M3731" s="491">
        <v>15280.799999999997</v>
      </c>
      <c r="N3731" s="494">
        <v>0.5</v>
      </c>
    </row>
    <row r="3732" spans="1:14" ht="19.5" hidden="1" thickBot="1" x14ac:dyDescent="0.3">
      <c r="A3732" s="714">
        <f t="shared" ref="A3732:A3795" si="113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09"/>
        <v>04,25</v>
      </c>
      <c r="L3732" s="535" t="s">
        <v>28</v>
      </c>
      <c r="M3732" s="535">
        <v>1889.12</v>
      </c>
      <c r="N3732" s="539">
        <v>0.54166666666666663</v>
      </c>
    </row>
    <row r="3733" spans="1:14" ht="19.5" hidden="1" thickBot="1" x14ac:dyDescent="0.3">
      <c r="A3733" s="716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09"/>
        <v>04,25</v>
      </c>
      <c r="L3733" s="567" t="s">
        <v>28</v>
      </c>
      <c r="M3733" s="567">
        <v>5892.44</v>
      </c>
      <c r="N3733" s="571">
        <v>0.54166666666666663</v>
      </c>
    </row>
    <row r="3734" spans="1:14" ht="19.5" hidden="1" thickBot="1" x14ac:dyDescent="0.3">
      <c r="A3734" s="716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09"/>
        <v>04,25</v>
      </c>
      <c r="L3734" s="567" t="s">
        <v>28</v>
      </c>
      <c r="M3734" s="567">
        <v>41.4</v>
      </c>
      <c r="N3734" s="571">
        <v>0.54166666666666663</v>
      </c>
    </row>
    <row r="3735" spans="1:14" ht="19.5" hidden="1" thickBot="1" x14ac:dyDescent="0.3">
      <c r="A3735" s="716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09"/>
        <v>04,25</v>
      </c>
      <c r="L3735" s="594" t="s">
        <v>28</v>
      </c>
      <c r="M3735" s="594">
        <v>10042.86</v>
      </c>
      <c r="N3735" s="598">
        <v>0.54166666666666663</v>
      </c>
    </row>
    <row r="3736" spans="1:14" ht="19.5" hidden="1" thickBot="1" x14ac:dyDescent="0.3">
      <c r="A3736" s="513">
        <f t="shared" si="113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09"/>
        <v>04,25</v>
      </c>
      <c r="L3736" s="518" t="s">
        <v>265</v>
      </c>
      <c r="M3736" s="518">
        <v>17602.630000000005</v>
      </c>
      <c r="N3736" s="522">
        <v>0.375</v>
      </c>
    </row>
    <row r="3737" spans="1:14" ht="19.5" hidden="1" thickBot="1" x14ac:dyDescent="0.3">
      <c r="A3737" s="714">
        <f t="shared" si="113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09"/>
        <v>04,25</v>
      </c>
      <c r="L3737" s="535" t="s">
        <v>28</v>
      </c>
      <c r="M3737" s="535">
        <v>5752.92</v>
      </c>
      <c r="N3737" s="539">
        <v>0.41666666666666669</v>
      </c>
    </row>
    <row r="3738" spans="1:14" ht="19.5" hidden="1" thickBot="1" x14ac:dyDescent="0.3">
      <c r="A3738" s="725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09"/>
        <v>04,25</v>
      </c>
      <c r="L3738" s="544" t="s">
        <v>28</v>
      </c>
      <c r="M3738" s="544">
        <v>12226.859999999999</v>
      </c>
      <c r="N3738" s="548">
        <v>0.41666666666666669</v>
      </c>
    </row>
    <row r="3739" spans="1:14" ht="19.5" hidden="1" thickBot="1" x14ac:dyDescent="0.3">
      <c r="A3739" s="711">
        <f t="shared" si="113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09"/>
        <v>04,25</v>
      </c>
      <c r="L3739" s="483" t="s">
        <v>28</v>
      </c>
      <c r="M3739" s="483">
        <v>1917.45</v>
      </c>
      <c r="N3739" s="486">
        <v>0.45833333333333331</v>
      </c>
    </row>
    <row r="3740" spans="1:14" ht="19.5" hidden="1" thickBot="1" x14ac:dyDescent="0.3">
      <c r="A3740" s="713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09"/>
        <v>04,25</v>
      </c>
      <c r="L3740" s="527" t="s">
        <v>28</v>
      </c>
      <c r="M3740" s="527">
        <v>13492.100000000002</v>
      </c>
      <c r="N3740" s="530">
        <v>0.45833333333333331</v>
      </c>
    </row>
    <row r="3741" spans="1:14" ht="19.5" hidden="1" thickBot="1" x14ac:dyDescent="0.3">
      <c r="A3741" s="724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09"/>
        <v>04,25</v>
      </c>
      <c r="L3741" s="491" t="s">
        <v>28</v>
      </c>
      <c r="M3741" s="491">
        <v>2117.35</v>
      </c>
      <c r="N3741" s="494">
        <v>0.45833333333333331</v>
      </c>
    </row>
    <row r="3742" spans="1:14" ht="38.25" hidden="1" thickBot="1" x14ac:dyDescent="0.3">
      <c r="A3742" s="503">
        <f t="shared" si="113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09"/>
        <v>04,25</v>
      </c>
      <c r="L3742" s="508" t="s">
        <v>28</v>
      </c>
      <c r="M3742" s="508">
        <v>17985.48</v>
      </c>
      <c r="N3742" s="512">
        <v>0.5</v>
      </c>
    </row>
    <row r="3743" spans="1:14" ht="19.5" hidden="1" thickBot="1" x14ac:dyDescent="0.3">
      <c r="A3743" s="711">
        <f t="shared" si="113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09"/>
        <v>04,25</v>
      </c>
      <c r="L3743" s="483" t="s">
        <v>28</v>
      </c>
      <c r="M3743" s="483">
        <v>1467.8</v>
      </c>
      <c r="N3743" s="486">
        <v>0.41666666666666669</v>
      </c>
    </row>
    <row r="3744" spans="1:14" ht="19.5" hidden="1" thickBot="1" x14ac:dyDescent="0.3">
      <c r="A3744" s="713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09"/>
        <v>04,25</v>
      </c>
      <c r="L3744" s="527" t="s">
        <v>28</v>
      </c>
      <c r="M3744" s="527">
        <v>2917.88</v>
      </c>
      <c r="N3744" s="530">
        <v>0.41666666666666669</v>
      </c>
    </row>
    <row r="3745" spans="1:14" ht="19.5" hidden="1" thickBot="1" x14ac:dyDescent="0.3">
      <c r="A3745" s="713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09"/>
        <v>04,25</v>
      </c>
      <c r="L3745" s="527" t="s">
        <v>28</v>
      </c>
      <c r="M3745" s="527">
        <v>4131.6000000000004</v>
      </c>
      <c r="N3745" s="530">
        <v>0.41666666666666669</v>
      </c>
    </row>
    <row r="3746" spans="1:14" ht="19.5" hidden="1" thickBot="1" x14ac:dyDescent="0.3">
      <c r="A3746" s="713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09"/>
        <v>04,25</v>
      </c>
      <c r="L3746" s="499" t="s">
        <v>28</v>
      </c>
      <c r="M3746" s="499">
        <v>3694.68</v>
      </c>
      <c r="N3746" s="502">
        <v>0.41666666666666669</v>
      </c>
    </row>
    <row r="3747" spans="1:14" ht="57" hidden="1" thickBot="1" x14ac:dyDescent="0.3">
      <c r="A3747" s="503">
        <f t="shared" si="113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09"/>
        <v>04,25</v>
      </c>
      <c r="L3747" s="508" t="s">
        <v>28</v>
      </c>
      <c r="M3747" s="508">
        <v>10029.84</v>
      </c>
      <c r="N3747" s="512">
        <v>0.41666666666666669</v>
      </c>
    </row>
    <row r="3748" spans="1:14" ht="19.5" hidden="1" thickBot="1" x14ac:dyDescent="0.3">
      <c r="A3748" s="513">
        <f t="shared" si="113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09"/>
        <v>04,25</v>
      </c>
      <c r="L3748" s="518" t="s">
        <v>266</v>
      </c>
      <c r="M3748" s="518">
        <v>8417.1299999999992</v>
      </c>
      <c r="N3748" s="522">
        <v>0.45833333333333331</v>
      </c>
    </row>
    <row r="3749" spans="1:14" ht="19.5" hidden="1" thickBot="1" x14ac:dyDescent="0.3">
      <c r="A3749" s="714">
        <f t="shared" si="113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09"/>
        <v>04,25</v>
      </c>
      <c r="L3749" s="535" t="s">
        <v>266</v>
      </c>
      <c r="M3749" s="535">
        <v>3737.1799999999994</v>
      </c>
      <c r="N3749" s="539">
        <v>0.5</v>
      </c>
    </row>
    <row r="3750" spans="1:14" ht="19.5" hidden="1" thickBot="1" x14ac:dyDescent="0.3">
      <c r="A3750" s="716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09"/>
        <v>04,25</v>
      </c>
      <c r="L3750" s="594" t="s">
        <v>266</v>
      </c>
      <c r="M3750" s="594">
        <v>14401.4</v>
      </c>
      <c r="N3750" s="598">
        <v>0.5</v>
      </c>
    </row>
    <row r="3751" spans="1:14" ht="19.5" hidden="1" thickBot="1" x14ac:dyDescent="0.3">
      <c r="A3751" s="513">
        <f t="shared" si="113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09"/>
        <v>04,25</v>
      </c>
      <c r="L3751" s="518" t="s">
        <v>266</v>
      </c>
      <c r="M3751" s="518">
        <v>18332.18</v>
      </c>
      <c r="N3751" s="522">
        <v>0.41666666666666669</v>
      </c>
    </row>
    <row r="3752" spans="1:14" ht="19.5" hidden="1" thickBot="1" x14ac:dyDescent="0.3">
      <c r="A3752" s="503">
        <f t="shared" si="113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09"/>
        <v>04,25</v>
      </c>
      <c r="L3752" s="508" t="s">
        <v>266</v>
      </c>
      <c r="M3752" s="508">
        <v>18050.14</v>
      </c>
      <c r="N3752" s="512">
        <v>0.45833333333333331</v>
      </c>
    </row>
    <row r="3753" spans="1:14" ht="19.5" hidden="1" thickBot="1" x14ac:dyDescent="0.3">
      <c r="A3753" s="513">
        <f t="shared" si="113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09"/>
        <v>04,25</v>
      </c>
      <c r="L3753" s="518" t="s">
        <v>266</v>
      </c>
      <c r="M3753" s="518">
        <v>17842.560000000001</v>
      </c>
      <c r="N3753" s="522">
        <v>0.5</v>
      </c>
    </row>
    <row r="3754" spans="1:14" ht="19.5" hidden="1" thickBot="1" x14ac:dyDescent="0.3">
      <c r="A3754" s="714">
        <f t="shared" si="113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09"/>
        <v>04,25</v>
      </c>
      <c r="L3754" s="535" t="s">
        <v>266</v>
      </c>
      <c r="M3754" s="535">
        <v>1851.8</v>
      </c>
      <c r="N3754" s="539">
        <v>0.54166666666666663</v>
      </c>
    </row>
    <row r="3755" spans="1:14" ht="19.5" hidden="1" thickBot="1" x14ac:dyDescent="0.3">
      <c r="A3755" s="716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09"/>
        <v>04,25</v>
      </c>
      <c r="L3755" s="567" t="s">
        <v>266</v>
      </c>
      <c r="M3755" s="567">
        <v>562.79999999999995</v>
      </c>
      <c r="N3755" s="571">
        <v>0.54166666666666663</v>
      </c>
    </row>
    <row r="3756" spans="1:14" ht="19.5" hidden="1" thickBot="1" x14ac:dyDescent="0.3">
      <c r="A3756" s="716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09"/>
        <v>04,25</v>
      </c>
      <c r="L3756" s="567" t="s">
        <v>266</v>
      </c>
      <c r="M3756" s="567">
        <v>3733.7000000000003</v>
      </c>
      <c r="N3756" s="571">
        <v>0.54166666666666663</v>
      </c>
    </row>
    <row r="3757" spans="1:14" ht="19.5" hidden="1" thickBot="1" x14ac:dyDescent="0.3">
      <c r="A3757" s="716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09"/>
        <v>04,25</v>
      </c>
      <c r="L3757" s="567" t="s">
        <v>266</v>
      </c>
      <c r="M3757" s="567">
        <v>6407.21</v>
      </c>
      <c r="N3757" s="571">
        <v>0.54166666666666663</v>
      </c>
    </row>
    <row r="3758" spans="1:14" ht="19.5" hidden="1" thickBot="1" x14ac:dyDescent="0.3">
      <c r="A3758" s="716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09"/>
        <v>04,25</v>
      </c>
      <c r="L3758" s="567" t="s">
        <v>266</v>
      </c>
      <c r="M3758" s="567">
        <v>2419.6299999999997</v>
      </c>
      <c r="N3758" s="571">
        <v>0.54166666666666663</v>
      </c>
    </row>
    <row r="3759" spans="1:14" ht="19.5" hidden="1" thickBot="1" x14ac:dyDescent="0.3">
      <c r="A3759" s="716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09"/>
        <v>04,25</v>
      </c>
      <c r="L3759" s="594" t="s">
        <v>266</v>
      </c>
      <c r="M3759" s="594">
        <v>3209.92</v>
      </c>
      <c r="N3759" s="598">
        <v>0.54166666666666663</v>
      </c>
    </row>
    <row r="3760" spans="1:14" ht="19.5" hidden="1" thickBot="1" x14ac:dyDescent="0.3">
      <c r="A3760" s="711">
        <f t="shared" si="113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09"/>
        <v>04,25</v>
      </c>
      <c r="L3760" s="483" t="s">
        <v>265</v>
      </c>
      <c r="M3760" s="483">
        <v>12709.950000000003</v>
      </c>
      <c r="N3760" s="486">
        <v>0.375</v>
      </c>
    </row>
    <row r="3761" spans="1:14" ht="19.5" hidden="1" thickBot="1" x14ac:dyDescent="0.3">
      <c r="A3761" s="724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09"/>
        <v>04,25</v>
      </c>
      <c r="L3761" s="491" t="s">
        <v>265</v>
      </c>
      <c r="M3761" s="491">
        <v>4598.7</v>
      </c>
      <c r="N3761" s="494">
        <v>0.375</v>
      </c>
    </row>
    <row r="3762" spans="1:14" ht="19.5" hidden="1" thickBot="1" x14ac:dyDescent="0.3">
      <c r="A3762" s="503">
        <f t="shared" si="113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09"/>
        <v>04,25</v>
      </c>
      <c r="L3762" s="508" t="s">
        <v>28</v>
      </c>
      <c r="M3762" s="508">
        <v>15480.340000000004</v>
      </c>
      <c r="N3762" s="512">
        <v>0.41666666666666669</v>
      </c>
    </row>
    <row r="3763" spans="1:14" ht="19.5" hidden="1" thickBot="1" x14ac:dyDescent="0.3">
      <c r="A3763" s="513">
        <f t="shared" si="113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09"/>
        <v>04,25</v>
      </c>
      <c r="L3763" s="518" t="s">
        <v>265</v>
      </c>
      <c r="M3763" s="518">
        <v>17632.740000000002</v>
      </c>
      <c r="N3763" s="522">
        <v>0.375</v>
      </c>
    </row>
    <row r="3764" spans="1:14" ht="19.5" hidden="1" thickBot="1" x14ac:dyDescent="0.3">
      <c r="A3764" s="551">
        <f t="shared" si="113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09"/>
        <v>04,25</v>
      </c>
      <c r="L3764" s="556" t="s">
        <v>265</v>
      </c>
      <c r="M3764" s="556">
        <v>11972.119999999997</v>
      </c>
      <c r="N3764" s="560">
        <v>0.375</v>
      </c>
    </row>
    <row r="3765" spans="1:14" ht="19.5" hidden="1" thickBot="1" x14ac:dyDescent="0.3">
      <c r="A3765" s="711">
        <f t="shared" si="113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720" t="s">
        <v>72</v>
      </c>
      <c r="H3765" s="483" t="s">
        <v>851</v>
      </c>
      <c r="I3765" s="484" t="s">
        <v>851</v>
      </c>
      <c r="J3765" s="485"/>
      <c r="K3765" s="483" t="str">
        <f t="shared" si="109"/>
        <v>04,25</v>
      </c>
      <c r="L3765" s="483" t="s">
        <v>265</v>
      </c>
      <c r="M3765" s="483">
        <v>8001.32</v>
      </c>
      <c r="N3765" s="486">
        <v>0.33333333333333331</v>
      </c>
    </row>
    <row r="3766" spans="1:14" ht="19.5" hidden="1" thickBot="1" x14ac:dyDescent="0.3">
      <c r="A3766" s="713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722"/>
      <c r="H3766" s="605" t="s">
        <v>851</v>
      </c>
      <c r="I3766" s="609" t="s">
        <v>851</v>
      </c>
      <c r="J3766" s="611" t="s">
        <v>76</v>
      </c>
      <c r="K3766" s="605" t="str">
        <f t="shared" si="109"/>
        <v>04,25</v>
      </c>
      <c r="L3766" s="605" t="s">
        <v>265</v>
      </c>
      <c r="M3766" s="605">
        <v>171</v>
      </c>
      <c r="N3766" s="613">
        <v>0.33333333333333331</v>
      </c>
    </row>
    <row r="3767" spans="1:14" ht="19.5" hidden="1" thickBot="1" x14ac:dyDescent="0.3">
      <c r="A3767" s="724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727"/>
      <c r="H3767" s="491" t="s">
        <v>851</v>
      </c>
      <c r="I3767" s="492" t="s">
        <v>851</v>
      </c>
      <c r="J3767" s="493"/>
      <c r="K3767" s="491" t="str">
        <f t="shared" si="109"/>
        <v>04,25</v>
      </c>
      <c r="L3767" s="491" t="s">
        <v>265</v>
      </c>
      <c r="M3767" s="491">
        <v>6156.16</v>
      </c>
      <c r="N3767" s="494">
        <v>0.41666666666666669</v>
      </c>
    </row>
    <row r="3768" spans="1:14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09"/>
        <v>04,25</v>
      </c>
      <c r="L3768" s="508" t="s">
        <v>28</v>
      </c>
      <c r="M3768" s="508">
        <v>17177.25</v>
      </c>
      <c r="N3768" s="512">
        <v>0.41666666666666669</v>
      </c>
    </row>
    <row r="3769" spans="1:14" ht="57" hidden="1" thickBot="1" x14ac:dyDescent="0.3">
      <c r="A3769" s="711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09"/>
        <v>04,25</v>
      </c>
      <c r="L3769" s="483" t="s">
        <v>28</v>
      </c>
      <c r="M3769" s="483">
        <v>2061.48</v>
      </c>
      <c r="N3769" s="486">
        <v>0.45833333333333331</v>
      </c>
    </row>
    <row r="3770" spans="1:14" ht="19.5" hidden="1" thickBot="1" x14ac:dyDescent="0.3">
      <c r="A3770" s="713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09"/>
        <v>04,25</v>
      </c>
      <c r="L3770" s="527" t="s">
        <v>28</v>
      </c>
      <c r="M3770" s="527">
        <v>11500.080000000002</v>
      </c>
      <c r="N3770" s="530">
        <v>0.45833333333333331</v>
      </c>
    </row>
    <row r="3771" spans="1:14" ht="19.5" hidden="1" thickBot="1" x14ac:dyDescent="0.3">
      <c r="A3771" s="724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09"/>
        <v>04,25</v>
      </c>
      <c r="L3771" s="491" t="s">
        <v>28</v>
      </c>
      <c r="M3771" s="491">
        <v>3404.64</v>
      </c>
      <c r="N3771" s="494">
        <v>0.45833333333333331</v>
      </c>
    </row>
    <row r="3772" spans="1:14" ht="19.5" hidden="1" thickBot="1" x14ac:dyDescent="0.3">
      <c r="A3772" s="714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09"/>
        <v>04,25</v>
      </c>
      <c r="L3772" s="535" t="s">
        <v>28</v>
      </c>
      <c r="M3772" s="535">
        <v>1663.92</v>
      </c>
      <c r="N3772" s="539">
        <v>0.5</v>
      </c>
    </row>
    <row r="3773" spans="1:14" ht="19.5" hidden="1" thickBot="1" x14ac:dyDescent="0.3">
      <c r="A3773" s="716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09"/>
        <v>04,25</v>
      </c>
      <c r="L3773" s="567" t="s">
        <v>28</v>
      </c>
      <c r="M3773" s="567">
        <v>9179.66</v>
      </c>
      <c r="N3773" s="571">
        <v>0.5</v>
      </c>
    </row>
    <row r="3774" spans="1:14" ht="19.5" hidden="1" thickBot="1" x14ac:dyDescent="0.3">
      <c r="A3774" s="725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09"/>
        <v>04,25</v>
      </c>
      <c r="L3774" s="544" t="s">
        <v>28</v>
      </c>
      <c r="M3774" s="544">
        <v>6384.7800000000007</v>
      </c>
      <c r="N3774" s="548">
        <v>0.5</v>
      </c>
    </row>
    <row r="3775" spans="1:14" ht="19.5" hidden="1" thickBot="1" x14ac:dyDescent="0.3">
      <c r="A3775" s="711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09"/>
        <v>04,25</v>
      </c>
      <c r="L3775" s="483" t="s">
        <v>28</v>
      </c>
      <c r="M3775" s="483">
        <v>5734.0399999999991</v>
      </c>
      <c r="N3775" s="486">
        <v>0.54166666666666663</v>
      </c>
    </row>
    <row r="3776" spans="1:14" ht="19.5" hidden="1" thickBot="1" x14ac:dyDescent="0.3">
      <c r="A3776" s="713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09"/>
        <v>04,25</v>
      </c>
      <c r="L3776" s="527" t="s">
        <v>28</v>
      </c>
      <c r="M3776" s="527">
        <v>1032</v>
      </c>
      <c r="N3776" s="530">
        <v>0.54166666666666663</v>
      </c>
    </row>
    <row r="3777" spans="1:14" ht="19.5" hidden="1" thickBot="1" x14ac:dyDescent="0.3">
      <c r="A3777" s="713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09"/>
        <v>04,25</v>
      </c>
      <c r="L3777" s="499" t="s">
        <v>28</v>
      </c>
      <c r="M3777" s="499">
        <v>10442.099999999999</v>
      </c>
      <c r="N3777" s="502">
        <v>0.54166666666666663</v>
      </c>
    </row>
    <row r="3778" spans="1:14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09"/>
        <v>04,25</v>
      </c>
      <c r="L3778" s="508" t="s">
        <v>265</v>
      </c>
      <c r="M3778" s="508">
        <v>17291.159999999996</v>
      </c>
      <c r="N3778" s="512">
        <v>0.375</v>
      </c>
    </row>
    <row r="3779" spans="1:14" ht="28.5" hidden="1" customHeight="1" x14ac:dyDescent="0.25">
      <c r="A3779" s="711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720" t="s">
        <v>854</v>
      </c>
      <c r="H3779" s="483" t="s">
        <v>851</v>
      </c>
      <c r="I3779" s="484" t="s">
        <v>851</v>
      </c>
      <c r="J3779" s="485"/>
      <c r="K3779" s="483" t="str">
        <f t="shared" si="109"/>
        <v>04,25</v>
      </c>
      <c r="L3779" s="483" t="s">
        <v>28</v>
      </c>
      <c r="M3779" s="483">
        <v>5192.5200000000004</v>
      </c>
      <c r="N3779" s="486">
        <v>0.5</v>
      </c>
    </row>
    <row r="3780" spans="1:14" ht="28.5" hidden="1" customHeight="1" thickBot="1" x14ac:dyDescent="0.3">
      <c r="A3780" s="724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727"/>
      <c r="H3780" s="491" t="s">
        <v>851</v>
      </c>
      <c r="I3780" s="492" t="s">
        <v>851</v>
      </c>
      <c r="J3780" s="493"/>
      <c r="K3780" s="491" t="str">
        <f t="shared" si="109"/>
        <v>04,25</v>
      </c>
      <c r="L3780" s="491" t="s">
        <v>28</v>
      </c>
      <c r="M3780" s="491">
        <v>6443.26</v>
      </c>
      <c r="N3780" s="494">
        <v>0.5</v>
      </c>
    </row>
    <row r="3781" spans="1:14" ht="19.5" hidden="1" thickBot="1" x14ac:dyDescent="0.3">
      <c r="A3781" s="714">
        <f t="shared" si="113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09"/>
        <v>04,25</v>
      </c>
      <c r="L3781" s="535" t="s">
        <v>28</v>
      </c>
      <c r="M3781" s="535">
        <v>2064.4499999999998</v>
      </c>
      <c r="N3781" s="539">
        <v>0.41666666666666669</v>
      </c>
    </row>
    <row r="3782" spans="1:14" ht="19.5" hidden="1" thickBot="1" x14ac:dyDescent="0.3">
      <c r="A3782" s="716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09"/>
        <v>04,25</v>
      </c>
      <c r="L3782" s="567" t="s">
        <v>28</v>
      </c>
      <c r="M3782" s="567">
        <v>7389.2399999999989</v>
      </c>
      <c r="N3782" s="571">
        <v>0.41666666666666669</v>
      </c>
    </row>
    <row r="3783" spans="1:14" ht="19.5" hidden="1" thickBot="1" x14ac:dyDescent="0.3">
      <c r="A3783" s="716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09"/>
        <v>04,25</v>
      </c>
      <c r="L3783" s="567" t="s">
        <v>28</v>
      </c>
      <c r="M3783" s="567">
        <v>1574.54</v>
      </c>
      <c r="N3783" s="571">
        <v>0.41666666666666669</v>
      </c>
    </row>
    <row r="3784" spans="1:14" ht="19.5" hidden="1" thickBot="1" x14ac:dyDescent="0.3">
      <c r="A3784" s="725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09"/>
        <v>04,25</v>
      </c>
      <c r="L3784" s="544" t="s">
        <v>28</v>
      </c>
      <c r="M3784" s="544">
        <v>6984.3</v>
      </c>
      <c r="N3784" s="548">
        <v>0.41666666666666669</v>
      </c>
    </row>
    <row r="3785" spans="1:14" ht="19.5" hidden="1" thickBot="1" x14ac:dyDescent="0.3">
      <c r="A3785" s="711">
        <f t="shared" si="113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09"/>
        <v>04,25</v>
      </c>
      <c r="L3785" s="483" t="s">
        <v>265</v>
      </c>
      <c r="M3785" s="483">
        <v>17585.120000000003</v>
      </c>
      <c r="N3785" s="486">
        <v>0.375</v>
      </c>
    </row>
    <row r="3786" spans="1:14" ht="19.5" hidden="1" thickBot="1" x14ac:dyDescent="0.3">
      <c r="A3786" s="724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09"/>
        <v>04,25</v>
      </c>
      <c r="L3786" s="491" t="s">
        <v>265</v>
      </c>
      <c r="M3786" s="491">
        <v>21.6</v>
      </c>
      <c r="N3786" s="494">
        <v>0.375</v>
      </c>
    </row>
    <row r="3787" spans="1:14" ht="19.5" hidden="1" thickBot="1" x14ac:dyDescent="0.3">
      <c r="A3787" s="503">
        <f t="shared" si="113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09"/>
        <v>04,25</v>
      </c>
      <c r="L3787" s="508" t="s">
        <v>28</v>
      </c>
      <c r="M3787" s="508">
        <v>14339.240000000002</v>
      </c>
      <c r="N3787" s="512">
        <v>0.41666666666666669</v>
      </c>
    </row>
    <row r="3788" spans="1:14" ht="19.5" hidden="1" thickBot="1" x14ac:dyDescent="0.3">
      <c r="A3788" s="711">
        <f t="shared" si="113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09"/>
        <v>04,25</v>
      </c>
      <c r="L3788" s="483" t="s">
        <v>28</v>
      </c>
      <c r="M3788" s="483">
        <v>4078.76</v>
      </c>
      <c r="N3788" s="486">
        <v>0.45833333333333331</v>
      </c>
    </row>
    <row r="3789" spans="1:14" ht="19.5" hidden="1" thickBot="1" x14ac:dyDescent="0.3">
      <c r="A3789" s="724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09"/>
        <v>04,25</v>
      </c>
      <c r="L3789" s="491" t="s">
        <v>28</v>
      </c>
      <c r="M3789" s="491">
        <v>7533.72</v>
      </c>
      <c r="N3789" s="494">
        <v>0.45833333333333331</v>
      </c>
    </row>
    <row r="3790" spans="1:14" ht="19.5" hidden="1" thickBot="1" x14ac:dyDescent="0.3">
      <c r="A3790" s="714">
        <f t="shared" si="113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09"/>
        <v>04,25</v>
      </c>
      <c r="L3790" s="535" t="s">
        <v>28</v>
      </c>
      <c r="M3790" s="535">
        <v>3057.9599999999996</v>
      </c>
      <c r="N3790" s="539">
        <v>0.5</v>
      </c>
    </row>
    <row r="3791" spans="1:14" ht="19.5" hidden="1" thickBot="1" x14ac:dyDescent="0.3">
      <c r="A3791" s="725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09"/>
        <v>04,25</v>
      </c>
      <c r="L3791" s="544" t="s">
        <v>28</v>
      </c>
      <c r="M3791" s="544">
        <v>8437.7999999999993</v>
      </c>
      <c r="N3791" s="548">
        <v>0.5</v>
      </c>
    </row>
    <row r="3792" spans="1:14" ht="38.25" hidden="1" thickBot="1" x14ac:dyDescent="0.3">
      <c r="A3792" s="513">
        <f t="shared" si="113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09"/>
        <v>04,25</v>
      </c>
      <c r="L3792" s="518" t="s">
        <v>28</v>
      </c>
      <c r="M3792" s="518">
        <v>17401.59</v>
      </c>
      <c r="N3792" s="522">
        <v>0.41666666666666669</v>
      </c>
    </row>
    <row r="3793" spans="1:14" ht="38.25" hidden="1" thickBot="1" x14ac:dyDescent="0.3">
      <c r="A3793" s="551">
        <f t="shared" si="113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09"/>
        <v>04,25</v>
      </c>
      <c r="L3793" s="556" t="s">
        <v>266</v>
      </c>
      <c r="M3793" s="556">
        <v>17251.14</v>
      </c>
      <c r="N3793" s="560">
        <v>0.45833333333333331</v>
      </c>
    </row>
    <row r="3794" spans="1:14" ht="19.5" hidden="1" thickBot="1" x14ac:dyDescent="0.3">
      <c r="A3794" s="513">
        <f t="shared" si="113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09"/>
        <v>04,25</v>
      </c>
      <c r="L3794" s="518" t="s">
        <v>266</v>
      </c>
      <c r="M3794" s="518">
        <v>18217.580000000002</v>
      </c>
      <c r="N3794" s="522">
        <v>0.41666666666666669</v>
      </c>
    </row>
    <row r="3795" spans="1:14" ht="19.5" hidden="1" thickBot="1" x14ac:dyDescent="0.3">
      <c r="A3795" s="503">
        <f t="shared" si="113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09"/>
        <v>04,25</v>
      </c>
      <c r="L3795" s="508" t="s">
        <v>266</v>
      </c>
      <c r="M3795" s="508">
        <v>17975.96</v>
      </c>
      <c r="N3795" s="512">
        <v>0.45833333333333331</v>
      </c>
    </row>
    <row r="3796" spans="1:14" ht="19.5" hidden="1" thickBot="1" x14ac:dyDescent="0.3">
      <c r="A3796" s="513">
        <f t="shared" ref="A3796:A3859" si="114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09"/>
        <v>04,25</v>
      </c>
      <c r="L3796" s="518" t="s">
        <v>266</v>
      </c>
      <c r="M3796" s="518">
        <v>8537.869999999999</v>
      </c>
      <c r="N3796" s="522">
        <v>0.5</v>
      </c>
    </row>
    <row r="3797" spans="1:14" ht="19.5" hidden="1" thickBot="1" x14ac:dyDescent="0.3">
      <c r="A3797" s="714">
        <f t="shared" si="114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09"/>
        <v>04,25</v>
      </c>
      <c r="L3797" s="535" t="s">
        <v>266</v>
      </c>
      <c r="M3797" s="535">
        <v>2557.7999999999997</v>
      </c>
      <c r="N3797" s="539">
        <v>0.54166666666666663</v>
      </c>
    </row>
    <row r="3798" spans="1:14" ht="19.5" hidden="1" thickBot="1" x14ac:dyDescent="0.3">
      <c r="A3798" s="716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09"/>
        <v>04,25</v>
      </c>
      <c r="L3798" s="567" t="s">
        <v>266</v>
      </c>
      <c r="M3798" s="567">
        <v>1200.02</v>
      </c>
      <c r="N3798" s="571">
        <v>0.54166666666666663</v>
      </c>
    </row>
    <row r="3799" spans="1:14" ht="19.5" hidden="1" thickBot="1" x14ac:dyDescent="0.3">
      <c r="A3799" s="716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09"/>
        <v>04,25</v>
      </c>
      <c r="L3799" s="567" t="s">
        <v>266</v>
      </c>
      <c r="M3799" s="567">
        <v>7922.4</v>
      </c>
      <c r="N3799" s="571">
        <v>0.54166666666666663</v>
      </c>
    </row>
    <row r="3800" spans="1:14" ht="19.5" hidden="1" thickBot="1" x14ac:dyDescent="0.3">
      <c r="A3800" s="716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09"/>
        <v>04,25</v>
      </c>
      <c r="L3800" s="567" t="s">
        <v>266</v>
      </c>
      <c r="M3800" s="567">
        <v>3624.6000000000004</v>
      </c>
      <c r="N3800" s="571">
        <v>0.54166666666666663</v>
      </c>
    </row>
    <row r="3801" spans="1:14" ht="19.5" hidden="1" thickBot="1" x14ac:dyDescent="0.3">
      <c r="A3801" s="716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09"/>
        <v>04,25</v>
      </c>
      <c r="L3801" s="594" t="s">
        <v>266</v>
      </c>
      <c r="M3801" s="594">
        <v>1530.1999999999994</v>
      </c>
      <c r="N3801" s="598">
        <v>0.54166666666666663</v>
      </c>
    </row>
    <row r="3802" spans="1:14" ht="19.5" hidden="1" thickBot="1" x14ac:dyDescent="0.3">
      <c r="A3802" s="711">
        <f t="shared" si="114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09"/>
        <v>04,25</v>
      </c>
      <c r="L3802" s="483" t="s">
        <v>265</v>
      </c>
      <c r="M3802" s="483">
        <v>13084.339999999998</v>
      </c>
      <c r="N3802" s="486">
        <v>0.375</v>
      </c>
    </row>
    <row r="3803" spans="1:14" ht="19.5" hidden="1" thickBot="1" x14ac:dyDescent="0.3">
      <c r="A3803" s="724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09"/>
        <v>04,25</v>
      </c>
      <c r="L3803" s="491" t="s">
        <v>265</v>
      </c>
      <c r="M3803" s="491">
        <v>4168.5</v>
      </c>
      <c r="N3803" s="494">
        <v>0.375</v>
      </c>
    </row>
    <row r="3804" spans="1:14" ht="19.5" hidden="1" thickBot="1" x14ac:dyDescent="0.3">
      <c r="A3804" s="503">
        <f t="shared" si="114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09"/>
        <v>04,25</v>
      </c>
      <c r="L3804" s="508" t="s">
        <v>265</v>
      </c>
      <c r="M3804" s="508">
        <v>17552.29</v>
      </c>
      <c r="N3804" s="512">
        <v>0.41666666666666669</v>
      </c>
    </row>
    <row r="3805" spans="1:14" ht="19.5" hidden="1" thickBot="1" x14ac:dyDescent="0.3">
      <c r="A3805" s="513">
        <f t="shared" si="114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09"/>
        <v>04,25</v>
      </c>
      <c r="L3805" s="518" t="s">
        <v>28</v>
      </c>
      <c r="M3805" s="518">
        <v>15402.520000000002</v>
      </c>
      <c r="N3805" s="522">
        <v>0.5</v>
      </c>
    </row>
    <row r="3806" spans="1:14" ht="19.5" hidden="1" thickBot="1" x14ac:dyDescent="0.3">
      <c r="A3806" s="503">
        <f t="shared" si="114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09"/>
        <v>04,25</v>
      </c>
      <c r="L3806" s="508" t="s">
        <v>265</v>
      </c>
      <c r="M3806" s="508">
        <v>17590.64</v>
      </c>
      <c r="N3806" s="512">
        <v>0.375</v>
      </c>
    </row>
    <row r="3807" spans="1:14" ht="19.5" hidden="1" thickBot="1" x14ac:dyDescent="0.3">
      <c r="A3807" s="513">
        <f t="shared" si="114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09"/>
        <v>04,25</v>
      </c>
      <c r="L3807" s="518" t="s">
        <v>265</v>
      </c>
      <c r="M3807" s="518">
        <v>12042</v>
      </c>
      <c r="N3807" s="522">
        <v>0.375</v>
      </c>
    </row>
    <row r="3808" spans="1:14" ht="19.5" hidden="1" thickBot="1" x14ac:dyDescent="0.3">
      <c r="A3808" s="551">
        <f t="shared" si="114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09"/>
        <v>04,25</v>
      </c>
      <c r="L3808" s="556" t="s">
        <v>28</v>
      </c>
      <c r="M3808" s="556">
        <v>10575.56</v>
      </c>
      <c r="N3808" s="560">
        <v>0.41666666666666669</v>
      </c>
    </row>
    <row r="3809" spans="1:14" ht="19.5" hidden="1" thickBot="1" x14ac:dyDescent="0.3">
      <c r="A3809" s="513">
        <f t="shared" si="114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09"/>
        <v>04,25</v>
      </c>
      <c r="L3809" s="518" t="s">
        <v>266</v>
      </c>
      <c r="M3809" s="518">
        <v>5265.76</v>
      </c>
      <c r="N3809" s="522">
        <v>0.41666666666666669</v>
      </c>
    </row>
    <row r="3810" spans="1:14" ht="19.5" hidden="1" thickBot="1" x14ac:dyDescent="0.3">
      <c r="A3810" s="503">
        <f t="shared" si="114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09"/>
        <v>04,25</v>
      </c>
      <c r="L3810" s="508" t="s">
        <v>28</v>
      </c>
      <c r="M3810" s="508">
        <v>17313.84</v>
      </c>
      <c r="N3810" s="512">
        <v>0.41666666666666669</v>
      </c>
    </row>
    <row r="3811" spans="1:14" ht="19.5" hidden="1" thickBot="1" x14ac:dyDescent="0.3">
      <c r="A3811" s="711">
        <f t="shared" si="114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09"/>
        <v>04,25</v>
      </c>
      <c r="L3811" s="483" t="s">
        <v>28</v>
      </c>
      <c r="M3811" s="483">
        <v>6008.7900000000009</v>
      </c>
      <c r="N3811" s="486">
        <v>0.45833333333333331</v>
      </c>
    </row>
    <row r="3812" spans="1:14" ht="19.5" hidden="1" thickBot="1" x14ac:dyDescent="0.3">
      <c r="A3812" s="713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09"/>
        <v>04,25</v>
      </c>
      <c r="L3812" s="527" t="s">
        <v>28</v>
      </c>
      <c r="M3812" s="527">
        <v>7743.07</v>
      </c>
      <c r="N3812" s="530">
        <v>0.45833333333333331</v>
      </c>
    </row>
    <row r="3813" spans="1:14" ht="19.5" hidden="1" thickBot="1" x14ac:dyDescent="0.3">
      <c r="A3813" s="724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09"/>
        <v>04,25</v>
      </c>
      <c r="L3813" s="491" t="s">
        <v>28</v>
      </c>
      <c r="M3813" s="491">
        <v>3570</v>
      </c>
      <c r="N3813" s="494">
        <v>0.45833333333333331</v>
      </c>
    </row>
    <row r="3814" spans="1:14" ht="19.5" hidden="1" thickBot="1" x14ac:dyDescent="0.3">
      <c r="A3814" s="714">
        <f t="shared" si="114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09"/>
        <v>04,25</v>
      </c>
      <c r="L3814" s="535" t="s">
        <v>28</v>
      </c>
      <c r="M3814" s="535">
        <v>1619.94</v>
      </c>
      <c r="N3814" s="539">
        <v>0.5</v>
      </c>
    </row>
    <row r="3815" spans="1:14" ht="19.5" hidden="1" thickBot="1" x14ac:dyDescent="0.3">
      <c r="A3815" s="725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09"/>
        <v>04,25</v>
      </c>
      <c r="L3815" s="544" t="s">
        <v>28</v>
      </c>
      <c r="M3815" s="544">
        <v>15614.58</v>
      </c>
      <c r="N3815" s="548">
        <v>0.5</v>
      </c>
    </row>
    <row r="3816" spans="1:14" ht="19.5" hidden="1" thickBot="1" x14ac:dyDescent="0.3">
      <c r="A3816" s="711">
        <f t="shared" si="114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09"/>
        <v>04,25</v>
      </c>
      <c r="L3816" s="483" t="s">
        <v>28</v>
      </c>
      <c r="M3816" s="483">
        <v>12475.92</v>
      </c>
      <c r="N3816" s="486">
        <v>0.54166666666666663</v>
      </c>
    </row>
    <row r="3817" spans="1:14" ht="19.5" hidden="1" thickBot="1" x14ac:dyDescent="0.3">
      <c r="A3817" s="724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09"/>
        <v>04,25</v>
      </c>
      <c r="L3817" s="491" t="s">
        <v>28</v>
      </c>
      <c r="M3817" s="491">
        <v>4589.72</v>
      </c>
      <c r="N3817" s="494">
        <v>0.54166666666666663</v>
      </c>
    </row>
    <row r="3818" spans="1:14" ht="19.5" hidden="1" thickBot="1" x14ac:dyDescent="0.3">
      <c r="A3818" s="714">
        <f t="shared" si="114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09"/>
        <v>04,25</v>
      </c>
      <c r="L3818" s="535" t="s">
        <v>28</v>
      </c>
      <c r="M3818" s="535">
        <v>7473.4800000000014</v>
      </c>
      <c r="N3818" s="539">
        <v>0.58333333333333337</v>
      </c>
    </row>
    <row r="3819" spans="1:14" ht="19.5" hidden="1" thickBot="1" x14ac:dyDescent="0.3">
      <c r="A3819" s="725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09"/>
        <v>04,25</v>
      </c>
      <c r="L3819" s="544" t="s">
        <v>28</v>
      </c>
      <c r="M3819" s="544">
        <v>9726.3700000000008</v>
      </c>
      <c r="N3819" s="548">
        <v>0.58333333333333337</v>
      </c>
    </row>
    <row r="3820" spans="1:14" ht="19.5" hidden="1" thickBot="1" x14ac:dyDescent="0.3">
      <c r="A3820" s="711">
        <f t="shared" si="114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720" t="s">
        <v>72</v>
      </c>
      <c r="H3820" s="483" t="s">
        <v>859</v>
      </c>
      <c r="I3820" s="484" t="s">
        <v>859</v>
      </c>
      <c r="J3820" s="485"/>
      <c r="K3820" s="483" t="str">
        <f t="shared" si="109"/>
        <v>04,25</v>
      </c>
      <c r="L3820" s="483" t="s">
        <v>265</v>
      </c>
      <c r="M3820" s="483">
        <v>7193.2</v>
      </c>
      <c r="N3820" s="486">
        <v>0.33333333333333331</v>
      </c>
    </row>
    <row r="3821" spans="1:14" ht="19.5" hidden="1" thickBot="1" x14ac:dyDescent="0.3">
      <c r="A3821" s="724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727"/>
      <c r="H3821" s="491" t="s">
        <v>859</v>
      </c>
      <c r="I3821" s="492" t="s">
        <v>860</v>
      </c>
      <c r="J3821" s="493"/>
      <c r="K3821" s="491" t="str">
        <f t="shared" si="109"/>
        <v>04,25</v>
      </c>
      <c r="L3821" s="491" t="s">
        <v>265</v>
      </c>
      <c r="M3821" s="491">
        <v>7159.3</v>
      </c>
      <c r="N3821" s="494">
        <v>0.41666666666666669</v>
      </c>
    </row>
    <row r="3822" spans="1:14" ht="19.5" hidden="1" thickBot="1" x14ac:dyDescent="0.3">
      <c r="A3822" s="714">
        <f t="shared" si="114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09"/>
        <v>04,25</v>
      </c>
      <c r="L3822" s="535" t="s">
        <v>28</v>
      </c>
      <c r="M3822" s="535">
        <v>7855.2000000000007</v>
      </c>
      <c r="N3822" s="539">
        <v>0.5</v>
      </c>
    </row>
    <row r="3823" spans="1:14" ht="19.5" hidden="1" thickBot="1" x14ac:dyDescent="0.3">
      <c r="A3823" s="716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09"/>
        <v>04,25</v>
      </c>
      <c r="L3823" s="594" t="s">
        <v>28</v>
      </c>
      <c r="M3823" s="594">
        <v>9276.08</v>
      </c>
      <c r="N3823" s="598">
        <v>0.5</v>
      </c>
    </row>
    <row r="3824" spans="1:14" ht="19.5" hidden="1" thickBot="1" x14ac:dyDescent="0.3">
      <c r="A3824" s="513">
        <f t="shared" si="114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09"/>
        <v>04,25</v>
      </c>
      <c r="L3824" s="518" t="s">
        <v>265</v>
      </c>
      <c r="M3824" s="518">
        <v>17480.359999999997</v>
      </c>
      <c r="N3824" s="522">
        <v>0.375</v>
      </c>
    </row>
    <row r="3825" spans="1:14" ht="19.5" hidden="1" thickBot="1" x14ac:dyDescent="0.3">
      <c r="A3825" s="503">
        <f t="shared" si="114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09"/>
        <v>04,25</v>
      </c>
      <c r="L3825" s="508" t="s">
        <v>266</v>
      </c>
      <c r="M3825" s="508">
        <v>17975.900000000001</v>
      </c>
      <c r="N3825" s="512">
        <v>0.41666666666666669</v>
      </c>
    </row>
    <row r="3826" spans="1:14" ht="19.5" hidden="1" thickBot="1" x14ac:dyDescent="0.3">
      <c r="A3826" s="513">
        <f t="shared" si="114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09"/>
        <v>04,25</v>
      </c>
      <c r="L3826" s="518" t="s">
        <v>266</v>
      </c>
      <c r="M3826" s="518">
        <v>8456.7100000000009</v>
      </c>
      <c r="N3826" s="522">
        <v>0.54166666666666663</v>
      </c>
    </row>
    <row r="3827" spans="1:14" ht="19.5" hidden="1" thickBot="1" x14ac:dyDescent="0.3">
      <c r="A3827" s="503">
        <f t="shared" si="114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09"/>
        <v>04,25</v>
      </c>
      <c r="L3827" s="508" t="s">
        <v>28</v>
      </c>
      <c r="M3827" s="508">
        <v>17423.16</v>
      </c>
      <c r="N3827" s="512">
        <v>0.45833333333333331</v>
      </c>
    </row>
    <row r="3828" spans="1:14" ht="19.5" hidden="1" thickBot="1" x14ac:dyDescent="0.3">
      <c r="A3828" s="711">
        <f t="shared" si="114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09"/>
        <v>04,25</v>
      </c>
      <c r="L3828" s="483" t="s">
        <v>28</v>
      </c>
      <c r="M3828" s="483">
        <v>3981.2200000000003</v>
      </c>
      <c r="N3828" s="486">
        <v>0.5</v>
      </c>
    </row>
    <row r="3829" spans="1:14" ht="19.5" hidden="1" thickBot="1" x14ac:dyDescent="0.3">
      <c r="A3829" s="713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09"/>
        <v>04,25</v>
      </c>
      <c r="L3829" s="527" t="s">
        <v>28</v>
      </c>
      <c r="M3829" s="527">
        <v>2010</v>
      </c>
      <c r="N3829" s="530">
        <v>0.5</v>
      </c>
    </row>
    <row r="3830" spans="1:14" ht="19.5" hidden="1" thickBot="1" x14ac:dyDescent="0.3">
      <c r="A3830" s="724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09"/>
        <v>04,25</v>
      </c>
      <c r="L3830" s="491" t="s">
        <v>28</v>
      </c>
      <c r="M3830" s="491">
        <v>11270.76</v>
      </c>
      <c r="N3830" s="494">
        <v>0.5</v>
      </c>
    </row>
    <row r="3831" spans="1:14" ht="19.5" hidden="1" thickBot="1" x14ac:dyDescent="0.3">
      <c r="A3831" s="714">
        <f t="shared" si="114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09"/>
        <v>04,25</v>
      </c>
      <c r="L3831" s="535" t="s">
        <v>28</v>
      </c>
      <c r="M3831" s="535">
        <v>2133.0500000000002</v>
      </c>
      <c r="N3831" s="539">
        <v>0.54166666666666663</v>
      </c>
    </row>
    <row r="3832" spans="1:14" ht="19.5" hidden="1" thickBot="1" x14ac:dyDescent="0.3">
      <c r="A3832" s="725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09"/>
        <v>04,25</v>
      </c>
      <c r="L3832" s="544" t="s">
        <v>28</v>
      </c>
      <c r="M3832" s="544">
        <v>15150.100000000002</v>
      </c>
      <c r="N3832" s="548">
        <v>0.54166666666666663</v>
      </c>
    </row>
    <row r="3833" spans="1:14" ht="19.5" hidden="1" thickBot="1" x14ac:dyDescent="0.3">
      <c r="A3833" s="711">
        <f t="shared" si="114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09"/>
        <v>04,25</v>
      </c>
      <c r="L3833" s="483" t="s">
        <v>28</v>
      </c>
      <c r="M3833" s="483">
        <v>4257.4000000000005</v>
      </c>
      <c r="N3833" s="486">
        <v>0.41666666666666669</v>
      </c>
    </row>
    <row r="3834" spans="1:14" ht="19.5" hidden="1" thickBot="1" x14ac:dyDescent="0.3">
      <c r="A3834" s="724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09"/>
        <v>04,25</v>
      </c>
      <c r="L3834" s="491" t="s">
        <v>28</v>
      </c>
      <c r="M3834" s="491">
        <v>6943.8400000000011</v>
      </c>
      <c r="N3834" s="494">
        <v>0.41666666666666669</v>
      </c>
    </row>
    <row r="3835" spans="1:14" ht="19.5" hidden="1" thickBot="1" x14ac:dyDescent="0.3">
      <c r="A3835" s="714">
        <f t="shared" si="114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09"/>
        <v>04,25</v>
      </c>
      <c r="L3835" s="535" t="s">
        <v>28</v>
      </c>
      <c r="M3835" s="535">
        <v>2953.8399999999997</v>
      </c>
      <c r="N3835" s="539">
        <v>0.45833333333333331</v>
      </c>
    </row>
    <row r="3836" spans="1:14" ht="19.5" hidden="1" thickBot="1" x14ac:dyDescent="0.3">
      <c r="A3836" s="725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09"/>
        <v>04,25</v>
      </c>
      <c r="L3836" s="544" t="s">
        <v>28</v>
      </c>
      <c r="M3836" s="544">
        <v>9747.9600000000009</v>
      </c>
      <c r="N3836" s="548">
        <v>0.45833333333333331</v>
      </c>
    </row>
    <row r="3837" spans="1:14" ht="19.5" hidden="1" thickBot="1" x14ac:dyDescent="0.3">
      <c r="A3837" s="711">
        <f t="shared" si="114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09"/>
        <v>04,25</v>
      </c>
      <c r="L3837" s="483" t="s">
        <v>28</v>
      </c>
      <c r="M3837" s="483">
        <v>840</v>
      </c>
      <c r="N3837" s="486">
        <v>0.5</v>
      </c>
    </row>
    <row r="3838" spans="1:14" ht="19.5" hidden="1" thickBot="1" x14ac:dyDescent="0.3">
      <c r="A3838" s="724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09"/>
        <v>04,25</v>
      </c>
      <c r="L3838" s="491" t="s">
        <v>28</v>
      </c>
      <c r="M3838" s="491">
        <v>8005.2</v>
      </c>
      <c r="N3838" s="494">
        <v>0.5</v>
      </c>
    </row>
    <row r="3839" spans="1:14" ht="19.5" hidden="1" thickBot="1" x14ac:dyDescent="0.3">
      <c r="A3839" s="503">
        <f t="shared" si="114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09"/>
        <v>04,25</v>
      </c>
      <c r="L3839" s="508" t="s">
        <v>265</v>
      </c>
      <c r="M3839" s="508">
        <v>17568.740000000005</v>
      </c>
      <c r="N3839" s="512">
        <v>0.375</v>
      </c>
    </row>
    <row r="3840" spans="1:14" ht="38.25" hidden="1" thickBot="1" x14ac:dyDescent="0.3">
      <c r="A3840" s="513">
        <f t="shared" si="114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09"/>
        <v>04,25</v>
      </c>
      <c r="L3840" s="518" t="s">
        <v>28</v>
      </c>
      <c r="M3840" s="518">
        <v>5024.3999999999996</v>
      </c>
      <c r="N3840" s="522">
        <v>0.41666666666666669</v>
      </c>
    </row>
    <row r="3841" spans="1:14" ht="57" hidden="1" thickBot="1" x14ac:dyDescent="0.3">
      <c r="A3841" s="503">
        <f t="shared" si="114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09"/>
        <v>04,25</v>
      </c>
      <c r="L3841" s="508" t="s">
        <v>28</v>
      </c>
      <c r="M3841" s="508">
        <v>4077.7200000000003</v>
      </c>
      <c r="N3841" s="512">
        <v>0.41666666666666669</v>
      </c>
    </row>
    <row r="3842" spans="1:14" ht="19.5" hidden="1" thickBot="1" x14ac:dyDescent="0.3">
      <c r="A3842" s="711">
        <f t="shared" si="114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09"/>
        <v>04,25</v>
      </c>
      <c r="L3842" s="483" t="s">
        <v>266</v>
      </c>
      <c r="M3842" s="483">
        <v>15053.55</v>
      </c>
      <c r="N3842" s="486">
        <v>0.5</v>
      </c>
    </row>
    <row r="3843" spans="1:14" ht="19.5" hidden="1" thickBot="1" x14ac:dyDescent="0.3">
      <c r="A3843" s="713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09"/>
        <v>04,25</v>
      </c>
      <c r="L3843" s="499" t="s">
        <v>266</v>
      </c>
      <c r="M3843" s="499">
        <v>2825.5400000000004</v>
      </c>
      <c r="N3843" s="502">
        <v>0.5</v>
      </c>
    </row>
    <row r="3844" spans="1:14" ht="19.5" hidden="1" thickBot="1" x14ac:dyDescent="0.3">
      <c r="A3844" s="503">
        <f t="shared" si="114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09"/>
        <v>04,25</v>
      </c>
      <c r="L3844" s="508" t="s">
        <v>266</v>
      </c>
      <c r="M3844" s="508">
        <v>18149.28</v>
      </c>
      <c r="N3844" s="512">
        <v>0.41666666666666669</v>
      </c>
    </row>
    <row r="3845" spans="1:14" ht="19.5" hidden="1" thickBot="1" x14ac:dyDescent="0.3">
      <c r="A3845" s="513">
        <f t="shared" si="114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09"/>
        <v>04,25</v>
      </c>
      <c r="L3845" s="518" t="s">
        <v>266</v>
      </c>
      <c r="M3845" s="518">
        <v>18070.5</v>
      </c>
      <c r="N3845" s="522">
        <v>0.45833333333333331</v>
      </c>
    </row>
    <row r="3846" spans="1:14" ht="19.5" hidden="1" thickBot="1" x14ac:dyDescent="0.3">
      <c r="A3846" s="616">
        <f t="shared" si="114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09"/>
        <v>04,25</v>
      </c>
      <c r="L3846" s="544" t="s">
        <v>266</v>
      </c>
      <c r="M3846" s="544">
        <v>17962.2</v>
      </c>
      <c r="N3846" s="548">
        <v>0.5</v>
      </c>
    </row>
    <row r="3847" spans="1:14" ht="38.25" hidden="1" thickBot="1" x14ac:dyDescent="0.3">
      <c r="A3847" s="513">
        <f t="shared" si="114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09"/>
        <v>04,25</v>
      </c>
      <c r="L3847" s="518" t="s">
        <v>28</v>
      </c>
      <c r="M3847" s="518">
        <v>18000.419999999998</v>
      </c>
      <c r="N3847" s="522">
        <v>0.54166666666666663</v>
      </c>
    </row>
    <row r="3848" spans="1:14" ht="19.5" hidden="1" thickBot="1" x14ac:dyDescent="0.3">
      <c r="A3848" s="716">
        <f t="shared" si="114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09"/>
        <v>04,25</v>
      </c>
      <c r="L3848" s="567" t="s">
        <v>266</v>
      </c>
      <c r="M3848" s="567">
        <v>1711.65</v>
      </c>
      <c r="N3848" s="571">
        <v>0.58333333333333337</v>
      </c>
    </row>
    <row r="3849" spans="1:14" ht="19.5" hidden="1" thickBot="1" x14ac:dyDescent="0.3">
      <c r="A3849" s="716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09"/>
        <v>04,25</v>
      </c>
      <c r="L3849" s="567" t="s">
        <v>266</v>
      </c>
      <c r="M3849" s="567">
        <v>1660.1999999999998</v>
      </c>
      <c r="N3849" s="571">
        <v>0.58333333333333337</v>
      </c>
    </row>
    <row r="3850" spans="1:14" ht="19.5" hidden="1" thickBot="1" x14ac:dyDescent="0.3">
      <c r="A3850" s="716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09"/>
        <v>04,25</v>
      </c>
      <c r="L3850" s="567" t="s">
        <v>266</v>
      </c>
      <c r="M3850" s="567">
        <v>6379.7800000000007</v>
      </c>
      <c r="N3850" s="571">
        <v>0.58333333333333337</v>
      </c>
    </row>
    <row r="3851" spans="1:14" ht="19.5" hidden="1" thickBot="1" x14ac:dyDescent="0.3">
      <c r="A3851" s="716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09"/>
        <v>04,25</v>
      </c>
      <c r="L3851" s="567" t="s">
        <v>266</v>
      </c>
      <c r="M3851" s="567">
        <v>5541.0399999999981</v>
      </c>
      <c r="N3851" s="571">
        <v>0.58333333333333337</v>
      </c>
    </row>
    <row r="3852" spans="1:14" ht="19.5" hidden="1" thickBot="1" x14ac:dyDescent="0.3">
      <c r="A3852" s="716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09"/>
        <v>04,25</v>
      </c>
      <c r="L3852" s="567" t="s">
        <v>266</v>
      </c>
      <c r="M3852" s="567">
        <v>886.79999999999984</v>
      </c>
      <c r="N3852" s="571">
        <v>0.58333333333333337</v>
      </c>
    </row>
    <row r="3853" spans="1:14" ht="19.5" hidden="1" thickBot="1" x14ac:dyDescent="0.3">
      <c r="A3853" s="716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09"/>
        <v>04,25</v>
      </c>
      <c r="L3853" s="594" t="s">
        <v>266</v>
      </c>
      <c r="M3853" s="594">
        <v>1786.2</v>
      </c>
      <c r="N3853" s="598">
        <v>0.58333333333333337</v>
      </c>
    </row>
    <row r="3854" spans="1:14" ht="19.5" hidden="1" thickBot="1" x14ac:dyDescent="0.3">
      <c r="A3854" s="711">
        <f t="shared" si="114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09"/>
        <v>04,25</v>
      </c>
      <c r="L3854" s="483" t="s">
        <v>265</v>
      </c>
      <c r="M3854" s="483">
        <v>13387.080000000002</v>
      </c>
      <c r="N3854" s="486">
        <v>0.375</v>
      </c>
    </row>
    <row r="3855" spans="1:14" ht="19.5" hidden="1" thickBot="1" x14ac:dyDescent="0.3">
      <c r="A3855" s="724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09"/>
        <v>04,25</v>
      </c>
      <c r="L3855" s="491" t="s">
        <v>265</v>
      </c>
      <c r="M3855" s="491">
        <v>4104.2</v>
      </c>
      <c r="N3855" s="494">
        <v>0.375</v>
      </c>
    </row>
    <row r="3856" spans="1:14" ht="19.5" hidden="1" thickBot="1" x14ac:dyDescent="0.3">
      <c r="A3856" s="503">
        <f t="shared" si="114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09"/>
        <v>04,25</v>
      </c>
      <c r="L3856" s="508" t="s">
        <v>266</v>
      </c>
      <c r="M3856" s="508">
        <v>17903.46</v>
      </c>
      <c r="N3856" s="512">
        <v>0.5</v>
      </c>
    </row>
    <row r="3857" spans="1:14" ht="19.5" hidden="1" thickBot="1" x14ac:dyDescent="0.3">
      <c r="A3857" s="513">
        <f t="shared" si="114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09"/>
        <v>04,25</v>
      </c>
      <c r="L3857" s="518" t="s">
        <v>265</v>
      </c>
      <c r="M3857" s="518">
        <v>12021.800000000001</v>
      </c>
      <c r="N3857" s="522">
        <v>0.375</v>
      </c>
    </row>
    <row r="3858" spans="1:14" ht="19.5" hidden="1" thickBot="1" x14ac:dyDescent="0.3">
      <c r="A3858" s="551">
        <f t="shared" si="114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09"/>
        <v>04,25</v>
      </c>
      <c r="L3858" s="556" t="s">
        <v>28</v>
      </c>
      <c r="M3858" s="556">
        <v>8864.76</v>
      </c>
      <c r="N3858" s="560">
        <v>0.5</v>
      </c>
    </row>
    <row r="3859" spans="1:14" ht="19.5" hidden="1" thickBot="1" x14ac:dyDescent="0.3">
      <c r="A3859" s="711">
        <f t="shared" si="114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09"/>
        <v>04,25</v>
      </c>
      <c r="L3859" s="483" t="s">
        <v>28</v>
      </c>
      <c r="M3859" s="483">
        <v>10214.959999999999</v>
      </c>
      <c r="N3859" s="486">
        <v>0.41666666666666669</v>
      </c>
    </row>
    <row r="3860" spans="1:14" ht="19.5" hidden="1" thickBot="1" x14ac:dyDescent="0.3">
      <c r="A3860" s="724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09"/>
        <v>04,25</v>
      </c>
      <c r="L3860" s="491" t="s">
        <v>28</v>
      </c>
      <c r="M3860" s="491">
        <v>7209.06</v>
      </c>
      <c r="N3860" s="494">
        <v>0.41666666666666669</v>
      </c>
    </row>
    <row r="3861" spans="1:14" ht="19.5" hidden="1" thickBot="1" x14ac:dyDescent="0.3">
      <c r="A3861" s="714">
        <f t="shared" ref="A3861:A3922" si="115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09"/>
        <v>04,25</v>
      </c>
      <c r="L3861" s="535" t="s">
        <v>28</v>
      </c>
      <c r="M3861" s="535">
        <v>4275.66</v>
      </c>
      <c r="N3861" s="539">
        <v>0.45833333333333331</v>
      </c>
    </row>
    <row r="3862" spans="1:14" ht="19.5" hidden="1" thickBot="1" x14ac:dyDescent="0.3">
      <c r="A3862" s="716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09"/>
        <v>04,25</v>
      </c>
      <c r="L3862" s="567" t="s">
        <v>28</v>
      </c>
      <c r="M3862" s="567">
        <v>1012.8</v>
      </c>
      <c r="N3862" s="571">
        <v>0.45833333333333331</v>
      </c>
    </row>
    <row r="3863" spans="1:14" ht="19.5" hidden="1" thickBot="1" x14ac:dyDescent="0.3">
      <c r="A3863" s="716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09"/>
        <v>04,25</v>
      </c>
      <c r="L3863" s="567" t="s">
        <v>28</v>
      </c>
      <c r="M3863" s="567">
        <v>3449.7599999999998</v>
      </c>
      <c r="N3863" s="571">
        <v>0.45833333333333331</v>
      </c>
    </row>
    <row r="3864" spans="1:14" ht="19.5" hidden="1" thickBot="1" x14ac:dyDescent="0.3">
      <c r="A3864" s="725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09"/>
        <v>04,25</v>
      </c>
      <c r="L3864" s="544" t="s">
        <v>28</v>
      </c>
      <c r="M3864" s="544">
        <v>8702.9399999999987</v>
      </c>
      <c r="N3864" s="548">
        <v>0.45833333333333331</v>
      </c>
    </row>
    <row r="3865" spans="1:14" ht="19.5" hidden="1" thickBot="1" x14ac:dyDescent="0.3">
      <c r="A3865" s="572">
        <f t="shared" si="115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09"/>
        <v>01,25</v>
      </c>
      <c r="L3865" s="577" t="s">
        <v>265</v>
      </c>
      <c r="M3865" s="577">
        <v>11999.680000000002</v>
      </c>
      <c r="N3865" s="581">
        <v>0.375</v>
      </c>
    </row>
    <row r="3866" spans="1:14" ht="19.5" hidden="1" thickBot="1" x14ac:dyDescent="0.3">
      <c r="A3866" s="503">
        <f t="shared" si="115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09"/>
        <v>04,25</v>
      </c>
      <c r="L3866" s="508" t="s">
        <v>265</v>
      </c>
      <c r="M3866" s="508">
        <v>17122.22</v>
      </c>
      <c r="N3866" s="512">
        <v>0.375</v>
      </c>
    </row>
    <row r="3867" spans="1:14" ht="19.5" hidden="1" thickBot="1" x14ac:dyDescent="0.3">
      <c r="A3867" s="711">
        <f t="shared" si="115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09"/>
        <v>04,25</v>
      </c>
      <c r="L3867" s="483" t="s">
        <v>28</v>
      </c>
      <c r="M3867" s="483">
        <v>755.31</v>
      </c>
      <c r="N3867" s="486">
        <v>0.41666666666666669</v>
      </c>
    </row>
    <row r="3868" spans="1:14" ht="19.5" hidden="1" thickBot="1" x14ac:dyDescent="0.3">
      <c r="A3868" s="713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09"/>
        <v>04,25</v>
      </c>
      <c r="L3868" s="527" t="s">
        <v>28</v>
      </c>
      <c r="M3868" s="527">
        <v>2593.8399999999997</v>
      </c>
      <c r="N3868" s="530">
        <v>0.41666666666666669</v>
      </c>
    </row>
    <row r="3869" spans="1:14" ht="19.5" hidden="1" thickBot="1" x14ac:dyDescent="0.3">
      <c r="A3869" s="713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09"/>
        <v>04,25</v>
      </c>
      <c r="L3869" s="527" t="s">
        <v>28</v>
      </c>
      <c r="M3869" s="527">
        <v>3917.2000000000003</v>
      </c>
      <c r="N3869" s="530">
        <v>0.41666666666666669</v>
      </c>
    </row>
    <row r="3870" spans="1:14" ht="19.5" hidden="1" thickBot="1" x14ac:dyDescent="0.3">
      <c r="A3870" s="713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09"/>
        <v>04,25</v>
      </c>
      <c r="L3870" s="527" t="s">
        <v>28</v>
      </c>
      <c r="M3870" s="527">
        <v>1382.58</v>
      </c>
      <c r="N3870" s="530">
        <v>0.41666666666666669</v>
      </c>
    </row>
    <row r="3871" spans="1:14" ht="19.5" hidden="1" thickBot="1" x14ac:dyDescent="0.3">
      <c r="A3871" s="713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09"/>
        <v>04,25</v>
      </c>
      <c r="L3871" s="527" t="s">
        <v>28</v>
      </c>
      <c r="M3871" s="527">
        <v>4286.92</v>
      </c>
      <c r="N3871" s="530">
        <v>0.41666666666666669</v>
      </c>
    </row>
    <row r="3872" spans="1:14" ht="19.5" hidden="1" thickBot="1" x14ac:dyDescent="0.3">
      <c r="A3872" s="724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09"/>
        <v>04,25</v>
      </c>
      <c r="L3872" s="491" t="s">
        <v>28</v>
      </c>
      <c r="M3872" s="491">
        <v>5110.3200000000006</v>
      </c>
      <c r="N3872" s="494">
        <v>0.41666666666666669</v>
      </c>
    </row>
    <row r="3873" spans="1:14" ht="19.5" hidden="1" thickBot="1" x14ac:dyDescent="0.3">
      <c r="A3873" s="503">
        <f t="shared" si="115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09"/>
        <v>04,25</v>
      </c>
      <c r="L3873" s="508" t="s">
        <v>265</v>
      </c>
      <c r="M3873" s="508">
        <v>17288.22</v>
      </c>
      <c r="N3873" s="512">
        <v>0.375</v>
      </c>
    </row>
    <row r="3874" spans="1:14" ht="19.5" hidden="1" thickBot="1" x14ac:dyDescent="0.3">
      <c r="A3874" s="711">
        <f t="shared" si="115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09"/>
        <v>04,25</v>
      </c>
      <c r="L3874" s="483" t="s">
        <v>28</v>
      </c>
      <c r="M3874" s="483">
        <v>10412.799999999999</v>
      </c>
      <c r="N3874" s="486">
        <v>0.41666666666666669</v>
      </c>
    </row>
    <row r="3875" spans="1:14" ht="19.5" hidden="1" thickBot="1" x14ac:dyDescent="0.3">
      <c r="A3875" s="724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09"/>
        <v>04,25</v>
      </c>
      <c r="L3875" s="491" t="s">
        <v>28</v>
      </c>
      <c r="M3875" s="491">
        <v>2765.9599999999996</v>
      </c>
      <c r="N3875" s="494">
        <v>0.41666666666666669</v>
      </c>
    </row>
    <row r="3876" spans="1:14" ht="19.5" hidden="1" thickBot="1" x14ac:dyDescent="0.3">
      <c r="A3876" s="714">
        <f t="shared" si="115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09"/>
        <v>04,25</v>
      </c>
      <c r="L3876" s="535" t="s">
        <v>28</v>
      </c>
      <c r="M3876" s="535">
        <v>1590.84</v>
      </c>
      <c r="N3876" s="539">
        <v>0.45833333333333331</v>
      </c>
    </row>
    <row r="3877" spans="1:14" ht="19.5" hidden="1" thickBot="1" x14ac:dyDescent="0.3">
      <c r="A3877" s="716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09"/>
        <v>04,25</v>
      </c>
      <c r="L3877" s="567" t="s">
        <v>28</v>
      </c>
      <c r="M3877" s="567">
        <v>1008</v>
      </c>
      <c r="N3877" s="571">
        <v>0.45833333333333331</v>
      </c>
    </row>
    <row r="3878" spans="1:14" ht="19.5" hidden="1" thickBot="1" x14ac:dyDescent="0.3">
      <c r="A3878" s="716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09"/>
        <v>04,25</v>
      </c>
      <c r="L3878" s="567" t="s">
        <v>28</v>
      </c>
      <c r="M3878" s="567">
        <v>1802.76</v>
      </c>
      <c r="N3878" s="571">
        <v>0.45833333333333331</v>
      </c>
    </row>
    <row r="3879" spans="1:14" ht="19.5" hidden="1" thickBot="1" x14ac:dyDescent="0.3">
      <c r="A3879" s="725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09"/>
        <v>04,25</v>
      </c>
      <c r="L3879" s="544" t="s">
        <v>28</v>
      </c>
      <c r="M3879" s="544">
        <v>4827.2800000000007</v>
      </c>
      <c r="N3879" s="548">
        <v>0.45833333333333331</v>
      </c>
    </row>
    <row r="3880" spans="1:14" ht="57" hidden="1" thickBot="1" x14ac:dyDescent="0.3">
      <c r="A3880" s="572">
        <f t="shared" si="115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09"/>
        <v>05,25</v>
      </c>
      <c r="L3880" s="577" t="s">
        <v>28</v>
      </c>
      <c r="M3880" s="577">
        <v>4095.72</v>
      </c>
      <c r="N3880" s="581">
        <v>0.41666666666666669</v>
      </c>
    </row>
    <row r="3881" spans="1:14" ht="19.5" hidden="1" thickBot="1" x14ac:dyDescent="0.3">
      <c r="A3881" s="513">
        <f t="shared" si="115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09"/>
        <v>05,25</v>
      </c>
      <c r="L3881" s="518" t="s">
        <v>266</v>
      </c>
      <c r="M3881" s="518">
        <v>18162.66</v>
      </c>
      <c r="N3881" s="522">
        <v>0.41666666666666669</v>
      </c>
    </row>
    <row r="3882" spans="1:14" ht="19.5" hidden="1" thickBot="1" x14ac:dyDescent="0.3">
      <c r="A3882" s="503">
        <f t="shared" si="115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09"/>
        <v>05,25</v>
      </c>
      <c r="L3882" s="508" t="s">
        <v>266</v>
      </c>
      <c r="M3882" s="508">
        <v>18149.52</v>
      </c>
      <c r="N3882" s="512">
        <v>0.45833333333333331</v>
      </c>
    </row>
    <row r="3883" spans="1:14" ht="19.5" hidden="1" thickBot="1" x14ac:dyDescent="0.3">
      <c r="A3883" s="513">
        <f t="shared" si="115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09"/>
        <v>05,25</v>
      </c>
      <c r="L3883" s="518" t="s">
        <v>266</v>
      </c>
      <c r="M3883" s="518">
        <v>7748.5</v>
      </c>
      <c r="N3883" s="522">
        <v>0.5</v>
      </c>
    </row>
    <row r="3884" spans="1:14" ht="19.5" hidden="1" thickBot="1" x14ac:dyDescent="0.3">
      <c r="A3884" s="714">
        <f t="shared" si="115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09"/>
        <v>05,25</v>
      </c>
      <c r="L3884" s="535" t="s">
        <v>266</v>
      </c>
      <c r="M3884" s="535">
        <v>3194.5600000000009</v>
      </c>
      <c r="N3884" s="539">
        <v>0.54166666666666663</v>
      </c>
    </row>
    <row r="3885" spans="1:14" ht="19.5" hidden="1" thickBot="1" x14ac:dyDescent="0.3">
      <c r="A3885" s="716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09"/>
        <v>05,25</v>
      </c>
      <c r="L3885" s="567" t="s">
        <v>266</v>
      </c>
      <c r="M3885" s="567">
        <v>999.05</v>
      </c>
      <c r="N3885" s="571">
        <v>0.54166666666666663</v>
      </c>
    </row>
    <row r="3886" spans="1:14" ht="19.5" hidden="1" thickBot="1" x14ac:dyDescent="0.3">
      <c r="A3886" s="716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09"/>
        <v>05,25</v>
      </c>
      <c r="L3886" s="567" t="s">
        <v>266</v>
      </c>
      <c r="M3886" s="567">
        <v>1090.2199999999998</v>
      </c>
      <c r="N3886" s="571">
        <v>0.54166666666666663</v>
      </c>
    </row>
    <row r="3887" spans="1:14" ht="19.5" hidden="1" thickBot="1" x14ac:dyDescent="0.3">
      <c r="A3887" s="716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09"/>
        <v>05,25</v>
      </c>
      <c r="L3887" s="567" t="s">
        <v>266</v>
      </c>
      <c r="M3887" s="567">
        <v>5018.82</v>
      </c>
      <c r="N3887" s="571">
        <v>0.54166666666666663</v>
      </c>
    </row>
    <row r="3888" spans="1:14" ht="19.5" hidden="1" thickBot="1" x14ac:dyDescent="0.3">
      <c r="A3888" s="716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09"/>
        <v>05,25</v>
      </c>
      <c r="L3888" s="567" t="s">
        <v>266</v>
      </c>
      <c r="M3888" s="567">
        <v>4800</v>
      </c>
      <c r="N3888" s="571">
        <v>0.54166666666666663</v>
      </c>
    </row>
    <row r="3889" spans="1:14" ht="19.5" hidden="1" thickBot="1" x14ac:dyDescent="0.3">
      <c r="A3889" s="716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09"/>
        <v>05,25</v>
      </c>
      <c r="L3889" s="594" t="s">
        <v>266</v>
      </c>
      <c r="M3889" s="594">
        <v>1498.44</v>
      </c>
      <c r="N3889" s="598">
        <v>0.54166666666666663</v>
      </c>
    </row>
    <row r="3890" spans="1:14" ht="19.5" hidden="1" thickBot="1" x14ac:dyDescent="0.3">
      <c r="A3890" s="711">
        <f t="shared" si="115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09"/>
        <v>05,25</v>
      </c>
      <c r="L3890" s="483" t="s">
        <v>265</v>
      </c>
      <c r="M3890" s="483">
        <v>11964.140000000003</v>
      </c>
      <c r="N3890" s="486">
        <v>0.375</v>
      </c>
    </row>
    <row r="3891" spans="1:14" ht="19.5" hidden="1" thickBot="1" x14ac:dyDescent="0.3">
      <c r="A3891" s="724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09"/>
        <v>05,25</v>
      </c>
      <c r="L3891" s="491" t="s">
        <v>265</v>
      </c>
      <c r="M3891" s="491">
        <v>5367.4000000000005</v>
      </c>
      <c r="N3891" s="494">
        <v>0.375</v>
      </c>
    </row>
    <row r="3892" spans="1:14" ht="19.5" hidden="1" thickBot="1" x14ac:dyDescent="0.3">
      <c r="A3892" s="503">
        <f t="shared" si="115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09"/>
        <v>05,25</v>
      </c>
      <c r="L3892" s="508" t="s">
        <v>28</v>
      </c>
      <c r="M3892" s="508">
        <v>15381.199999999999</v>
      </c>
      <c r="N3892" s="512">
        <v>0.5</v>
      </c>
    </row>
    <row r="3893" spans="1:14" ht="19.5" hidden="1" thickBot="1" x14ac:dyDescent="0.3">
      <c r="A3893" s="513">
        <f t="shared" si="115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09"/>
        <v>05,25</v>
      </c>
      <c r="L3893" s="518" t="s">
        <v>265</v>
      </c>
      <c r="M3893" s="518">
        <v>17487.200000000004</v>
      </c>
      <c r="N3893" s="522">
        <v>0.375</v>
      </c>
    </row>
    <row r="3894" spans="1:14" ht="19.5" hidden="1" thickBot="1" x14ac:dyDescent="0.3">
      <c r="A3894" s="551">
        <f t="shared" si="115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09"/>
        <v>05,25</v>
      </c>
      <c r="L3894" s="556" t="s">
        <v>265</v>
      </c>
      <c r="M3894" s="556">
        <v>11961.24</v>
      </c>
      <c r="N3894" s="560">
        <v>0.375</v>
      </c>
    </row>
    <row r="3895" spans="1:14" ht="19.5" hidden="1" thickBot="1" x14ac:dyDescent="0.3">
      <c r="A3895" s="711">
        <f t="shared" si="115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720" t="s">
        <v>72</v>
      </c>
      <c r="H3895" s="483" t="s">
        <v>876</v>
      </c>
      <c r="I3895" s="484" t="s">
        <v>876</v>
      </c>
      <c r="J3895" s="485"/>
      <c r="K3895" s="483" t="str">
        <f t="shared" si="109"/>
        <v>05,25</v>
      </c>
      <c r="L3895" s="483" t="s">
        <v>265</v>
      </c>
      <c r="M3895" s="483">
        <v>8045.48</v>
      </c>
      <c r="N3895" s="486">
        <v>0.33333333333333331</v>
      </c>
    </row>
    <row r="3896" spans="1:14" ht="19.5" hidden="1" thickBot="1" x14ac:dyDescent="0.3">
      <c r="A3896" s="724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727"/>
      <c r="H3896" s="491" t="s">
        <v>876</v>
      </c>
      <c r="I3896" s="492" t="s">
        <v>876</v>
      </c>
      <c r="J3896" s="493"/>
      <c r="K3896" s="491" t="str">
        <f t="shared" si="109"/>
        <v>05,25</v>
      </c>
      <c r="L3896" s="491" t="s">
        <v>265</v>
      </c>
      <c r="M3896" s="491">
        <v>5203.3599999999997</v>
      </c>
      <c r="N3896" s="494">
        <v>0.41666666666666669</v>
      </c>
    </row>
    <row r="3897" spans="1:14" ht="19.5" hidden="1" thickBot="1" x14ac:dyDescent="0.3">
      <c r="A3897" s="714">
        <f t="shared" si="115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09"/>
        <v>05,25</v>
      </c>
      <c r="L3897" s="535" t="s">
        <v>28</v>
      </c>
      <c r="M3897" s="535">
        <v>700.08</v>
      </c>
      <c r="N3897" s="539">
        <v>0.41666666666666669</v>
      </c>
    </row>
    <row r="3898" spans="1:14" ht="19.5" hidden="1" thickBot="1" x14ac:dyDescent="0.3">
      <c r="A3898" s="716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09"/>
        <v>05,25</v>
      </c>
      <c r="L3898" s="567" t="s">
        <v>28</v>
      </c>
      <c r="M3898" s="567">
        <v>11127.56</v>
      </c>
      <c r="N3898" s="571">
        <v>0.41666666666666669</v>
      </c>
    </row>
    <row r="3899" spans="1:14" ht="19.5" hidden="1" thickBot="1" x14ac:dyDescent="0.3">
      <c r="A3899" s="725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09"/>
        <v>05,25</v>
      </c>
      <c r="L3899" s="544" t="s">
        <v>28</v>
      </c>
      <c r="M3899" s="544">
        <v>5385.5399999999991</v>
      </c>
      <c r="N3899" s="548">
        <v>0.41666666666666669</v>
      </c>
    </row>
    <row r="3900" spans="1:14" ht="19.5" hidden="1" thickBot="1" x14ac:dyDescent="0.3">
      <c r="A3900" s="711">
        <f t="shared" si="115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09"/>
        <v>05,25</v>
      </c>
      <c r="L3900" s="483" t="s">
        <v>28</v>
      </c>
      <c r="M3900" s="483">
        <v>3547.5899999999997</v>
      </c>
      <c r="N3900" s="486">
        <v>0.45833333333333331</v>
      </c>
    </row>
    <row r="3901" spans="1:14" ht="19.5" hidden="1" thickBot="1" x14ac:dyDescent="0.3">
      <c r="A3901" s="713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09"/>
        <v>05,25</v>
      </c>
      <c r="L3901" s="527" t="s">
        <v>28</v>
      </c>
      <c r="M3901" s="527">
        <v>1008</v>
      </c>
      <c r="N3901" s="530">
        <v>0.45833333333333331</v>
      </c>
    </row>
    <row r="3902" spans="1:14" ht="19.5" hidden="1" thickBot="1" x14ac:dyDescent="0.3">
      <c r="A3902" s="713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09"/>
        <v>05,25</v>
      </c>
      <c r="L3902" s="527" t="s">
        <v>28</v>
      </c>
      <c r="M3902" s="527">
        <v>9304.34</v>
      </c>
      <c r="N3902" s="530">
        <v>0.45833333333333331</v>
      </c>
    </row>
    <row r="3903" spans="1:14" ht="19.5" hidden="1" thickBot="1" x14ac:dyDescent="0.3">
      <c r="A3903" s="724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09"/>
        <v>05,25</v>
      </c>
      <c r="L3903" s="491" t="s">
        <v>28</v>
      </c>
      <c r="M3903" s="491">
        <v>3362.32</v>
      </c>
      <c r="N3903" s="494">
        <v>0.45833333333333331</v>
      </c>
    </row>
    <row r="3904" spans="1:14" ht="38.25" hidden="1" thickBot="1" x14ac:dyDescent="0.3">
      <c r="A3904" s="551">
        <f t="shared" si="115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09"/>
        <v>05,25</v>
      </c>
      <c r="L3904" s="556" t="s">
        <v>266</v>
      </c>
      <c r="M3904" s="556">
        <v>17013.72</v>
      </c>
      <c r="N3904" s="560">
        <v>0.5</v>
      </c>
    </row>
    <row r="3905" spans="1:14" ht="19.5" hidden="1" thickBot="1" x14ac:dyDescent="0.3">
      <c r="A3905" s="513">
        <f t="shared" si="115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09"/>
        <v>05,25</v>
      </c>
      <c r="L3905" s="518" t="s">
        <v>265</v>
      </c>
      <c r="M3905" s="518">
        <v>17716.099999999999</v>
      </c>
      <c r="N3905" s="522">
        <v>0.375</v>
      </c>
    </row>
    <row r="3906" spans="1:14" ht="19.5" hidden="1" thickBot="1" x14ac:dyDescent="0.3">
      <c r="A3906" s="714">
        <f t="shared" si="115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09"/>
        <v>05,25</v>
      </c>
      <c r="L3906" s="535" t="s">
        <v>28</v>
      </c>
      <c r="M3906" s="535">
        <v>2174.4499999999998</v>
      </c>
      <c r="N3906" s="539">
        <v>0.41666666666666669</v>
      </c>
    </row>
    <row r="3907" spans="1:14" ht="19.5" hidden="1" thickBot="1" x14ac:dyDescent="0.3">
      <c r="A3907" s="716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09"/>
        <v>05,25</v>
      </c>
      <c r="L3907" s="567" t="s">
        <v>28</v>
      </c>
      <c r="M3907" s="567">
        <v>10589.499999999998</v>
      </c>
      <c r="N3907" s="571">
        <v>0.41666666666666669</v>
      </c>
    </row>
    <row r="3908" spans="1:14" ht="19.5" hidden="1" thickBot="1" x14ac:dyDescent="0.3">
      <c r="A3908" s="725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09"/>
        <v>05,25</v>
      </c>
      <c r="L3908" s="544" t="s">
        <v>28</v>
      </c>
      <c r="M3908" s="544">
        <v>4835.6899999999996</v>
      </c>
      <c r="N3908" s="548">
        <v>0.41666666666666669</v>
      </c>
    </row>
    <row r="3909" spans="1:14" ht="19.5" hidden="1" thickBot="1" x14ac:dyDescent="0.3">
      <c r="A3909" s="711">
        <f t="shared" si="115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720" t="s">
        <v>879</v>
      </c>
      <c r="H3909" s="483" t="s">
        <v>878</v>
      </c>
      <c r="I3909" s="484" t="s">
        <v>878</v>
      </c>
      <c r="J3909" s="485"/>
      <c r="K3909" s="491" t="str">
        <f t="shared" si="109"/>
        <v>05,25</v>
      </c>
      <c r="L3909" s="483" t="s">
        <v>28</v>
      </c>
      <c r="M3909" s="483">
        <v>5356.28</v>
      </c>
      <c r="N3909" s="486">
        <v>0.41666666666666669</v>
      </c>
    </row>
    <row r="3910" spans="1:14" ht="19.5" hidden="1" thickBot="1" x14ac:dyDescent="0.3">
      <c r="A3910" s="713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722"/>
      <c r="H3910" s="527" t="s">
        <v>878</v>
      </c>
      <c r="I3910" s="528" t="s">
        <v>878</v>
      </c>
      <c r="J3910" s="529"/>
      <c r="K3910" s="491" t="str">
        <f t="shared" si="109"/>
        <v>05,25</v>
      </c>
      <c r="L3910" s="527" t="s">
        <v>28</v>
      </c>
      <c r="M3910" s="527">
        <v>2702.0199999999995</v>
      </c>
      <c r="N3910" s="530">
        <v>0.41666666666666669</v>
      </c>
    </row>
    <row r="3911" spans="1:14" ht="19.5" hidden="1" thickBot="1" x14ac:dyDescent="0.3">
      <c r="A3911" s="724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727"/>
      <c r="H3911" s="491" t="s">
        <v>878</v>
      </c>
      <c r="I3911" s="492" t="s">
        <v>878</v>
      </c>
      <c r="J3911" s="493"/>
      <c r="K3911" s="491" t="str">
        <f t="shared" si="109"/>
        <v>05,25</v>
      </c>
      <c r="L3911" s="491" t="s">
        <v>28</v>
      </c>
      <c r="M3911" s="491">
        <v>2398.2600000000002</v>
      </c>
      <c r="N3911" s="494">
        <v>0.41666666666666669</v>
      </c>
    </row>
    <row r="3912" spans="1:14" ht="28.5" hidden="1" customHeight="1" thickBot="1" x14ac:dyDescent="0.3">
      <c r="A3912" s="714">
        <f t="shared" si="115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717" t="s">
        <v>880</v>
      </c>
      <c r="H3912" s="535" t="s">
        <v>877</v>
      </c>
      <c r="I3912" s="537" t="s">
        <v>878</v>
      </c>
      <c r="J3912" s="538"/>
      <c r="K3912" s="491" t="str">
        <f t="shared" si="109"/>
        <v>05,25</v>
      </c>
      <c r="L3912" s="535" t="s">
        <v>28</v>
      </c>
      <c r="M3912" s="535">
        <v>3905.7599999999998</v>
      </c>
      <c r="N3912" s="539">
        <v>0.41666666666666669</v>
      </c>
    </row>
    <row r="3913" spans="1:14" ht="28.5" hidden="1" customHeight="1" thickBot="1" x14ac:dyDescent="0.3">
      <c r="A3913" s="725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726"/>
      <c r="H3913" s="544" t="s">
        <v>877</v>
      </c>
      <c r="I3913" s="546" t="s">
        <v>878</v>
      </c>
      <c r="J3913" s="547"/>
      <c r="K3913" s="491" t="str">
        <f t="shared" si="109"/>
        <v>05,25</v>
      </c>
      <c r="L3913" s="544" t="s">
        <v>28</v>
      </c>
      <c r="M3913" s="544">
        <v>7800.68</v>
      </c>
      <c r="N3913" s="548">
        <v>0.41666666666666669</v>
      </c>
    </row>
    <row r="3914" spans="1:14" ht="19.5" hidden="1" thickBot="1" x14ac:dyDescent="0.3">
      <c r="A3914" s="711">
        <f t="shared" si="115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09"/>
        <v>05,25</v>
      </c>
      <c r="L3914" s="483" t="s">
        <v>28</v>
      </c>
      <c r="M3914" s="483">
        <v>5067.24</v>
      </c>
      <c r="N3914" s="486">
        <v>0.45833333333333331</v>
      </c>
    </row>
    <row r="3915" spans="1:14" ht="19.5" hidden="1" thickBot="1" x14ac:dyDescent="0.3">
      <c r="A3915" s="724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09"/>
        <v>05,25</v>
      </c>
      <c r="L3915" s="491" t="s">
        <v>28</v>
      </c>
      <c r="M3915" s="491">
        <v>7121.52</v>
      </c>
      <c r="N3915" s="494">
        <v>0.45833333333333331</v>
      </c>
    </row>
    <row r="3916" spans="1:14" ht="57" hidden="1" thickBot="1" x14ac:dyDescent="0.3">
      <c r="A3916" s="503">
        <f t="shared" si="115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09"/>
        <v>05,25</v>
      </c>
      <c r="L3916" s="508" t="s">
        <v>28</v>
      </c>
      <c r="M3916" s="508">
        <v>5132.0200000000013</v>
      </c>
      <c r="N3916" s="512">
        <v>0.41666666666666669</v>
      </c>
    </row>
    <row r="3917" spans="1:14" ht="38.25" hidden="1" thickBot="1" x14ac:dyDescent="0.3">
      <c r="A3917" s="572">
        <f t="shared" si="115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09"/>
        <v>05,25</v>
      </c>
      <c r="L3917" s="577" t="s">
        <v>28</v>
      </c>
      <c r="M3917" s="577">
        <v>17763.560000000001</v>
      </c>
      <c r="N3917" s="581">
        <v>0.5</v>
      </c>
    </row>
    <row r="3918" spans="1:14" ht="19.5" hidden="1" thickBot="1" x14ac:dyDescent="0.3">
      <c r="A3918" s="503">
        <f t="shared" si="115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09"/>
        <v>05,25</v>
      </c>
      <c r="L3918" s="508" t="s">
        <v>266</v>
      </c>
      <c r="M3918" s="508">
        <v>18058.500000000004</v>
      </c>
      <c r="N3918" s="512">
        <v>0.41666666666666669</v>
      </c>
    </row>
    <row r="3919" spans="1:14" ht="19.5" hidden="1" thickBot="1" x14ac:dyDescent="0.3">
      <c r="A3919" s="513">
        <f t="shared" si="115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09"/>
        <v>05,25</v>
      </c>
      <c r="L3919" s="518" t="s">
        <v>266</v>
      </c>
      <c r="M3919" s="518">
        <v>18126.64</v>
      </c>
      <c r="N3919" s="522">
        <v>0.45833333333333331</v>
      </c>
    </row>
    <row r="3920" spans="1:14" ht="19.5" hidden="1" thickBot="1" x14ac:dyDescent="0.3">
      <c r="A3920" s="714">
        <f t="shared" si="115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09"/>
        <v>05,25</v>
      </c>
      <c r="L3920" s="535" t="s">
        <v>266</v>
      </c>
      <c r="M3920" s="535">
        <v>11235.660000000002</v>
      </c>
      <c r="N3920" s="539">
        <v>0.5</v>
      </c>
    </row>
    <row r="3921" spans="1:14" ht="19.5" hidden="1" thickBot="1" x14ac:dyDescent="0.3">
      <c r="A3921" s="725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09"/>
        <v>05,25</v>
      </c>
      <c r="L3921" s="544" t="s">
        <v>266</v>
      </c>
      <c r="M3921" s="544">
        <v>6024.6</v>
      </c>
      <c r="N3921" s="548">
        <v>0.5</v>
      </c>
    </row>
    <row r="3922" spans="1:14" ht="19.5" hidden="1" thickBot="1" x14ac:dyDescent="0.3">
      <c r="A3922" s="711">
        <f t="shared" si="115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09"/>
        <v>05,25</v>
      </c>
      <c r="L3922" s="483" t="s">
        <v>266</v>
      </c>
      <c r="M3922" s="483">
        <v>1287.3</v>
      </c>
      <c r="N3922" s="486">
        <v>0.54166666666666663</v>
      </c>
    </row>
    <row r="3923" spans="1:14" ht="19.5" hidden="1" thickBot="1" x14ac:dyDescent="0.3">
      <c r="A3923" s="713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09"/>
        <v>05,25</v>
      </c>
      <c r="L3923" s="527" t="s">
        <v>266</v>
      </c>
      <c r="M3923" s="527">
        <v>925.11999999999989</v>
      </c>
      <c r="N3923" s="530">
        <v>0.54166666666666663</v>
      </c>
    </row>
    <row r="3924" spans="1:14" ht="19.5" hidden="1" thickBot="1" x14ac:dyDescent="0.3">
      <c r="A3924" s="713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09"/>
        <v>05,25</v>
      </c>
      <c r="L3924" s="527" t="s">
        <v>266</v>
      </c>
      <c r="M3924" s="527">
        <v>4145.5200000000004</v>
      </c>
      <c r="N3924" s="530">
        <v>0.54166666666666663</v>
      </c>
    </row>
    <row r="3925" spans="1:14" ht="19.5" hidden="1" thickBot="1" x14ac:dyDescent="0.3">
      <c r="A3925" s="713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09"/>
        <v>05,25</v>
      </c>
      <c r="L3925" s="527" t="s">
        <v>266</v>
      </c>
      <c r="M3925" s="527">
        <v>4760.26</v>
      </c>
      <c r="N3925" s="530">
        <v>0.54166666666666663</v>
      </c>
    </row>
    <row r="3926" spans="1:14" ht="19.5" hidden="1" thickBot="1" x14ac:dyDescent="0.3">
      <c r="A3926" s="713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09"/>
        <v>05,25</v>
      </c>
      <c r="L3926" s="527" t="s">
        <v>266</v>
      </c>
      <c r="M3926" s="527">
        <v>2611.6400000000003</v>
      </c>
      <c r="N3926" s="530">
        <v>0.54166666666666663</v>
      </c>
    </row>
    <row r="3927" spans="1:14" ht="19.5" hidden="1" thickBot="1" x14ac:dyDescent="0.3">
      <c r="A3927" s="713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09"/>
        <v>05,25</v>
      </c>
      <c r="L3927" s="499" t="s">
        <v>266</v>
      </c>
      <c r="M3927" s="499">
        <v>2611.1200000000003</v>
      </c>
      <c r="N3927" s="502">
        <v>0.54166666666666663</v>
      </c>
    </row>
    <row r="3928" spans="1:14" ht="19.5" hidden="1" thickBot="1" x14ac:dyDescent="0.3">
      <c r="A3928" s="714">
        <f t="shared" ref="A3928:A3985" si="116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09"/>
        <v>05,25</v>
      </c>
      <c r="L3928" s="535" t="s">
        <v>265</v>
      </c>
      <c r="M3928" s="535">
        <v>12789.220000000001</v>
      </c>
      <c r="N3928" s="539">
        <v>0.375</v>
      </c>
    </row>
    <row r="3929" spans="1:14" ht="19.5" hidden="1" thickBot="1" x14ac:dyDescent="0.3">
      <c r="A3929" s="725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09"/>
        <v>05,25</v>
      </c>
      <c r="L3929" s="544" t="s">
        <v>265</v>
      </c>
      <c r="M3929" s="544">
        <v>4426.5</v>
      </c>
      <c r="N3929" s="548">
        <v>0.375</v>
      </c>
    </row>
    <row r="3930" spans="1:14" ht="19.5" hidden="1" thickBot="1" x14ac:dyDescent="0.3">
      <c r="A3930" s="513">
        <f t="shared" si="116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09"/>
        <v>05,25</v>
      </c>
      <c r="L3930" s="518" t="s">
        <v>265</v>
      </c>
      <c r="M3930" s="518">
        <v>17435.689999999999</v>
      </c>
      <c r="N3930" s="522">
        <v>0.41666666666666669</v>
      </c>
    </row>
    <row r="3931" spans="1:14" ht="19.5" hidden="1" thickBot="1" x14ac:dyDescent="0.3">
      <c r="A3931" s="503">
        <f t="shared" si="116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09"/>
        <v>05,25</v>
      </c>
      <c r="L3931" s="508" t="s">
        <v>265</v>
      </c>
      <c r="M3931" s="508">
        <v>17523.34</v>
      </c>
      <c r="N3931" s="512">
        <v>0.375</v>
      </c>
    </row>
    <row r="3932" spans="1:14" ht="19.5" hidden="1" thickBot="1" x14ac:dyDescent="0.3">
      <c r="A3932" s="513">
        <f t="shared" si="116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09"/>
        <v>05,25</v>
      </c>
      <c r="L3932" s="518" t="s">
        <v>265</v>
      </c>
      <c r="M3932" s="518">
        <v>13236.839999999997</v>
      </c>
      <c r="N3932" s="522">
        <v>0.375</v>
      </c>
    </row>
    <row r="3933" spans="1:14" ht="19.5" hidden="1" thickBot="1" x14ac:dyDescent="0.3">
      <c r="A3933" s="551">
        <f t="shared" si="116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09"/>
        <v>05,25</v>
      </c>
      <c r="L3933" s="556" t="s">
        <v>28</v>
      </c>
      <c r="M3933" s="556">
        <v>8472.9599999999991</v>
      </c>
      <c r="N3933" s="560">
        <v>0.5</v>
      </c>
    </row>
    <row r="3934" spans="1:14" ht="19.5" hidden="1" thickBot="1" x14ac:dyDescent="0.3">
      <c r="A3934" s="711">
        <f t="shared" si="116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09"/>
        <v>05,25</v>
      </c>
      <c r="L3934" s="483" t="s">
        <v>28</v>
      </c>
      <c r="M3934" s="483">
        <v>16361.519999999997</v>
      </c>
      <c r="N3934" s="486">
        <v>0.41666666666666669</v>
      </c>
    </row>
    <row r="3935" spans="1:14" ht="57" hidden="1" thickBot="1" x14ac:dyDescent="0.3">
      <c r="A3935" s="724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09"/>
        <v>05,25</v>
      </c>
      <c r="L3935" s="491" t="s">
        <v>28</v>
      </c>
      <c r="M3935" s="491">
        <v>1168.8</v>
      </c>
      <c r="N3935" s="494">
        <v>0.41666666666666669</v>
      </c>
    </row>
    <row r="3936" spans="1:14" ht="19.5" hidden="1" thickBot="1" x14ac:dyDescent="0.3">
      <c r="A3936" s="714">
        <f t="shared" si="116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09"/>
        <v>05,25</v>
      </c>
      <c r="L3936" s="535" t="s">
        <v>28</v>
      </c>
      <c r="M3936" s="535">
        <v>961.44</v>
      </c>
      <c r="N3936" s="539">
        <v>0.45833333333333331</v>
      </c>
    </row>
    <row r="3937" spans="1:14" ht="19.5" hidden="1" thickBot="1" x14ac:dyDescent="0.3">
      <c r="A3937" s="716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09"/>
        <v>05,25</v>
      </c>
      <c r="L3937" s="567" t="s">
        <v>28</v>
      </c>
      <c r="M3937" s="567">
        <v>11127.93</v>
      </c>
      <c r="N3937" s="571">
        <v>0.45833333333333331</v>
      </c>
    </row>
    <row r="3938" spans="1:14" ht="19.5" hidden="1" thickBot="1" x14ac:dyDescent="0.3">
      <c r="A3938" s="725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09"/>
        <v>05,25</v>
      </c>
      <c r="L3938" s="544" t="s">
        <v>28</v>
      </c>
      <c r="M3938" s="544">
        <v>5190.1399999999994</v>
      </c>
      <c r="N3938" s="548">
        <v>0.45833333333333331</v>
      </c>
    </row>
    <row r="3939" spans="1:14" ht="19.5" hidden="1" thickBot="1" x14ac:dyDescent="0.3">
      <c r="A3939" s="711">
        <f t="shared" si="116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09"/>
        <v>05,25</v>
      </c>
      <c r="L3939" s="483" t="s">
        <v>28</v>
      </c>
      <c r="M3939" s="483">
        <v>4363.8400000000011</v>
      </c>
      <c r="N3939" s="486">
        <v>0.5</v>
      </c>
    </row>
    <row r="3940" spans="1:14" ht="19.5" hidden="1" thickBot="1" x14ac:dyDescent="0.3">
      <c r="A3940" s="713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09"/>
        <v>05,25</v>
      </c>
      <c r="L3940" s="527" t="s">
        <v>28</v>
      </c>
      <c r="M3940" s="527">
        <v>4204.8</v>
      </c>
      <c r="N3940" s="530">
        <v>0.5</v>
      </c>
    </row>
    <row r="3941" spans="1:14" ht="19.5" hidden="1" thickBot="1" x14ac:dyDescent="0.3">
      <c r="A3941" s="713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09"/>
        <v>05,25</v>
      </c>
      <c r="L3941" s="527" t="s">
        <v>28</v>
      </c>
      <c r="M3941" s="527">
        <v>6234.95</v>
      </c>
      <c r="N3941" s="530">
        <v>0.5</v>
      </c>
    </row>
    <row r="3942" spans="1:14" ht="19.5" hidden="1" thickBot="1" x14ac:dyDescent="0.3">
      <c r="A3942" s="724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09"/>
        <v>05,25</v>
      </c>
      <c r="L3942" s="491" t="s">
        <v>28</v>
      </c>
      <c r="M3942" s="491">
        <v>2505</v>
      </c>
      <c r="N3942" s="494">
        <v>0.5</v>
      </c>
    </row>
    <row r="3943" spans="1:14" ht="19.5" hidden="1" thickBot="1" x14ac:dyDescent="0.3">
      <c r="A3943" s="503">
        <f t="shared" si="116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09"/>
        <v>05,25</v>
      </c>
      <c r="L3943" s="508" t="s">
        <v>28</v>
      </c>
      <c r="M3943" s="508">
        <v>17153.940000000002</v>
      </c>
      <c r="N3943" s="512">
        <v>0.54166666666666663</v>
      </c>
    </row>
    <row r="3944" spans="1:14" ht="19.5" hidden="1" thickBot="1" x14ac:dyDescent="0.3">
      <c r="A3944" s="513">
        <f t="shared" si="116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09"/>
        <v>05,25</v>
      </c>
      <c r="L3944" s="518" t="s">
        <v>28</v>
      </c>
      <c r="M3944" s="518">
        <v>17157.560000000001</v>
      </c>
      <c r="N3944" s="522">
        <v>0.58333333333333337</v>
      </c>
    </row>
    <row r="3945" spans="1:14" ht="19.5" hidden="1" thickBot="1" x14ac:dyDescent="0.3">
      <c r="A3945" s="714">
        <f t="shared" si="116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09"/>
        <v>05,25</v>
      </c>
      <c r="L3945" s="535" t="s">
        <v>28</v>
      </c>
      <c r="M3945" s="535">
        <v>12528.82</v>
      </c>
      <c r="N3945" s="539">
        <v>0.625</v>
      </c>
    </row>
    <row r="3946" spans="1:14" ht="19.5" hidden="1" thickBot="1" x14ac:dyDescent="0.3">
      <c r="A3946" s="725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09"/>
        <v>05,25</v>
      </c>
      <c r="L3946" s="544" t="s">
        <v>28</v>
      </c>
      <c r="M3946" s="544">
        <v>4524</v>
      </c>
      <c r="N3946" s="548">
        <v>0.625</v>
      </c>
    </row>
    <row r="3947" spans="1:14" ht="19.5" hidden="1" thickBot="1" x14ac:dyDescent="0.3">
      <c r="A3947" s="513">
        <f t="shared" si="116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09"/>
        <v>05,25</v>
      </c>
      <c r="L3947" s="518" t="s">
        <v>266</v>
      </c>
      <c r="M3947" s="518">
        <v>16025.640000000001</v>
      </c>
      <c r="N3947" s="522">
        <v>0.66666666666666663</v>
      </c>
    </row>
    <row r="3948" spans="1:14" ht="19.5" hidden="1" thickBot="1" x14ac:dyDescent="0.3">
      <c r="A3948" s="503">
        <f t="shared" si="116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09"/>
        <v>05,25</v>
      </c>
      <c r="L3948" s="508" t="s">
        <v>28</v>
      </c>
      <c r="M3948" s="508">
        <v>15262.96</v>
      </c>
      <c r="N3948" s="512">
        <v>0.5</v>
      </c>
    </row>
    <row r="3949" spans="1:14" ht="19.5" hidden="1" thickBot="1" x14ac:dyDescent="0.3">
      <c r="A3949" s="711">
        <f t="shared" si="116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720" t="s">
        <v>72</v>
      </c>
      <c r="H3949" s="483" t="s">
        <v>887</v>
      </c>
      <c r="I3949" s="484" t="s">
        <v>887</v>
      </c>
      <c r="J3949" s="485"/>
      <c r="K3949" s="491" t="str">
        <f t="shared" si="109"/>
        <v>05,25</v>
      </c>
      <c r="L3949" s="483" t="s">
        <v>265</v>
      </c>
      <c r="M3949" s="483">
        <v>7235.7600000000011</v>
      </c>
      <c r="N3949" s="486">
        <v>0.33333333333333331</v>
      </c>
    </row>
    <row r="3950" spans="1:14" ht="19.5" hidden="1" thickBot="1" x14ac:dyDescent="0.3">
      <c r="A3950" s="724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727"/>
      <c r="H3950" s="491" t="s">
        <v>887</v>
      </c>
      <c r="I3950" s="492" t="s">
        <v>887</v>
      </c>
      <c r="J3950" s="493"/>
      <c r="K3950" s="491" t="str">
        <f t="shared" si="109"/>
        <v>05,25</v>
      </c>
      <c r="L3950" s="491" t="s">
        <v>265</v>
      </c>
      <c r="M3950" s="491">
        <v>7161.7000000000016</v>
      </c>
      <c r="N3950" s="494">
        <v>0.41666666666666669</v>
      </c>
    </row>
    <row r="3951" spans="1:14" ht="19.5" hidden="1" thickBot="1" x14ac:dyDescent="0.3">
      <c r="A3951" s="551">
        <f t="shared" si="116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09"/>
        <v>05,25</v>
      </c>
      <c r="L3951" s="556" t="s">
        <v>265</v>
      </c>
      <c r="M3951" s="556">
        <v>17554.400000000001</v>
      </c>
      <c r="N3951" s="560">
        <v>0.375</v>
      </c>
    </row>
    <row r="3952" spans="1:14" ht="19.5" hidden="1" thickBot="1" x14ac:dyDescent="0.3">
      <c r="A3952" s="513">
        <f t="shared" si="116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09"/>
        <v>05,25</v>
      </c>
      <c r="L3952" s="518" t="s">
        <v>266</v>
      </c>
      <c r="M3952" s="518">
        <v>17789.52</v>
      </c>
      <c r="N3952" s="522">
        <v>0.54166666666666663</v>
      </c>
    </row>
    <row r="3953" spans="1:14" ht="19.5" hidden="1" thickBot="1" x14ac:dyDescent="0.3">
      <c r="A3953" s="503">
        <f t="shared" si="116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09"/>
        <v>05,25</v>
      </c>
      <c r="L3953" s="508" t="s">
        <v>266</v>
      </c>
      <c r="M3953" s="508">
        <v>17988.48</v>
      </c>
      <c r="N3953" s="512">
        <v>0.41666666666666669</v>
      </c>
    </row>
    <row r="3954" spans="1:14" ht="19.5" hidden="1" thickBot="1" x14ac:dyDescent="0.3">
      <c r="A3954" s="711">
        <f t="shared" si="116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09"/>
        <v>05,25</v>
      </c>
      <c r="L3954" s="483" t="s">
        <v>28</v>
      </c>
      <c r="M3954" s="483">
        <v>9636.4399999999987</v>
      </c>
      <c r="N3954" s="486">
        <v>0.41666666666666669</v>
      </c>
    </row>
    <row r="3955" spans="1:14" ht="19.5" hidden="1" thickBot="1" x14ac:dyDescent="0.3">
      <c r="A3955" s="724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09"/>
        <v>05,25</v>
      </c>
      <c r="L3955" s="491" t="s">
        <v>28</v>
      </c>
      <c r="M3955" s="491">
        <v>8148.48</v>
      </c>
      <c r="N3955" s="494">
        <v>0.41666666666666669</v>
      </c>
    </row>
    <row r="3956" spans="1:14" ht="19.5" hidden="1" thickBot="1" x14ac:dyDescent="0.3">
      <c r="A3956" s="714">
        <f t="shared" si="116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09"/>
        <v>05,25</v>
      </c>
      <c r="L3956" s="535" t="s">
        <v>28</v>
      </c>
      <c r="M3956" s="535">
        <v>2081.2799999999997</v>
      </c>
      <c r="N3956" s="539">
        <v>0.45833333333333331</v>
      </c>
    </row>
    <row r="3957" spans="1:14" ht="19.5" hidden="1" thickBot="1" x14ac:dyDescent="0.3">
      <c r="A3957" s="716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09"/>
        <v>05,25</v>
      </c>
      <c r="L3957" s="567" t="s">
        <v>28</v>
      </c>
      <c r="M3957" s="567">
        <v>13812.500000000002</v>
      </c>
      <c r="N3957" s="571">
        <v>0.45833333333333331</v>
      </c>
    </row>
    <row r="3958" spans="1:14" ht="19.5" hidden="1" thickBot="1" x14ac:dyDescent="0.3">
      <c r="A3958" s="725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09"/>
        <v>05,25</v>
      </c>
      <c r="L3958" s="544" t="s">
        <v>28</v>
      </c>
      <c r="M3958" s="544">
        <v>2107.13</v>
      </c>
      <c r="N3958" s="548">
        <v>0.45833333333333331</v>
      </c>
    </row>
    <row r="3959" spans="1:14" ht="57" hidden="1" thickBot="1" x14ac:dyDescent="0.3">
      <c r="A3959" s="513">
        <f t="shared" si="116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09"/>
        <v>05,25</v>
      </c>
      <c r="L3959" s="518" t="s">
        <v>28</v>
      </c>
      <c r="M3959" s="518">
        <v>5049.3</v>
      </c>
      <c r="N3959" s="522">
        <v>0.5</v>
      </c>
    </row>
    <row r="3960" spans="1:14" ht="19.5" hidden="1" thickBot="1" x14ac:dyDescent="0.3">
      <c r="A3960" s="714">
        <f t="shared" si="116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09"/>
        <v>05,25</v>
      </c>
      <c r="L3960" s="535" t="s">
        <v>28</v>
      </c>
      <c r="M3960" s="535">
        <v>3537.48</v>
      </c>
      <c r="N3960" s="539">
        <v>0.41666666666666669</v>
      </c>
    </row>
    <row r="3961" spans="1:14" ht="19.5" hidden="1" thickBot="1" x14ac:dyDescent="0.3">
      <c r="A3961" s="725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7">RIGHT(I3961,5)</f>
        <v>05,25</v>
      </c>
      <c r="L3961" s="544" t="s">
        <v>28</v>
      </c>
      <c r="M3961" s="544">
        <v>7717.96</v>
      </c>
      <c r="N3961" s="548">
        <v>0.41666666666666669</v>
      </c>
    </row>
    <row r="3962" spans="1:14" ht="19.5" hidden="1" thickBot="1" x14ac:dyDescent="0.3">
      <c r="A3962" s="711">
        <f t="shared" si="116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7"/>
        <v>05,25</v>
      </c>
      <c r="L3962" s="483" t="s">
        <v>28</v>
      </c>
      <c r="M3962" s="483">
        <v>7109</v>
      </c>
      <c r="N3962" s="486">
        <v>0.45833333333333331</v>
      </c>
    </row>
    <row r="3963" spans="1:14" ht="19.5" hidden="1" thickBot="1" x14ac:dyDescent="0.3">
      <c r="A3963" s="713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7"/>
        <v>05,25</v>
      </c>
      <c r="L3963" s="499" t="s">
        <v>28</v>
      </c>
      <c r="M3963" s="499">
        <v>6424.56</v>
      </c>
      <c r="N3963" s="502">
        <v>0.45833333333333331</v>
      </c>
    </row>
    <row r="3964" spans="1:14" ht="38.25" hidden="1" thickBot="1" x14ac:dyDescent="0.3">
      <c r="A3964" s="503">
        <f t="shared" si="116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7"/>
        <v>05,25</v>
      </c>
      <c r="L3964" s="508" t="s">
        <v>28</v>
      </c>
      <c r="M3964" s="508">
        <v>16763.16</v>
      </c>
      <c r="N3964" s="512">
        <v>0.41666666666666669</v>
      </c>
    </row>
    <row r="3965" spans="1:14" ht="57" hidden="1" thickBot="1" x14ac:dyDescent="0.3">
      <c r="A3965" s="513">
        <f t="shared" si="116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7"/>
        <v>05,25</v>
      </c>
      <c r="L3965" s="518" t="s">
        <v>28</v>
      </c>
      <c r="M3965" s="518">
        <v>5712.4800000000005</v>
      </c>
      <c r="N3965" s="522">
        <v>0.45833333333333331</v>
      </c>
    </row>
    <row r="3966" spans="1:14" ht="19.5" hidden="1" thickBot="1" x14ac:dyDescent="0.3">
      <c r="A3966" s="714">
        <f t="shared" si="116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7"/>
        <v>05,25</v>
      </c>
      <c r="L3966" s="535" t="s">
        <v>266</v>
      </c>
      <c r="M3966" s="535">
        <v>13301.5</v>
      </c>
      <c r="N3966" s="539">
        <v>0.5</v>
      </c>
    </row>
    <row r="3967" spans="1:14" ht="19.5" hidden="1" thickBot="1" x14ac:dyDescent="0.3">
      <c r="A3967" s="716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7"/>
        <v>05,25</v>
      </c>
      <c r="L3967" s="594" t="s">
        <v>266</v>
      </c>
      <c r="M3967" s="594">
        <v>3351.1400000000003</v>
      </c>
      <c r="N3967" s="598">
        <v>0.5</v>
      </c>
    </row>
    <row r="3968" spans="1:14" ht="19.5" hidden="1" thickBot="1" x14ac:dyDescent="0.3">
      <c r="A3968" s="513">
        <f t="shared" si="116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7"/>
        <v>05,25</v>
      </c>
      <c r="L3968" s="518" t="s">
        <v>266</v>
      </c>
      <c r="M3968" s="518">
        <v>18175.079999999994</v>
      </c>
      <c r="N3968" s="522">
        <v>0.41666666666666669</v>
      </c>
    </row>
    <row r="3969" spans="1:14" ht="19.5" hidden="1" thickBot="1" x14ac:dyDescent="0.3">
      <c r="A3969" s="503">
        <f t="shared" si="116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7"/>
        <v>05,25</v>
      </c>
      <c r="L3969" s="508" t="s">
        <v>266</v>
      </c>
      <c r="M3969" s="508">
        <v>18108.899999999998</v>
      </c>
      <c r="N3969" s="512">
        <v>0.45833333333333331</v>
      </c>
    </row>
    <row r="3970" spans="1:14" ht="19.5" hidden="1" thickBot="1" x14ac:dyDescent="0.3">
      <c r="A3970" s="513">
        <f t="shared" si="116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7"/>
        <v>05,25</v>
      </c>
      <c r="L3970" s="518" t="s">
        <v>266</v>
      </c>
      <c r="M3970" s="518">
        <v>18082.319999999996</v>
      </c>
      <c r="N3970" s="522">
        <v>0.5</v>
      </c>
    </row>
    <row r="3971" spans="1:14" ht="19.5" hidden="1" thickBot="1" x14ac:dyDescent="0.3">
      <c r="A3971" s="714">
        <f t="shared" si="116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7"/>
        <v>05,25</v>
      </c>
      <c r="L3971" s="535" t="s">
        <v>266</v>
      </c>
      <c r="M3971" s="535">
        <v>3695.18</v>
      </c>
      <c r="N3971" s="539">
        <v>0.54166666666666663</v>
      </c>
    </row>
    <row r="3972" spans="1:14" ht="19.5" hidden="1" thickBot="1" x14ac:dyDescent="0.3">
      <c r="A3972" s="716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7"/>
        <v>05,25</v>
      </c>
      <c r="L3972" s="567" t="s">
        <v>266</v>
      </c>
      <c r="M3972" s="567">
        <v>6561.28</v>
      </c>
      <c r="N3972" s="571">
        <v>0.54166666666666663</v>
      </c>
    </row>
    <row r="3973" spans="1:14" ht="19.5" hidden="1" thickBot="1" x14ac:dyDescent="0.3">
      <c r="A3973" s="716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7"/>
        <v>05,25</v>
      </c>
      <c r="L3973" s="567" t="s">
        <v>266</v>
      </c>
      <c r="M3973" s="567">
        <v>2671.8000000000006</v>
      </c>
      <c r="N3973" s="571">
        <v>0.54166666666666663</v>
      </c>
    </row>
    <row r="3974" spans="1:14" ht="19.5" hidden="1" thickBot="1" x14ac:dyDescent="0.3">
      <c r="A3974" s="716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7"/>
        <v>05,25</v>
      </c>
      <c r="L3974" s="567" t="s">
        <v>266</v>
      </c>
      <c r="M3974" s="567">
        <v>2962.0399999999991</v>
      </c>
      <c r="N3974" s="571">
        <v>0.54166666666666663</v>
      </c>
    </row>
    <row r="3975" spans="1:14" ht="19.5" hidden="1" thickBot="1" x14ac:dyDescent="0.3">
      <c r="A3975" s="716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7"/>
        <v>05,25</v>
      </c>
      <c r="L3975" s="594" t="s">
        <v>266</v>
      </c>
      <c r="M3975" s="594">
        <v>1977</v>
      </c>
      <c r="N3975" s="598">
        <v>0.54166666666666663</v>
      </c>
    </row>
    <row r="3976" spans="1:14" ht="19.5" hidden="1" thickBot="1" x14ac:dyDescent="0.3">
      <c r="A3976" s="711">
        <f t="shared" si="116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7"/>
        <v>05,25</v>
      </c>
      <c r="L3976" s="483" t="s">
        <v>265</v>
      </c>
      <c r="M3976" s="483">
        <v>11979.84</v>
      </c>
      <c r="N3976" s="486">
        <v>0.375</v>
      </c>
    </row>
    <row r="3977" spans="1:14" ht="19.5" hidden="1" thickBot="1" x14ac:dyDescent="0.3">
      <c r="A3977" s="724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7"/>
        <v>05,25</v>
      </c>
      <c r="L3977" s="491" t="s">
        <v>265</v>
      </c>
      <c r="M3977" s="491">
        <v>5242.6000000000004</v>
      </c>
      <c r="N3977" s="494">
        <v>0.375</v>
      </c>
    </row>
    <row r="3978" spans="1:14" ht="19.5" hidden="1" thickBot="1" x14ac:dyDescent="0.3">
      <c r="A3978" s="503">
        <f t="shared" si="116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7"/>
        <v>05,25</v>
      </c>
      <c r="L3978" s="508" t="s">
        <v>265</v>
      </c>
      <c r="M3978" s="508">
        <v>17372.560000000001</v>
      </c>
      <c r="N3978" s="512">
        <v>0.375</v>
      </c>
    </row>
    <row r="3979" spans="1:14" ht="19.5" hidden="1" thickBot="1" x14ac:dyDescent="0.3">
      <c r="A3979" s="513">
        <f t="shared" si="116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7"/>
        <v>05,25</v>
      </c>
      <c r="L3979" s="518" t="s">
        <v>265</v>
      </c>
      <c r="M3979" s="518">
        <v>11998.92</v>
      </c>
      <c r="N3979" s="522">
        <v>0.375</v>
      </c>
    </row>
    <row r="3980" spans="1:14" ht="19.5" hidden="1" thickBot="1" x14ac:dyDescent="0.3">
      <c r="A3980" s="503">
        <f t="shared" si="116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7"/>
        <v>05,25</v>
      </c>
      <c r="L3980" s="508" t="s">
        <v>28</v>
      </c>
      <c r="M3980" s="508">
        <v>9426.6000000000022</v>
      </c>
      <c r="N3980" s="512">
        <v>0.41666666666666669</v>
      </c>
    </row>
    <row r="3981" spans="1:14" ht="19.5" hidden="1" thickBot="1" x14ac:dyDescent="0.3">
      <c r="A3981" s="711">
        <f t="shared" si="116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7"/>
        <v>05,25</v>
      </c>
      <c r="L3981" s="483" t="s">
        <v>28</v>
      </c>
      <c r="M3981" s="483">
        <v>5496.84</v>
      </c>
      <c r="N3981" s="486">
        <v>0.45833333333333331</v>
      </c>
    </row>
    <row r="3982" spans="1:14" ht="19.5" hidden="1" thickBot="1" x14ac:dyDescent="0.3">
      <c r="A3982" s="713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7"/>
        <v>05,25</v>
      </c>
      <c r="L3982" s="499" t="s">
        <v>28</v>
      </c>
      <c r="M3982" s="499">
        <v>5302.92</v>
      </c>
      <c r="N3982" s="502">
        <v>0.45833333333333331</v>
      </c>
    </row>
    <row r="3983" spans="1:14" ht="19.5" hidden="1" thickBot="1" x14ac:dyDescent="0.3">
      <c r="A3983" s="714">
        <f t="shared" si="116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717" t="s">
        <v>72</v>
      </c>
      <c r="H3983" s="535" t="s">
        <v>895</v>
      </c>
      <c r="I3983" s="537" t="s">
        <v>894</v>
      </c>
      <c r="J3983" s="538"/>
      <c r="K3983" s="535" t="str">
        <f t="shared" si="117"/>
        <v>05,25</v>
      </c>
      <c r="L3983" s="535" t="s">
        <v>265</v>
      </c>
      <c r="M3983" s="535">
        <v>6973.6400000000012</v>
      </c>
      <c r="N3983" s="539">
        <v>0.33333333333333331</v>
      </c>
    </row>
    <row r="3984" spans="1:14" ht="19.5" hidden="1" thickBot="1" x14ac:dyDescent="0.3">
      <c r="A3984" s="725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726"/>
      <c r="H3984" s="544" t="s">
        <v>895</v>
      </c>
      <c r="I3984" s="546" t="s">
        <v>895</v>
      </c>
      <c r="J3984" s="547"/>
      <c r="K3984" s="544" t="str">
        <f t="shared" si="117"/>
        <v>05,25</v>
      </c>
      <c r="L3984" s="544" t="s">
        <v>265</v>
      </c>
      <c r="M3984" s="544">
        <v>7105.9600000000009</v>
      </c>
      <c r="N3984" s="548">
        <v>0.41666666666666669</v>
      </c>
    </row>
    <row r="3985" spans="1:14" ht="19.5" hidden="1" thickBot="1" x14ac:dyDescent="0.3">
      <c r="A3985" s="711">
        <f t="shared" si="116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7"/>
        <v>05,25</v>
      </c>
      <c r="L3985" s="483" t="s">
        <v>28</v>
      </c>
      <c r="M3985" s="483">
        <v>100.92</v>
      </c>
      <c r="N3985" s="486">
        <v>0.41666666666666669</v>
      </c>
    </row>
    <row r="3986" spans="1:14" ht="19.5" hidden="1" thickBot="1" x14ac:dyDescent="0.3">
      <c r="A3986" s="713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7"/>
        <v>05,25</v>
      </c>
      <c r="L3986" s="527" t="s">
        <v>28</v>
      </c>
      <c r="M3986" s="527">
        <v>41.76</v>
      </c>
      <c r="N3986" s="530">
        <v>0.41666666666666669</v>
      </c>
    </row>
    <row r="3987" spans="1:14" ht="19.5" hidden="1" thickBot="1" x14ac:dyDescent="0.3">
      <c r="A3987" s="713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7"/>
        <v>05,25</v>
      </c>
      <c r="L3987" s="527" t="s">
        <v>28</v>
      </c>
      <c r="M3987" s="527">
        <v>41.76</v>
      </c>
      <c r="N3987" s="530">
        <v>0.41666666666666669</v>
      </c>
    </row>
    <row r="3988" spans="1:14" ht="19.5" hidden="1" thickBot="1" x14ac:dyDescent="0.3">
      <c r="A3988" s="713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7"/>
        <v>05,25</v>
      </c>
      <c r="L3988" s="527" t="s">
        <v>28</v>
      </c>
      <c r="M3988" s="527">
        <v>3995.6800000000003</v>
      </c>
      <c r="N3988" s="530">
        <v>0.41666666666666669</v>
      </c>
    </row>
    <row r="3989" spans="1:14" ht="19.5" hidden="1" thickBot="1" x14ac:dyDescent="0.3">
      <c r="A3989" s="713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7"/>
        <v>05,25</v>
      </c>
      <c r="L3989" s="527" t="s">
        <v>28</v>
      </c>
      <c r="M3989" s="527">
        <v>4273.9199999999992</v>
      </c>
      <c r="N3989" s="530">
        <v>0.41666666666666669</v>
      </c>
    </row>
    <row r="3990" spans="1:14" ht="19.5" hidden="1" thickBot="1" x14ac:dyDescent="0.3">
      <c r="A3990" s="713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7"/>
        <v>05,25</v>
      </c>
      <c r="L3990" s="527" t="s">
        <v>28</v>
      </c>
      <c r="M3990" s="527">
        <v>5935.9400000000005</v>
      </c>
      <c r="N3990" s="530">
        <v>0.41666666666666669</v>
      </c>
    </row>
    <row r="3991" spans="1:14" ht="19.5" hidden="1" thickBot="1" x14ac:dyDescent="0.3">
      <c r="A3991" s="724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7"/>
        <v>05,25</v>
      </c>
      <c r="L3991" s="491" t="s">
        <v>28</v>
      </c>
      <c r="M3991" s="491">
        <v>3312.3599999999997</v>
      </c>
      <c r="N3991" s="494">
        <v>0.41666666666666669</v>
      </c>
    </row>
    <row r="3992" spans="1:14" ht="19.5" hidden="1" thickBot="1" x14ac:dyDescent="0.3">
      <c r="A3992" s="714">
        <f t="shared" ref="A3992:A4055" si="118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7"/>
        <v>05,25</v>
      </c>
      <c r="L3992" s="535" t="s">
        <v>28</v>
      </c>
      <c r="M3992" s="535">
        <v>100.92</v>
      </c>
      <c r="N3992" s="539">
        <v>0.45833333333333331</v>
      </c>
    </row>
    <row r="3993" spans="1:14" ht="19.5" hidden="1" thickBot="1" x14ac:dyDescent="0.3">
      <c r="A3993" s="716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7"/>
        <v>05,25</v>
      </c>
      <c r="L3993" s="567" t="s">
        <v>28</v>
      </c>
      <c r="M3993" s="567">
        <v>1233.2400000000002</v>
      </c>
      <c r="N3993" s="571">
        <v>0.45833333333333331</v>
      </c>
    </row>
    <row r="3994" spans="1:14" ht="19.5" hidden="1" thickBot="1" x14ac:dyDescent="0.3">
      <c r="A3994" s="716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7"/>
        <v>05,25</v>
      </c>
      <c r="L3994" s="567" t="s">
        <v>28</v>
      </c>
      <c r="M3994" s="567">
        <v>1521</v>
      </c>
      <c r="N3994" s="571">
        <v>0.45833333333333331</v>
      </c>
    </row>
    <row r="3995" spans="1:14" ht="19.5" hidden="1" thickBot="1" x14ac:dyDescent="0.3">
      <c r="A3995" s="716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7"/>
        <v>05,25</v>
      </c>
      <c r="L3995" s="594" t="s">
        <v>28</v>
      </c>
      <c r="M3995" s="594">
        <v>15190.319999999998</v>
      </c>
      <c r="N3995" s="598">
        <v>0.45833333333333331</v>
      </c>
    </row>
    <row r="3996" spans="1:14" ht="19.5" hidden="1" thickBot="1" x14ac:dyDescent="0.3">
      <c r="A3996" s="711">
        <f t="shared" si="118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7"/>
        <v>05,25</v>
      </c>
      <c r="L3996" s="483" t="s">
        <v>266</v>
      </c>
      <c r="M3996" s="483">
        <v>1833.48</v>
      </c>
      <c r="N3996" s="486">
        <v>0.5</v>
      </c>
    </row>
    <row r="3997" spans="1:14" ht="19.5" hidden="1" thickBot="1" x14ac:dyDescent="0.3">
      <c r="A3997" s="713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7"/>
        <v>05,25</v>
      </c>
      <c r="L3997" s="527" t="s">
        <v>266</v>
      </c>
      <c r="M3997" s="527">
        <v>9824.6400000000012</v>
      </c>
      <c r="N3997" s="530">
        <v>0.5</v>
      </c>
    </row>
    <row r="3998" spans="1:14" ht="19.5" hidden="1" thickBot="1" x14ac:dyDescent="0.3">
      <c r="A3998" s="724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7"/>
        <v>05,25</v>
      </c>
      <c r="L3998" s="491" t="s">
        <v>266</v>
      </c>
      <c r="M3998" s="491">
        <v>241.92000000000002</v>
      </c>
      <c r="N3998" s="494">
        <v>0.5</v>
      </c>
    </row>
    <row r="3999" spans="1:14" ht="19.5" hidden="1" thickBot="1" x14ac:dyDescent="0.3">
      <c r="A3999" s="503">
        <f t="shared" si="118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7"/>
        <v>05,25</v>
      </c>
      <c r="L3999" s="508" t="s">
        <v>28</v>
      </c>
      <c r="M3999" s="508">
        <v>15799.27</v>
      </c>
      <c r="N3999" s="512">
        <v>0.45833333333333331</v>
      </c>
    </row>
    <row r="4000" spans="1:14" ht="94.5" hidden="1" thickBot="1" x14ac:dyDescent="0.3">
      <c r="A4000" s="513">
        <f t="shared" si="118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7"/>
        <v>05,25</v>
      </c>
      <c r="L4000" s="518" t="s">
        <v>28</v>
      </c>
      <c r="M4000" s="518">
        <v>13558.670000000002</v>
      </c>
      <c r="N4000" s="522">
        <v>0.5</v>
      </c>
    </row>
    <row r="4001" spans="1:14" ht="19.5" hidden="1" thickBot="1" x14ac:dyDescent="0.3">
      <c r="A4001" s="503">
        <f t="shared" si="118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7"/>
        <v>05,25</v>
      </c>
      <c r="L4001" s="508" t="s">
        <v>266</v>
      </c>
      <c r="M4001" s="508">
        <v>6727.2199999999993</v>
      </c>
      <c r="N4001" s="512">
        <v>0.54166666666666663</v>
      </c>
    </row>
    <row r="4002" spans="1:14" ht="19.5" hidden="1" thickBot="1" x14ac:dyDescent="0.3">
      <c r="A4002" s="711">
        <f t="shared" si="118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7"/>
        <v>нет</v>
      </c>
      <c r="L4002" s="483" t="s">
        <v>265</v>
      </c>
      <c r="M4002" s="483">
        <v>240.12</v>
      </c>
      <c r="N4002" s="486">
        <v>0.375</v>
      </c>
    </row>
    <row r="4003" spans="1:14" ht="19.5" hidden="1" thickBot="1" x14ac:dyDescent="0.3">
      <c r="A4003" s="724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7"/>
        <v>05,25</v>
      </c>
      <c r="L4003" s="491" t="s">
        <v>265</v>
      </c>
      <c r="M4003" s="491">
        <v>17293.88</v>
      </c>
      <c r="N4003" s="494">
        <v>0.375</v>
      </c>
    </row>
    <row r="4004" spans="1:14" ht="19.5" hidden="1" thickBot="1" x14ac:dyDescent="0.3">
      <c r="A4004" s="714">
        <f t="shared" si="118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7"/>
        <v>05,25</v>
      </c>
      <c r="L4004" s="535" t="s">
        <v>28</v>
      </c>
      <c r="M4004" s="535">
        <v>12711.48</v>
      </c>
      <c r="N4004" s="539">
        <v>0.41666666666666669</v>
      </c>
    </row>
    <row r="4005" spans="1:14" ht="19.5" hidden="1" thickBot="1" x14ac:dyDescent="0.3">
      <c r="A4005" s="725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7"/>
        <v>05,25</v>
      </c>
      <c r="L4005" s="544" t="s">
        <v>28</v>
      </c>
      <c r="M4005" s="544">
        <v>5240.58</v>
      </c>
      <c r="N4005" s="548">
        <v>0.41666666666666669</v>
      </c>
    </row>
    <row r="4006" spans="1:14" ht="19.5" hidden="1" thickBot="1" x14ac:dyDescent="0.3">
      <c r="A4006" s="711">
        <f t="shared" si="118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7"/>
        <v>05,25</v>
      </c>
      <c r="L4006" s="483" t="s">
        <v>28</v>
      </c>
      <c r="M4006" s="483">
        <v>3074.3700000000003</v>
      </c>
      <c r="N4006" s="486">
        <v>0.45833333333333331</v>
      </c>
    </row>
    <row r="4007" spans="1:14" ht="19.5" hidden="1" thickBot="1" x14ac:dyDescent="0.3">
      <c r="A4007" s="713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7"/>
        <v>05,25</v>
      </c>
      <c r="L4007" s="527" t="s">
        <v>28</v>
      </c>
      <c r="M4007" s="527">
        <v>12381.12</v>
      </c>
      <c r="N4007" s="530">
        <v>0.45833333333333331</v>
      </c>
    </row>
    <row r="4008" spans="1:14" ht="19.5" hidden="1" thickBot="1" x14ac:dyDescent="0.3">
      <c r="A4008" s="724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7"/>
        <v>05,25</v>
      </c>
      <c r="L4008" s="491" t="s">
        <v>28</v>
      </c>
      <c r="M4008" s="491">
        <v>1841.5</v>
      </c>
      <c r="N4008" s="494">
        <v>0.45833333333333331</v>
      </c>
    </row>
    <row r="4009" spans="1:14" ht="19.5" hidden="1" thickBot="1" x14ac:dyDescent="0.3">
      <c r="A4009" s="551">
        <f t="shared" si="118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7"/>
        <v>05,25</v>
      </c>
      <c r="L4009" s="556" t="s">
        <v>265</v>
      </c>
      <c r="M4009" s="556">
        <v>17553.77</v>
      </c>
      <c r="N4009" s="560">
        <v>0.375</v>
      </c>
    </row>
    <row r="4010" spans="1:14" ht="19.5" hidden="1" thickBot="1" x14ac:dyDescent="0.3">
      <c r="A4010" s="711">
        <f t="shared" si="118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7"/>
        <v>05,25</v>
      </c>
      <c r="L4010" s="483" t="s">
        <v>28</v>
      </c>
      <c r="M4010" s="483">
        <v>5791.32</v>
      </c>
      <c r="N4010" s="486">
        <v>0.41666666666666669</v>
      </c>
    </row>
    <row r="4011" spans="1:14" ht="19.5" hidden="1" thickBot="1" x14ac:dyDescent="0.3">
      <c r="A4011" s="724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7"/>
        <v>05,25</v>
      </c>
      <c r="L4011" s="627" t="s">
        <v>28</v>
      </c>
      <c r="M4011" s="627">
        <v>5112.32</v>
      </c>
      <c r="N4011" s="631">
        <v>0.41666666666666669</v>
      </c>
    </row>
    <row r="4012" spans="1:14" ht="19.5" hidden="1" thickBot="1" x14ac:dyDescent="0.3">
      <c r="A4012" s="728">
        <f t="shared" si="118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7"/>
        <v>05,25</v>
      </c>
      <c r="L4012" s="535" t="s">
        <v>28</v>
      </c>
      <c r="M4012" s="535">
        <v>2060.36</v>
      </c>
      <c r="N4012" s="539">
        <v>0.45833333333333331</v>
      </c>
    </row>
    <row r="4013" spans="1:14" ht="19.5" hidden="1" thickBot="1" x14ac:dyDescent="0.3">
      <c r="A4013" s="729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7"/>
        <v>05,25</v>
      </c>
      <c r="L4013" s="617" t="s">
        <v>28</v>
      </c>
      <c r="M4013" s="617">
        <v>4554.96</v>
      </c>
      <c r="N4013" s="634">
        <v>0.45833333333333331</v>
      </c>
    </row>
    <row r="4014" spans="1:14" ht="19.5" hidden="1" thickBot="1" x14ac:dyDescent="0.3">
      <c r="A4014" s="730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7"/>
        <v>05,25</v>
      </c>
      <c r="L4014" s="586" t="s">
        <v>28</v>
      </c>
      <c r="M4014" s="586">
        <v>4609.76</v>
      </c>
      <c r="N4014" s="589">
        <v>0.45833333333333331</v>
      </c>
    </row>
    <row r="4015" spans="1:14" ht="57" hidden="1" thickBot="1" x14ac:dyDescent="0.3">
      <c r="A4015" s="572">
        <f t="shared" si="118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7"/>
        <v>05,25</v>
      </c>
      <c r="L4015" s="577" t="s">
        <v>28</v>
      </c>
      <c r="M4015" s="577">
        <v>4068.4800000000005</v>
      </c>
      <c r="N4015" s="581">
        <v>0.41666666666666669</v>
      </c>
    </row>
    <row r="4016" spans="1:14" ht="19.5" hidden="1" thickBot="1" x14ac:dyDescent="0.3">
      <c r="A4016" s="503">
        <f t="shared" si="118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7"/>
        <v>05,25</v>
      </c>
      <c r="L4016" s="508" t="s">
        <v>266</v>
      </c>
      <c r="M4016" s="508">
        <v>18285.359999999993</v>
      </c>
      <c r="N4016" s="512">
        <v>0.41666666666666669</v>
      </c>
    </row>
    <row r="4017" spans="1:14" ht="19.5" hidden="1" thickBot="1" x14ac:dyDescent="0.3">
      <c r="A4017" s="513">
        <f t="shared" si="118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7"/>
        <v>05,25</v>
      </c>
      <c r="L4017" s="518" t="s">
        <v>266</v>
      </c>
      <c r="M4017" s="518">
        <v>18132.259999999998</v>
      </c>
      <c r="N4017" s="522">
        <v>0.45833333333333331</v>
      </c>
    </row>
    <row r="4018" spans="1:14" ht="19.5" hidden="1" thickBot="1" x14ac:dyDescent="0.3">
      <c r="A4018" s="503">
        <f t="shared" si="118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7"/>
        <v>05,25</v>
      </c>
      <c r="L4018" s="508" t="s">
        <v>266</v>
      </c>
      <c r="M4018" s="508">
        <v>17988.599999999999</v>
      </c>
      <c r="N4018" s="512">
        <v>0.5</v>
      </c>
    </row>
    <row r="4019" spans="1:14" ht="19.5" hidden="1" thickBot="1" x14ac:dyDescent="0.3">
      <c r="A4019" s="711">
        <f t="shared" si="118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7"/>
        <v>05,25</v>
      </c>
      <c r="L4019" s="483" t="s">
        <v>266</v>
      </c>
      <c r="M4019" s="483">
        <v>2079.5500000000002</v>
      </c>
      <c r="N4019" s="486">
        <v>0.54166666666666663</v>
      </c>
    </row>
    <row r="4020" spans="1:14" ht="19.5" hidden="1" thickBot="1" x14ac:dyDescent="0.3">
      <c r="A4020" s="713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7"/>
        <v>05,25</v>
      </c>
      <c r="L4020" s="527" t="s">
        <v>266</v>
      </c>
      <c r="M4020" s="527">
        <v>3633.22</v>
      </c>
      <c r="N4020" s="530">
        <v>0.54166666666666663</v>
      </c>
    </row>
    <row r="4021" spans="1:14" ht="19.5" hidden="1" thickBot="1" x14ac:dyDescent="0.3">
      <c r="A4021" s="713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7"/>
        <v>05,25</v>
      </c>
      <c r="L4021" s="527" t="s">
        <v>266</v>
      </c>
      <c r="M4021" s="527">
        <v>3284.7599999999998</v>
      </c>
      <c r="N4021" s="530">
        <v>0.54166666666666663</v>
      </c>
    </row>
    <row r="4022" spans="1:14" ht="19.5" hidden="1" thickBot="1" x14ac:dyDescent="0.3">
      <c r="A4022" s="713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7"/>
        <v>05,25</v>
      </c>
      <c r="L4022" s="527" t="s">
        <v>266</v>
      </c>
      <c r="M4022" s="527">
        <v>3355.8</v>
      </c>
      <c r="N4022" s="530">
        <v>0.54166666666666663</v>
      </c>
    </row>
    <row r="4023" spans="1:14" ht="19.5" hidden="1" thickBot="1" x14ac:dyDescent="0.3">
      <c r="A4023" s="713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7"/>
        <v>05,25</v>
      </c>
      <c r="L4023" s="527" t="s">
        <v>266</v>
      </c>
      <c r="M4023" s="527">
        <v>954.2399999999999</v>
      </c>
      <c r="N4023" s="530">
        <v>0.54166666666666663</v>
      </c>
    </row>
    <row r="4024" spans="1:14" ht="19.5" hidden="1" thickBot="1" x14ac:dyDescent="0.3">
      <c r="A4024" s="724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7"/>
        <v>05,25</v>
      </c>
      <c r="L4024" s="491" t="s">
        <v>266</v>
      </c>
      <c r="M4024" s="491">
        <v>3698.9599999999996</v>
      </c>
      <c r="N4024" s="494">
        <v>0.54166666666666663</v>
      </c>
    </row>
    <row r="4025" spans="1:14" ht="38.25" hidden="1" thickBot="1" x14ac:dyDescent="0.3">
      <c r="A4025" s="503">
        <f t="shared" si="118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7"/>
        <v>05,25</v>
      </c>
      <c r="L4025" s="508" t="s">
        <v>266</v>
      </c>
      <c r="M4025" s="508">
        <v>16466.34</v>
      </c>
      <c r="N4025" s="512">
        <v>0.58333333333333337</v>
      </c>
    </row>
    <row r="4026" spans="1:14" ht="38.25" hidden="1" thickBot="1" x14ac:dyDescent="0.3">
      <c r="A4026" s="572">
        <f t="shared" si="118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7"/>
        <v>05,25</v>
      </c>
      <c r="L4026" s="577" t="s">
        <v>28</v>
      </c>
      <c r="M4026" s="577">
        <v>16678.32</v>
      </c>
      <c r="N4026" s="581">
        <v>0.625</v>
      </c>
    </row>
    <row r="4027" spans="1:14" ht="19.5" hidden="1" thickBot="1" x14ac:dyDescent="0.3">
      <c r="A4027" s="714">
        <f t="shared" si="118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7"/>
        <v>05,25</v>
      </c>
      <c r="L4027" s="535" t="s">
        <v>265</v>
      </c>
      <c r="M4027" s="535">
        <v>13050.12</v>
      </c>
      <c r="N4027" s="539">
        <v>0.375</v>
      </c>
    </row>
    <row r="4028" spans="1:14" ht="19.5" hidden="1" thickBot="1" x14ac:dyDescent="0.3">
      <c r="A4028" s="725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7"/>
        <v>05,25</v>
      </c>
      <c r="L4028" s="544" t="s">
        <v>265</v>
      </c>
      <c r="M4028" s="544">
        <v>4442.3999999999996</v>
      </c>
      <c r="N4028" s="548">
        <v>0.375</v>
      </c>
    </row>
    <row r="4029" spans="1:14" ht="19.5" hidden="1" thickBot="1" x14ac:dyDescent="0.3">
      <c r="A4029" s="513">
        <f t="shared" si="118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7"/>
        <v>05,25</v>
      </c>
      <c r="L4029" s="518" t="s">
        <v>265</v>
      </c>
      <c r="M4029" s="518">
        <v>17439.54</v>
      </c>
      <c r="N4029" s="522">
        <v>0.375</v>
      </c>
    </row>
    <row r="4030" spans="1:14" ht="19.5" hidden="1" thickBot="1" x14ac:dyDescent="0.3">
      <c r="A4030" s="551">
        <f t="shared" si="118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7"/>
        <v>05,25</v>
      </c>
      <c r="L4030" s="556" t="s">
        <v>265</v>
      </c>
      <c r="M4030" s="556">
        <v>11179.760000000002</v>
      </c>
      <c r="N4030" s="560">
        <v>0.375</v>
      </c>
    </row>
    <row r="4031" spans="1:14" ht="19.5" hidden="1" thickBot="1" x14ac:dyDescent="0.3">
      <c r="A4031" s="711">
        <f t="shared" si="118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7"/>
        <v>05,25</v>
      </c>
      <c r="L4031" s="483" t="s">
        <v>28</v>
      </c>
      <c r="M4031" s="483">
        <v>1954.92</v>
      </c>
      <c r="N4031" s="486">
        <v>0.41666666666666669</v>
      </c>
    </row>
    <row r="4032" spans="1:14" ht="19.5" hidden="1" thickBot="1" x14ac:dyDescent="0.3">
      <c r="A4032" s="713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7"/>
        <v>05,25</v>
      </c>
      <c r="L4032" s="527" t="s">
        <v>28</v>
      </c>
      <c r="M4032" s="527">
        <v>4498.3600000000006</v>
      </c>
      <c r="N4032" s="530">
        <v>0.41666666666666669</v>
      </c>
    </row>
    <row r="4033" spans="1:14" ht="19.5" hidden="1" thickBot="1" x14ac:dyDescent="0.3">
      <c r="A4033" s="724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7"/>
        <v>05,25</v>
      </c>
      <c r="L4033" s="491" t="s">
        <v>28</v>
      </c>
      <c r="M4033" s="491">
        <v>10775.039999999999</v>
      </c>
      <c r="N4033" s="494">
        <v>0.41666666666666669</v>
      </c>
    </row>
    <row r="4034" spans="1:14" ht="19.5" hidden="1" thickBot="1" x14ac:dyDescent="0.3">
      <c r="A4034" s="714">
        <f t="shared" si="118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7"/>
        <v>05,25</v>
      </c>
      <c r="L4034" s="535" t="s">
        <v>28</v>
      </c>
      <c r="M4034" s="535">
        <v>3680.0499999999997</v>
      </c>
      <c r="N4034" s="539">
        <v>0.45833333333333331</v>
      </c>
    </row>
    <row r="4035" spans="1:14" ht="19.5" hidden="1" thickBot="1" x14ac:dyDescent="0.3">
      <c r="A4035" s="725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7"/>
        <v>05,25</v>
      </c>
      <c r="L4035" s="544" t="s">
        <v>28</v>
      </c>
      <c r="M4035" s="544">
        <v>14053.44</v>
      </c>
      <c r="N4035" s="548">
        <v>0.45833333333333331</v>
      </c>
    </row>
    <row r="4036" spans="1:14" ht="19.5" hidden="1" thickBot="1" x14ac:dyDescent="0.3">
      <c r="A4036" s="711">
        <f t="shared" si="118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7"/>
        <v>05,25</v>
      </c>
      <c r="L4036" s="483" t="s">
        <v>28</v>
      </c>
      <c r="M4036" s="483">
        <v>14939.880000000003</v>
      </c>
      <c r="N4036" s="486">
        <v>0.5</v>
      </c>
    </row>
    <row r="4037" spans="1:14" ht="19.5" hidden="1" thickBot="1" x14ac:dyDescent="0.3">
      <c r="A4037" s="724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7"/>
        <v>05,25</v>
      </c>
      <c r="L4037" s="491" t="s">
        <v>28</v>
      </c>
      <c r="M4037" s="491">
        <v>2468.7600000000002</v>
      </c>
      <c r="N4037" s="494">
        <v>0.5</v>
      </c>
    </row>
    <row r="4038" spans="1:14" ht="19.5" hidden="1" thickBot="1" x14ac:dyDescent="0.3">
      <c r="A4038" s="503">
        <f t="shared" si="118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7"/>
        <v>05,25</v>
      </c>
      <c r="L4038" s="508" t="s">
        <v>28</v>
      </c>
      <c r="M4038" s="508">
        <v>17414.269999999997</v>
      </c>
      <c r="N4038" s="512">
        <v>0.54166666666666663</v>
      </c>
    </row>
    <row r="4039" spans="1:14" ht="19.5" hidden="1" thickBot="1" x14ac:dyDescent="0.3">
      <c r="A4039" s="711">
        <f t="shared" si="118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7"/>
        <v>05,25</v>
      </c>
      <c r="L4039" s="483" t="s">
        <v>28</v>
      </c>
      <c r="M4039" s="483">
        <v>8059.6000000000013</v>
      </c>
      <c r="N4039" s="486">
        <v>0.58333333333333337</v>
      </c>
    </row>
    <row r="4040" spans="1:14" ht="19.5" hidden="1" thickBot="1" x14ac:dyDescent="0.3">
      <c r="A4040" s="724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7"/>
        <v>05,25</v>
      </c>
      <c r="L4040" s="491" t="s">
        <v>28</v>
      </c>
      <c r="M4040" s="491">
        <v>9616</v>
      </c>
      <c r="N4040" s="494">
        <v>0.58333333333333337</v>
      </c>
    </row>
    <row r="4041" spans="1:14" ht="19.5" hidden="1" thickBot="1" x14ac:dyDescent="0.3">
      <c r="A4041" s="503">
        <f t="shared" si="118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7"/>
        <v>05,25</v>
      </c>
      <c r="L4041" s="508" t="s">
        <v>265</v>
      </c>
      <c r="M4041" s="508">
        <v>17479.32</v>
      </c>
      <c r="N4041" s="512">
        <v>0.375</v>
      </c>
    </row>
    <row r="4042" spans="1:14" ht="19.5" hidden="1" thickBot="1" x14ac:dyDescent="0.3">
      <c r="A4042" s="572">
        <f t="shared" si="118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7"/>
        <v>05,25</v>
      </c>
      <c r="L4042" s="577" t="s">
        <v>265</v>
      </c>
      <c r="M4042" s="577">
        <v>12874.039999999999</v>
      </c>
      <c r="N4042" s="581">
        <v>0.375</v>
      </c>
    </row>
    <row r="4043" spans="1:14" ht="19.5" hidden="1" thickBot="1" x14ac:dyDescent="0.3">
      <c r="A4043" s="503">
        <f t="shared" si="118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7"/>
        <v>05,25</v>
      </c>
      <c r="L4043" s="508" t="s">
        <v>28</v>
      </c>
      <c r="M4043" s="508">
        <v>15579.08</v>
      </c>
      <c r="N4043" s="512">
        <v>0.5</v>
      </c>
    </row>
    <row r="4044" spans="1:14" ht="19.5" hidden="1" thickBot="1" x14ac:dyDescent="0.3">
      <c r="A4044" s="513">
        <f t="shared" si="118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7"/>
        <v>05,25</v>
      </c>
      <c r="L4044" s="518" t="s">
        <v>265</v>
      </c>
      <c r="M4044" s="518">
        <v>17551.59</v>
      </c>
      <c r="N4044" s="522">
        <v>0.375</v>
      </c>
    </row>
    <row r="4045" spans="1:14" ht="19.5" hidden="1" thickBot="1" x14ac:dyDescent="0.3">
      <c r="A4045" s="714">
        <f t="shared" si="118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7"/>
        <v>05,25</v>
      </c>
      <c r="L4045" s="535" t="s">
        <v>28</v>
      </c>
      <c r="M4045" s="535">
        <v>1278.68</v>
      </c>
      <c r="N4045" s="539">
        <v>0.41666666666666669</v>
      </c>
    </row>
    <row r="4046" spans="1:14" ht="19.5" hidden="1" thickBot="1" x14ac:dyDescent="0.3">
      <c r="A4046" s="716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7"/>
        <v>05,25</v>
      </c>
      <c r="L4046" s="567" t="s">
        <v>28</v>
      </c>
      <c r="M4046" s="567">
        <v>7299.74</v>
      </c>
      <c r="N4046" s="571">
        <v>0.41666666666666669</v>
      </c>
    </row>
    <row r="4047" spans="1:14" ht="19.5" hidden="1" thickBot="1" x14ac:dyDescent="0.3">
      <c r="A4047" s="715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7"/>
        <v>05,25</v>
      </c>
      <c r="L4047" s="640" t="s">
        <v>28</v>
      </c>
      <c r="M4047" s="640">
        <v>9210.5299999999988</v>
      </c>
      <c r="N4047" s="644">
        <v>0.41666666666666669</v>
      </c>
    </row>
    <row r="4048" spans="1:14" ht="19.5" hidden="1" thickBot="1" x14ac:dyDescent="0.3">
      <c r="A4048" s="711">
        <f t="shared" si="118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7"/>
        <v>05,25</v>
      </c>
      <c r="L4048" s="483" t="s">
        <v>28</v>
      </c>
      <c r="M4048" s="483">
        <v>3184.8</v>
      </c>
      <c r="N4048" s="486">
        <v>0.45833333333333331</v>
      </c>
    </row>
    <row r="4049" spans="1:14" ht="19.5" hidden="1" thickBot="1" x14ac:dyDescent="0.3">
      <c r="A4049" s="713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7"/>
        <v>05,25</v>
      </c>
      <c r="L4049" s="527" t="s">
        <v>28</v>
      </c>
      <c r="M4049" s="527">
        <v>3512.7700000000004</v>
      </c>
      <c r="N4049" s="530">
        <v>0.45833333333333331</v>
      </c>
    </row>
    <row r="4050" spans="1:14" ht="19.5" hidden="1" thickBot="1" x14ac:dyDescent="0.3">
      <c r="A4050" s="712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7"/>
        <v>05,25</v>
      </c>
      <c r="L4050" s="649" t="s">
        <v>28</v>
      </c>
      <c r="M4050" s="649">
        <v>11067.599999999999</v>
      </c>
      <c r="N4050" s="653">
        <v>0.45833333333333331</v>
      </c>
    </row>
    <row r="4051" spans="1:14" ht="57" hidden="1" thickBot="1" x14ac:dyDescent="0.3">
      <c r="A4051" s="503">
        <f t="shared" si="118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7"/>
        <v>05,25</v>
      </c>
      <c r="L4051" s="508" t="s">
        <v>28</v>
      </c>
      <c r="M4051" s="508">
        <v>5666.8200000000006</v>
      </c>
      <c r="N4051" s="512">
        <v>0.41666666666666669</v>
      </c>
    </row>
    <row r="4052" spans="1:14" ht="19.5" hidden="1" thickBot="1" x14ac:dyDescent="0.3">
      <c r="A4052" s="513">
        <f t="shared" si="118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7"/>
        <v>05,25</v>
      </c>
      <c r="L4052" s="518" t="s">
        <v>28</v>
      </c>
      <c r="M4052" s="518">
        <v>11921.960000000003</v>
      </c>
      <c r="N4052" s="522">
        <v>0.41666666666666669</v>
      </c>
    </row>
    <row r="4053" spans="1:14" ht="19.5" hidden="1" thickBot="1" x14ac:dyDescent="0.3">
      <c r="A4053" s="714">
        <f t="shared" si="118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7"/>
        <v>05,25</v>
      </c>
      <c r="L4053" s="535" t="s">
        <v>28</v>
      </c>
      <c r="M4053" s="535">
        <v>9314.5200000000023</v>
      </c>
      <c r="N4053" s="539">
        <v>0.45833333333333331</v>
      </c>
    </row>
    <row r="4054" spans="1:14" ht="19.5" hidden="1" thickBot="1" x14ac:dyDescent="0.3">
      <c r="A4054" s="715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7"/>
        <v>05,25</v>
      </c>
      <c r="L4054" s="640" t="s">
        <v>28</v>
      </c>
      <c r="M4054" s="640">
        <v>3285.8399999999997</v>
      </c>
      <c r="N4054" s="644">
        <v>0.45833333333333331</v>
      </c>
    </row>
    <row r="4055" spans="1:14" ht="19.5" hidden="1" thickBot="1" x14ac:dyDescent="0.3">
      <c r="A4055" s="711">
        <f t="shared" si="118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720" t="s">
        <v>906</v>
      </c>
      <c r="H4055" s="483" t="s">
        <v>904</v>
      </c>
      <c r="I4055" s="484" t="s">
        <v>904</v>
      </c>
      <c r="J4055" s="485"/>
      <c r="K4055" s="483" t="str">
        <f t="shared" si="117"/>
        <v>05,25</v>
      </c>
      <c r="L4055" s="483" t="s">
        <v>28</v>
      </c>
      <c r="M4055" s="483">
        <v>7603.92</v>
      </c>
      <c r="N4055" s="486">
        <v>0.5</v>
      </c>
    </row>
    <row r="4056" spans="1:14" ht="19.5" hidden="1" thickBot="1" x14ac:dyDescent="0.3">
      <c r="A4056" s="712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721"/>
      <c r="H4056" s="649" t="s">
        <v>904</v>
      </c>
      <c r="I4056" s="651" t="s">
        <v>904</v>
      </c>
      <c r="J4056" s="652"/>
      <c r="K4056" s="649" t="str">
        <f t="shared" si="117"/>
        <v>05,25</v>
      </c>
      <c r="L4056" s="649" t="s">
        <v>28</v>
      </c>
      <c r="M4056" s="649">
        <v>2646.7200000000003</v>
      </c>
      <c r="N4056" s="653">
        <v>0.5</v>
      </c>
    </row>
    <row r="4057" spans="1:14" ht="19.5" hidden="1" thickBot="1" x14ac:dyDescent="0.3">
      <c r="A4057" s="503">
        <f t="shared" ref="A4057:A4120" si="119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7"/>
        <v>05,25</v>
      </c>
      <c r="L4057" s="508" t="s">
        <v>266</v>
      </c>
      <c r="M4057" s="508">
        <v>8250.35</v>
      </c>
      <c r="N4057" s="512">
        <v>0.5</v>
      </c>
    </row>
    <row r="4058" spans="1:14" ht="19.5" hidden="1" thickBot="1" x14ac:dyDescent="0.3">
      <c r="A4058" s="711">
        <f t="shared" si="119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7"/>
        <v>05,25</v>
      </c>
      <c r="L4058" s="483" t="s">
        <v>266</v>
      </c>
      <c r="M4058" s="483">
        <v>4063.2000000000003</v>
      </c>
      <c r="N4058" s="486">
        <v>0.5</v>
      </c>
    </row>
    <row r="4059" spans="1:14" ht="19.5" hidden="1" thickBot="1" x14ac:dyDescent="0.3">
      <c r="A4059" s="713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7"/>
        <v>05,25</v>
      </c>
      <c r="L4059" s="499" t="s">
        <v>266</v>
      </c>
      <c r="M4059" s="499">
        <v>13715.470000000001</v>
      </c>
      <c r="N4059" s="502">
        <v>0.5</v>
      </c>
    </row>
    <row r="4060" spans="1:14" ht="19.5" hidden="1" thickBot="1" x14ac:dyDescent="0.3">
      <c r="A4060" s="503">
        <f t="shared" si="119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7"/>
        <v>05,25</v>
      </c>
      <c r="L4060" s="508" t="s">
        <v>266</v>
      </c>
      <c r="M4060" s="508">
        <v>18193.62</v>
      </c>
      <c r="N4060" s="512">
        <v>0.41666666666666669</v>
      </c>
    </row>
    <row r="4061" spans="1:14" ht="19.5" hidden="1" thickBot="1" x14ac:dyDescent="0.3">
      <c r="A4061" s="513">
        <f t="shared" si="119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7"/>
        <v>05,25</v>
      </c>
      <c r="L4061" s="518" t="s">
        <v>266</v>
      </c>
      <c r="M4061" s="518">
        <v>18116.019999999997</v>
      </c>
      <c r="N4061" s="522">
        <v>0.45833333333333331</v>
      </c>
    </row>
    <row r="4062" spans="1:14" ht="19.5" hidden="1" thickBot="1" x14ac:dyDescent="0.3">
      <c r="A4062" s="503">
        <f t="shared" si="119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7"/>
        <v>05,25</v>
      </c>
      <c r="L4062" s="508" t="s">
        <v>266</v>
      </c>
      <c r="M4062" s="508">
        <v>18051.599999999999</v>
      </c>
      <c r="N4062" s="512">
        <v>0.5</v>
      </c>
    </row>
    <row r="4063" spans="1:14" ht="38.25" hidden="1" thickBot="1" x14ac:dyDescent="0.3">
      <c r="A4063" s="513">
        <f t="shared" si="119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7"/>
        <v>05,25</v>
      </c>
      <c r="L4063" s="518" t="s">
        <v>28</v>
      </c>
      <c r="M4063" s="518">
        <v>17482.919999999998</v>
      </c>
      <c r="N4063" s="522">
        <v>0.54166666666666663</v>
      </c>
    </row>
    <row r="4064" spans="1:14" ht="19.5" hidden="1" thickBot="1" x14ac:dyDescent="0.3">
      <c r="A4064" s="714">
        <f t="shared" si="119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717" t="s">
        <v>467</v>
      </c>
      <c r="H4064" s="535" t="s">
        <v>909</v>
      </c>
      <c r="I4064" s="537" t="s">
        <v>909</v>
      </c>
      <c r="J4064" s="538"/>
      <c r="K4064" s="535" t="str">
        <f t="shared" si="117"/>
        <v>05,25</v>
      </c>
      <c r="L4064" s="535" t="s">
        <v>266</v>
      </c>
      <c r="M4064" s="535">
        <v>2846.2400000000007</v>
      </c>
      <c r="N4064" s="539">
        <v>0.58333333333333337</v>
      </c>
    </row>
    <row r="4065" spans="1:14" ht="19.5" hidden="1" thickBot="1" x14ac:dyDescent="0.3">
      <c r="A4065" s="715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718"/>
      <c r="H4065" s="640" t="s">
        <v>909</v>
      </c>
      <c r="I4065" s="642" t="s">
        <v>909</v>
      </c>
      <c r="J4065" s="643"/>
      <c r="K4065" s="640" t="str">
        <f t="shared" si="117"/>
        <v>05,25</v>
      </c>
      <c r="L4065" s="640" t="s">
        <v>266</v>
      </c>
      <c r="M4065" s="640">
        <v>5026.2</v>
      </c>
      <c r="N4065" s="644">
        <v>0.58333333333333337</v>
      </c>
    </row>
    <row r="4066" spans="1:14" ht="19.5" hidden="1" thickBot="1" x14ac:dyDescent="0.3">
      <c r="A4066" s="711">
        <f t="shared" si="119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7"/>
        <v>05,25</v>
      </c>
      <c r="L4066" s="483" t="s">
        <v>266</v>
      </c>
      <c r="M4066" s="483">
        <v>3015</v>
      </c>
      <c r="N4066" s="486">
        <v>0.625</v>
      </c>
    </row>
    <row r="4067" spans="1:14" ht="19.5" hidden="1" thickBot="1" x14ac:dyDescent="0.3">
      <c r="A4067" s="713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7"/>
        <v>05,25</v>
      </c>
      <c r="L4067" s="527" t="s">
        <v>266</v>
      </c>
      <c r="M4067" s="527">
        <v>7028.4</v>
      </c>
      <c r="N4067" s="530">
        <v>0.625</v>
      </c>
    </row>
    <row r="4068" spans="1:14" ht="19.5" hidden="1" thickBot="1" x14ac:dyDescent="0.3">
      <c r="A4068" s="713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7"/>
        <v>05,25</v>
      </c>
      <c r="L4068" s="527" t="s">
        <v>266</v>
      </c>
      <c r="M4068" s="527">
        <v>831.8</v>
      </c>
      <c r="N4068" s="530">
        <v>0.625</v>
      </c>
    </row>
    <row r="4069" spans="1:14" ht="19.5" hidden="1" thickBot="1" x14ac:dyDescent="0.3">
      <c r="A4069" s="713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7"/>
        <v>05,25</v>
      </c>
      <c r="L4069" s="527" t="s">
        <v>266</v>
      </c>
      <c r="M4069" s="527">
        <v>4817.72</v>
      </c>
      <c r="N4069" s="530">
        <v>0.625</v>
      </c>
    </row>
    <row r="4070" spans="1:14" ht="19.5" hidden="1" thickBot="1" x14ac:dyDescent="0.3">
      <c r="A4070" s="713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7"/>
        <v>05,25</v>
      </c>
      <c r="L4070" s="499" t="s">
        <v>266</v>
      </c>
      <c r="M4070" s="499">
        <v>1428</v>
      </c>
      <c r="N4070" s="502">
        <v>0.625</v>
      </c>
    </row>
    <row r="4071" spans="1:14" ht="19.5" hidden="1" thickBot="1" x14ac:dyDescent="0.3">
      <c r="A4071" s="714">
        <f t="shared" si="119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7"/>
        <v>05,25</v>
      </c>
      <c r="L4071" s="535" t="s">
        <v>265</v>
      </c>
      <c r="M4071" s="535">
        <v>14438.700000000003</v>
      </c>
      <c r="N4071" s="539">
        <v>0.375</v>
      </c>
    </row>
    <row r="4072" spans="1:14" ht="19.5" hidden="1" thickBot="1" x14ac:dyDescent="0.3">
      <c r="A4072" s="715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7"/>
        <v>05,25</v>
      </c>
      <c r="L4072" s="640" t="s">
        <v>265</v>
      </c>
      <c r="M4072" s="640">
        <v>2926.3999999999996</v>
      </c>
      <c r="N4072" s="644">
        <v>0.375</v>
      </c>
    </row>
    <row r="4073" spans="1:14" ht="19.5" hidden="1" thickBot="1" x14ac:dyDescent="0.3">
      <c r="A4073" s="513">
        <f t="shared" si="119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7"/>
        <v>05,25</v>
      </c>
      <c r="L4073" s="518" t="s">
        <v>265</v>
      </c>
      <c r="M4073" s="518">
        <v>17682.86</v>
      </c>
      <c r="N4073" s="522">
        <v>0.375</v>
      </c>
    </row>
    <row r="4074" spans="1:14" ht="19.5" hidden="1" thickBot="1" x14ac:dyDescent="0.3">
      <c r="A4074" s="503">
        <f t="shared" si="119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7"/>
        <v>05,25</v>
      </c>
      <c r="L4074" s="508" t="s">
        <v>265</v>
      </c>
      <c r="M4074" s="508">
        <v>12404.039999999999</v>
      </c>
      <c r="N4074" s="512">
        <v>0.375</v>
      </c>
    </row>
    <row r="4075" spans="1:14" ht="19.5" hidden="1" thickBot="1" x14ac:dyDescent="0.3">
      <c r="A4075" s="572">
        <f t="shared" si="119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7"/>
        <v>05,25</v>
      </c>
      <c r="L4075" s="577" t="s">
        <v>28</v>
      </c>
      <c r="M4075" s="577">
        <v>11197.56</v>
      </c>
      <c r="N4075" s="581">
        <v>0.5</v>
      </c>
    </row>
    <row r="4076" spans="1:14" ht="19.5" hidden="1" thickBot="1" x14ac:dyDescent="0.3">
      <c r="A4076" s="503">
        <f t="shared" si="119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7"/>
        <v>06,25</v>
      </c>
      <c r="L4076" s="508" t="s">
        <v>265</v>
      </c>
      <c r="M4076" s="508">
        <v>17531.23</v>
      </c>
      <c r="N4076" s="512">
        <v>0.375</v>
      </c>
    </row>
    <row r="4077" spans="1:14" ht="19.5" hidden="1" thickBot="1" x14ac:dyDescent="0.3">
      <c r="A4077" s="711">
        <f t="shared" si="119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7"/>
        <v>05,25</v>
      </c>
      <c r="L4077" s="483" t="s">
        <v>28</v>
      </c>
      <c r="M4077" s="483">
        <v>15616.040000000003</v>
      </c>
      <c r="N4077" s="486">
        <v>0.41666666666666669</v>
      </c>
    </row>
    <row r="4078" spans="1:14" ht="57" hidden="1" thickBot="1" x14ac:dyDescent="0.3">
      <c r="A4078" s="712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7"/>
        <v>05,25</v>
      </c>
      <c r="L4078" s="649" t="s">
        <v>28</v>
      </c>
      <c r="M4078" s="649">
        <v>2190.08</v>
      </c>
      <c r="N4078" s="653">
        <v>0.41666666666666669</v>
      </c>
    </row>
    <row r="4079" spans="1:14" ht="19.5" hidden="1" thickBot="1" x14ac:dyDescent="0.3">
      <c r="A4079" s="503">
        <f t="shared" si="119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7"/>
        <v>05,25</v>
      </c>
      <c r="L4079" s="508" t="s">
        <v>265</v>
      </c>
      <c r="M4079" s="508">
        <v>13697.92</v>
      </c>
      <c r="N4079" s="512">
        <v>0.375</v>
      </c>
    </row>
    <row r="4080" spans="1:14" ht="19.5" hidden="1" thickBot="1" x14ac:dyDescent="0.3">
      <c r="A4080" s="513">
        <f t="shared" si="119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7"/>
        <v>05,25</v>
      </c>
      <c r="L4080" s="518" t="s">
        <v>28</v>
      </c>
      <c r="M4080" s="518">
        <v>13241.84</v>
      </c>
      <c r="N4080" s="522">
        <v>0.41666666666666669</v>
      </c>
    </row>
    <row r="4081" spans="1:14" ht="19.5" hidden="1" thickBot="1" x14ac:dyDescent="0.3">
      <c r="A4081" s="503">
        <f t="shared" si="119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7"/>
        <v>05,25</v>
      </c>
      <c r="L4081" s="508" t="s">
        <v>28</v>
      </c>
      <c r="M4081" s="508">
        <v>16805.160000000003</v>
      </c>
      <c r="N4081" s="512">
        <v>0.45833333333333331</v>
      </c>
    </row>
    <row r="4082" spans="1:14" ht="19.5" hidden="1" thickBot="1" x14ac:dyDescent="0.3">
      <c r="A4082" s="711">
        <f t="shared" si="119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7"/>
        <v>05,25</v>
      </c>
      <c r="L4082" s="483" t="s">
        <v>266</v>
      </c>
      <c r="M4082" s="483">
        <v>3106.8399999999997</v>
      </c>
      <c r="N4082" s="486">
        <v>0.5</v>
      </c>
    </row>
    <row r="4083" spans="1:14" ht="19.5" hidden="1" thickBot="1" x14ac:dyDescent="0.3">
      <c r="A4083" s="713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7"/>
        <v>05,25</v>
      </c>
      <c r="L4083" s="527" t="s">
        <v>28</v>
      </c>
      <c r="M4083" s="527">
        <v>1735.0800000000002</v>
      </c>
      <c r="N4083" s="530">
        <v>0.5</v>
      </c>
    </row>
    <row r="4084" spans="1:14" ht="19.5" hidden="1" thickBot="1" x14ac:dyDescent="0.3">
      <c r="A4084" s="712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7"/>
        <v>05,25</v>
      </c>
      <c r="L4084" s="649" t="s">
        <v>28</v>
      </c>
      <c r="M4084" s="649">
        <v>12330.210000000001</v>
      </c>
      <c r="N4084" s="653">
        <v>0.5</v>
      </c>
    </row>
    <row r="4085" spans="1:14" ht="19.5" hidden="1" thickBot="1" x14ac:dyDescent="0.3">
      <c r="A4085" s="714">
        <f t="shared" si="119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7"/>
        <v>05,25</v>
      </c>
      <c r="L4085" s="535" t="s">
        <v>28</v>
      </c>
      <c r="M4085" s="535">
        <v>9659.0000000000018</v>
      </c>
      <c r="N4085" s="539">
        <v>0.54166666666666663</v>
      </c>
    </row>
    <row r="4086" spans="1:14" ht="19.5" hidden="1" thickBot="1" x14ac:dyDescent="0.3">
      <c r="A4086" s="715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7"/>
        <v>05,25</v>
      </c>
      <c r="L4086" s="640" t="s">
        <v>28</v>
      </c>
      <c r="M4086" s="640">
        <v>7494.66</v>
      </c>
      <c r="N4086" s="644">
        <v>0.54166666666666663</v>
      </c>
    </row>
    <row r="4087" spans="1:14" ht="19.5" hidden="1" thickBot="1" x14ac:dyDescent="0.3">
      <c r="A4087" s="711">
        <f t="shared" si="119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7"/>
        <v>05,25</v>
      </c>
      <c r="L4087" s="483" t="s">
        <v>28</v>
      </c>
      <c r="M4087" s="483">
        <v>2231.58</v>
      </c>
      <c r="N4087" s="486">
        <v>0.58333333333333337</v>
      </c>
    </row>
    <row r="4088" spans="1:14" ht="19.5" hidden="1" thickBot="1" x14ac:dyDescent="0.3">
      <c r="A4088" s="713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7"/>
        <v>05,25</v>
      </c>
      <c r="L4088" s="527" t="s">
        <v>28</v>
      </c>
      <c r="M4088" s="527">
        <v>6023.22</v>
      </c>
      <c r="N4088" s="530">
        <v>0.58333333333333337</v>
      </c>
    </row>
    <row r="4089" spans="1:14" ht="19.5" hidden="1" thickBot="1" x14ac:dyDescent="0.3">
      <c r="A4089" s="713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7"/>
        <v>05,25</v>
      </c>
      <c r="L4089" s="499" t="s">
        <v>28</v>
      </c>
      <c r="M4089" s="499">
        <v>8970.24</v>
      </c>
      <c r="N4089" s="502">
        <v>0.58333333333333337</v>
      </c>
    </row>
    <row r="4090" spans="1:14" ht="25.5" hidden="1" customHeight="1" x14ac:dyDescent="0.25">
      <c r="A4090" s="714">
        <f t="shared" si="119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717" t="s">
        <v>916</v>
      </c>
      <c r="H4090" s="535" t="s">
        <v>911</v>
      </c>
      <c r="I4090" s="537" t="s">
        <v>915</v>
      </c>
      <c r="J4090" s="538"/>
      <c r="K4090" s="535" t="str">
        <f t="shared" si="117"/>
        <v>06,25</v>
      </c>
      <c r="L4090" s="535" t="s">
        <v>28</v>
      </c>
      <c r="M4090" s="535">
        <v>1989.9</v>
      </c>
      <c r="N4090" s="539">
        <v>0.41666666666666669</v>
      </c>
    </row>
    <row r="4091" spans="1:14" ht="25.5" hidden="1" customHeight="1" x14ac:dyDescent="0.25">
      <c r="A4091" s="716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719"/>
      <c r="H4091" s="567" t="s">
        <v>911</v>
      </c>
      <c r="I4091" s="569" t="s">
        <v>915</v>
      </c>
      <c r="J4091" s="570"/>
      <c r="K4091" s="567" t="str">
        <f t="shared" si="117"/>
        <v>06,25</v>
      </c>
      <c r="L4091" s="567" t="s">
        <v>28</v>
      </c>
      <c r="M4091" s="567">
        <v>6221.43</v>
      </c>
      <c r="N4091" s="571">
        <v>0.41666666666666669</v>
      </c>
    </row>
    <row r="4092" spans="1:14" ht="25.5" hidden="1" customHeight="1" thickBot="1" x14ac:dyDescent="0.3">
      <c r="A4092" s="715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718"/>
      <c r="H4092" s="640" t="s">
        <v>911</v>
      </c>
      <c r="I4092" s="642" t="s">
        <v>915</v>
      </c>
      <c r="J4092" s="643"/>
      <c r="K4092" s="640" t="str">
        <f t="shared" si="117"/>
        <v>06,25</v>
      </c>
      <c r="L4092" s="640" t="s">
        <v>28</v>
      </c>
      <c r="M4092" s="640">
        <v>4749.1000000000004</v>
      </c>
      <c r="N4092" s="644">
        <v>0.41666666666666669</v>
      </c>
    </row>
    <row r="4093" spans="1:14" ht="19.5" hidden="1" thickBot="1" x14ac:dyDescent="0.3">
      <c r="A4093" s="513">
        <f t="shared" si="119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7"/>
        <v>06,25</v>
      </c>
      <c r="L4093" s="518" t="s">
        <v>28</v>
      </c>
      <c r="M4093" s="518">
        <v>15099.340000000004</v>
      </c>
      <c r="N4093" s="522">
        <v>0.45833333333333331</v>
      </c>
    </row>
    <row r="4094" spans="1:14" ht="19.5" hidden="1" thickBot="1" x14ac:dyDescent="0.3">
      <c r="A4094" s="503">
        <f t="shared" si="119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7"/>
        <v>06,25</v>
      </c>
      <c r="L4094" s="508" t="s">
        <v>266</v>
      </c>
      <c r="M4094" s="508">
        <v>13857.820000000002</v>
      </c>
      <c r="N4094" s="512">
        <v>0.66666666666666663</v>
      </c>
    </row>
    <row r="4095" spans="1:14" ht="19.5" hidden="1" thickBot="1" x14ac:dyDescent="0.3">
      <c r="A4095" s="513">
        <f t="shared" si="119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7"/>
        <v>06,25</v>
      </c>
      <c r="L4095" s="518" t="s">
        <v>265</v>
      </c>
      <c r="M4095" s="518">
        <v>17578.91</v>
      </c>
      <c r="N4095" s="522">
        <v>0.375</v>
      </c>
    </row>
    <row r="4096" spans="1:14" ht="19.5" hidden="1" thickBot="1" x14ac:dyDescent="0.3">
      <c r="A4096" s="714">
        <f t="shared" si="119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7"/>
        <v>06,25</v>
      </c>
      <c r="L4096" s="535" t="s">
        <v>28</v>
      </c>
      <c r="M4096" s="535">
        <v>4389.43</v>
      </c>
      <c r="N4096" s="539">
        <v>0.41666666666666669</v>
      </c>
    </row>
    <row r="4097" spans="1:14" ht="19.5" hidden="1" thickBot="1" x14ac:dyDescent="0.3">
      <c r="A4097" s="715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7"/>
        <v>06,25</v>
      </c>
      <c r="L4097" s="640" t="s">
        <v>28</v>
      </c>
      <c r="M4097" s="640">
        <v>13113.96</v>
      </c>
      <c r="N4097" s="644">
        <v>0.41666666666666669</v>
      </c>
    </row>
    <row r="4098" spans="1:14" ht="19.5" hidden="1" thickBot="1" x14ac:dyDescent="0.3">
      <c r="A4098" s="513">
        <f t="shared" si="119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7"/>
        <v>06,25</v>
      </c>
      <c r="L4098" s="518" t="s">
        <v>265</v>
      </c>
      <c r="M4098" s="518">
        <v>17563.13</v>
      </c>
      <c r="N4098" s="522">
        <v>0.375</v>
      </c>
    </row>
    <row r="4099" spans="1:14" ht="19.5" hidden="1" thickBot="1" x14ac:dyDescent="0.3">
      <c r="A4099" s="714">
        <f t="shared" si="119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7"/>
        <v>06,25</v>
      </c>
      <c r="L4099" s="535" t="s">
        <v>28</v>
      </c>
      <c r="M4099" s="535">
        <v>3787.7999999999997</v>
      </c>
      <c r="N4099" s="539">
        <v>0.41666666666666669</v>
      </c>
    </row>
    <row r="4100" spans="1:14" ht="19.5" hidden="1" thickBot="1" x14ac:dyDescent="0.3">
      <c r="A4100" s="716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7"/>
        <v>06,25</v>
      </c>
      <c r="L4100" s="567" t="s">
        <v>28</v>
      </c>
      <c r="M4100" s="567">
        <v>3131.6400000000003</v>
      </c>
      <c r="N4100" s="571">
        <v>0.41666666666666669</v>
      </c>
    </row>
    <row r="4101" spans="1:14" ht="19.5" hidden="1" thickBot="1" x14ac:dyDescent="0.3">
      <c r="A4101" s="715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7"/>
        <v>06,25</v>
      </c>
      <c r="L4101" s="640" t="s">
        <v>28</v>
      </c>
      <c r="M4101" s="640">
        <v>4758.8</v>
      </c>
      <c r="N4101" s="644">
        <v>0.41666666666666669</v>
      </c>
    </row>
    <row r="4102" spans="1:14" ht="19.5" hidden="1" thickBot="1" x14ac:dyDescent="0.3">
      <c r="A4102" s="513">
        <f t="shared" si="119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7"/>
        <v>06,25</v>
      </c>
      <c r="L4102" s="518" t="s">
        <v>28</v>
      </c>
      <c r="M4102" s="518">
        <v>13694.44</v>
      </c>
      <c r="N4102" s="522">
        <v>0.45833333333333331</v>
      </c>
    </row>
    <row r="4103" spans="1:14" ht="38.25" hidden="1" thickBot="1" x14ac:dyDescent="0.3">
      <c r="A4103" s="551">
        <f t="shared" si="119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7"/>
        <v>06,25</v>
      </c>
      <c r="L4103" s="556" t="s">
        <v>28</v>
      </c>
      <c r="M4103" s="556">
        <v>17924.64</v>
      </c>
      <c r="N4103" s="560">
        <v>0.41666666666666669</v>
      </c>
    </row>
    <row r="4104" spans="1:14" ht="19.5" hidden="1" thickBot="1" x14ac:dyDescent="0.3">
      <c r="A4104" s="513">
        <f t="shared" si="119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7"/>
        <v>06,25</v>
      </c>
      <c r="L4104" s="518" t="s">
        <v>266</v>
      </c>
      <c r="M4104" s="518">
        <v>18142.920000000002</v>
      </c>
      <c r="N4104" s="522">
        <v>0.41666666666666669</v>
      </c>
    </row>
    <row r="4105" spans="1:14" ht="19.5" hidden="1" thickBot="1" x14ac:dyDescent="0.3">
      <c r="A4105" s="503">
        <f t="shared" si="119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7"/>
        <v>06,25</v>
      </c>
      <c r="L4105" s="508" t="s">
        <v>266</v>
      </c>
      <c r="M4105" s="508">
        <v>18067.700000000004</v>
      </c>
      <c r="N4105" s="512">
        <v>0.45833333333333331</v>
      </c>
    </row>
    <row r="4106" spans="1:14" ht="19.5" hidden="1" thickBot="1" x14ac:dyDescent="0.3">
      <c r="A4106" s="711">
        <f t="shared" si="119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7"/>
        <v>06,25</v>
      </c>
      <c r="L4106" s="483" t="s">
        <v>266</v>
      </c>
      <c r="M4106" s="483">
        <v>5229.3</v>
      </c>
      <c r="N4106" s="486">
        <v>0.5</v>
      </c>
    </row>
    <row r="4107" spans="1:14" ht="19.5" hidden="1" thickBot="1" x14ac:dyDescent="0.3">
      <c r="A4107" s="713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7"/>
        <v>06,25</v>
      </c>
      <c r="L4107" s="527" t="s">
        <v>266</v>
      </c>
      <c r="M4107" s="527">
        <v>7640.03</v>
      </c>
      <c r="N4107" s="530">
        <v>0.5</v>
      </c>
    </row>
    <row r="4108" spans="1:14" ht="19.5" hidden="1" thickBot="1" x14ac:dyDescent="0.3">
      <c r="A4108" s="712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7"/>
        <v>06,25</v>
      </c>
      <c r="L4108" s="649" t="s">
        <v>266</v>
      </c>
      <c r="M4108" s="649">
        <v>5007.5999999999995</v>
      </c>
      <c r="N4108" s="653">
        <v>0.5</v>
      </c>
    </row>
    <row r="4109" spans="1:14" ht="19.5" hidden="1" thickBot="1" x14ac:dyDescent="0.3">
      <c r="A4109" s="714">
        <f t="shared" si="119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7"/>
        <v>06,25</v>
      </c>
      <c r="L4109" s="535" t="s">
        <v>266</v>
      </c>
      <c r="M4109" s="535">
        <v>6150.4000000000005</v>
      </c>
      <c r="N4109" s="539">
        <v>0.54166666666666663</v>
      </c>
    </row>
    <row r="4110" spans="1:14" ht="19.5" hidden="1" thickBot="1" x14ac:dyDescent="0.3">
      <c r="A4110" s="716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7"/>
        <v>06,25</v>
      </c>
      <c r="L4110" s="567" t="s">
        <v>266</v>
      </c>
      <c r="M4110" s="567">
        <v>1862.68</v>
      </c>
      <c r="N4110" s="571">
        <v>0.54166666666666663</v>
      </c>
    </row>
    <row r="4111" spans="1:14" ht="19.5" hidden="1" thickBot="1" x14ac:dyDescent="0.3">
      <c r="A4111" s="716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7"/>
        <v>06,25</v>
      </c>
      <c r="L4111" s="567" t="s">
        <v>266</v>
      </c>
      <c r="M4111" s="567">
        <v>4653.16</v>
      </c>
      <c r="N4111" s="571">
        <v>0.54166666666666663</v>
      </c>
    </row>
    <row r="4112" spans="1:14" ht="19.5" hidden="1" thickBot="1" x14ac:dyDescent="0.3">
      <c r="A4112" s="716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7"/>
        <v>06,25</v>
      </c>
      <c r="L4112" s="567" t="s">
        <v>266</v>
      </c>
      <c r="M4112" s="567">
        <v>2916.47</v>
      </c>
      <c r="N4112" s="571">
        <v>0.54166666666666663</v>
      </c>
    </row>
    <row r="4113" spans="1:14" ht="19.5" hidden="1" thickBot="1" x14ac:dyDescent="0.3">
      <c r="A4113" s="716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7"/>
        <v>06,25</v>
      </c>
      <c r="L4113" s="594" t="s">
        <v>266</v>
      </c>
      <c r="M4113" s="594">
        <v>1990.0200000000002</v>
      </c>
      <c r="N4113" s="598">
        <v>0.54166666666666663</v>
      </c>
    </row>
    <row r="4114" spans="1:14" ht="19.5" hidden="1" thickBot="1" x14ac:dyDescent="0.3">
      <c r="A4114" s="711">
        <f t="shared" si="119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7"/>
        <v>06,25</v>
      </c>
      <c r="L4114" s="483" t="s">
        <v>265</v>
      </c>
      <c r="M4114" s="483">
        <v>8896.7799999999988</v>
      </c>
      <c r="N4114" s="486">
        <v>0.375</v>
      </c>
    </row>
    <row r="4115" spans="1:14" ht="19.5" hidden="1" thickBot="1" x14ac:dyDescent="0.3">
      <c r="A4115" s="712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7"/>
        <v>06,25</v>
      </c>
      <c r="L4115" s="649" t="s">
        <v>265</v>
      </c>
      <c r="M4115" s="649">
        <v>8655.4</v>
      </c>
      <c r="N4115" s="653">
        <v>0.375</v>
      </c>
    </row>
    <row r="4116" spans="1:14" ht="19.5" hidden="1" thickBot="1" x14ac:dyDescent="0.3">
      <c r="A4116" s="503">
        <f t="shared" si="119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7"/>
        <v>06,25</v>
      </c>
      <c r="L4116" s="508" t="s">
        <v>265</v>
      </c>
      <c r="M4116" s="508">
        <v>17690.46</v>
      </c>
      <c r="N4116" s="512">
        <v>0.375</v>
      </c>
    </row>
    <row r="4117" spans="1:14" ht="19.5" hidden="1" thickBot="1" x14ac:dyDescent="0.3">
      <c r="A4117" s="513">
        <f t="shared" si="119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7"/>
        <v>06,25</v>
      </c>
      <c r="L4117" s="518" t="s">
        <v>265</v>
      </c>
      <c r="M4117" s="518">
        <v>12661</v>
      </c>
      <c r="N4117" s="522">
        <v>0.375</v>
      </c>
    </row>
    <row r="4118" spans="1:14" ht="19.5" hidden="1" thickBot="1" x14ac:dyDescent="0.3">
      <c r="A4118" s="551">
        <f t="shared" si="119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7"/>
        <v>06,25</v>
      </c>
      <c r="L4118" s="556" t="s">
        <v>266</v>
      </c>
      <c r="M4118" s="556">
        <v>10278.24</v>
      </c>
      <c r="N4118" s="560">
        <v>0.41666666666666669</v>
      </c>
    </row>
    <row r="4119" spans="1:14" ht="19.5" hidden="1" thickBot="1" x14ac:dyDescent="0.3">
      <c r="A4119" s="513">
        <f t="shared" si="119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7"/>
        <v>06,25</v>
      </c>
      <c r="L4119" s="518" t="s">
        <v>28</v>
      </c>
      <c r="M4119" s="518">
        <v>17782.080000000002</v>
      </c>
      <c r="N4119" s="522">
        <v>0.41666666666666669</v>
      </c>
    </row>
    <row r="4120" spans="1:14" ht="19.5" hidden="1" thickBot="1" x14ac:dyDescent="0.3">
      <c r="A4120" s="714">
        <f t="shared" si="119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7"/>
        <v>06,25</v>
      </c>
      <c r="L4120" s="535" t="s">
        <v>28</v>
      </c>
      <c r="M4120" s="535">
        <v>1417.92</v>
      </c>
      <c r="N4120" s="539">
        <v>0.45833333333333331</v>
      </c>
    </row>
    <row r="4121" spans="1:14" ht="19.5" hidden="1" thickBot="1" x14ac:dyDescent="0.3">
      <c r="A4121" s="716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7"/>
        <v>06,25</v>
      </c>
      <c r="L4121" s="567" t="s">
        <v>28</v>
      </c>
      <c r="M4121" s="567">
        <v>13437.330000000002</v>
      </c>
      <c r="N4121" s="571">
        <v>0.45833333333333331</v>
      </c>
    </row>
    <row r="4122" spans="1:14" ht="19.5" hidden="1" thickBot="1" x14ac:dyDescent="0.3">
      <c r="A4122" s="715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7"/>
        <v>06,25</v>
      </c>
      <c r="L4122" s="640" t="s">
        <v>28</v>
      </c>
      <c r="M4122" s="640">
        <v>2957.4</v>
      </c>
      <c r="N4122" s="644">
        <v>0.45833333333333331</v>
      </c>
    </row>
    <row r="4123" spans="1:14" ht="19.5" hidden="1" thickBot="1" x14ac:dyDescent="0.3">
      <c r="A4123" s="711">
        <f t="shared" ref="A4123:A4186" si="120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7"/>
        <v>06,25</v>
      </c>
      <c r="L4123" s="483" t="s">
        <v>28</v>
      </c>
      <c r="M4123" s="483">
        <v>2110.1599999999994</v>
      </c>
      <c r="N4123" s="486">
        <v>0.5</v>
      </c>
    </row>
    <row r="4124" spans="1:14" ht="19.5" hidden="1" thickBot="1" x14ac:dyDescent="0.3">
      <c r="A4124" s="713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7"/>
        <v>06,25</v>
      </c>
      <c r="L4124" s="527" t="s">
        <v>28</v>
      </c>
      <c r="M4124" s="527">
        <v>7027.0800000000008</v>
      </c>
      <c r="N4124" s="530">
        <v>0.5</v>
      </c>
    </row>
    <row r="4125" spans="1:14" ht="19.5" hidden="1" thickBot="1" x14ac:dyDescent="0.3">
      <c r="A4125" s="713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7"/>
        <v>06,25</v>
      </c>
      <c r="L4125" s="527" t="s">
        <v>28</v>
      </c>
      <c r="M4125" s="527">
        <v>689.80000000000018</v>
      </c>
      <c r="N4125" s="530">
        <v>0.5</v>
      </c>
    </row>
    <row r="4126" spans="1:14" ht="19.5" hidden="1" thickBot="1" x14ac:dyDescent="0.3">
      <c r="A4126" s="712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7"/>
        <v>06,25</v>
      </c>
      <c r="L4126" s="649" t="s">
        <v>28</v>
      </c>
      <c r="M4126" s="649">
        <v>7936.5599999999995</v>
      </c>
      <c r="N4126" s="653">
        <v>0.5</v>
      </c>
    </row>
    <row r="4127" spans="1:14" ht="19.5" hidden="1" thickBot="1" x14ac:dyDescent="0.3">
      <c r="A4127" s="503">
        <f t="shared" si="120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7"/>
        <v>06,25</v>
      </c>
      <c r="L4127" s="508" t="s">
        <v>265</v>
      </c>
      <c r="M4127" s="508">
        <v>17650.41</v>
      </c>
      <c r="N4127" s="512">
        <v>0.375</v>
      </c>
    </row>
    <row r="4128" spans="1:14" ht="19.5" hidden="1" thickBot="1" x14ac:dyDescent="0.3">
      <c r="A4128" s="572">
        <f t="shared" si="120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7"/>
        <v>06,25</v>
      </c>
      <c r="L4128" s="577" t="s">
        <v>265</v>
      </c>
      <c r="M4128" s="577">
        <v>13398.920000000002</v>
      </c>
      <c r="N4128" s="581">
        <v>0.375</v>
      </c>
    </row>
    <row r="4129" spans="1:14" ht="19.5" hidden="1" thickBot="1" x14ac:dyDescent="0.3">
      <c r="A4129" s="503">
        <f t="shared" si="120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7"/>
        <v>06,25</v>
      </c>
      <c r="L4129" s="508" t="s">
        <v>28</v>
      </c>
      <c r="M4129" s="508">
        <v>12558.6</v>
      </c>
      <c r="N4129" s="512">
        <v>0.5</v>
      </c>
    </row>
    <row r="4130" spans="1:14" ht="19.5" hidden="1" thickBot="1" x14ac:dyDescent="0.3">
      <c r="A4130" s="513">
        <f t="shared" si="120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7"/>
        <v>06,25</v>
      </c>
      <c r="L4130" s="518" t="s">
        <v>265</v>
      </c>
      <c r="M4130" s="518">
        <v>17772.96</v>
      </c>
      <c r="N4130" s="522">
        <v>0.375</v>
      </c>
    </row>
    <row r="4131" spans="1:14" ht="19.5" hidden="1" thickBot="1" x14ac:dyDescent="0.3">
      <c r="A4131" s="714">
        <f t="shared" si="120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7"/>
        <v>06,25</v>
      </c>
      <c r="L4131" s="535" t="s">
        <v>28</v>
      </c>
      <c r="M4131" s="535">
        <v>2202.48</v>
      </c>
      <c r="N4131" s="539">
        <v>0.41666666666666669</v>
      </c>
    </row>
    <row r="4132" spans="1:14" ht="19.5" hidden="1" thickBot="1" x14ac:dyDescent="0.3">
      <c r="A4132" s="715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7"/>
        <v>06,25</v>
      </c>
      <c r="L4132" s="640" t="s">
        <v>28</v>
      </c>
      <c r="M4132" s="640">
        <v>15761.09</v>
      </c>
      <c r="N4132" s="644">
        <v>0.41666666666666669</v>
      </c>
    </row>
    <row r="4133" spans="1:14" ht="19.5" hidden="1" thickBot="1" x14ac:dyDescent="0.3">
      <c r="A4133" s="711">
        <f t="shared" si="120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7"/>
        <v>06,25</v>
      </c>
      <c r="L4133" s="483" t="s">
        <v>28</v>
      </c>
      <c r="M4133" s="483">
        <v>3626.14</v>
      </c>
      <c r="N4133" s="486">
        <v>0.45833333333333331</v>
      </c>
    </row>
    <row r="4134" spans="1:14" ht="19.5" hidden="1" thickBot="1" x14ac:dyDescent="0.3">
      <c r="A4134" s="713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7"/>
        <v>06,25</v>
      </c>
      <c r="L4134" s="527" t="s">
        <v>28</v>
      </c>
      <c r="M4134" s="527">
        <v>7032.9800000000005</v>
      </c>
      <c r="N4134" s="530">
        <v>0.45833333333333331</v>
      </c>
    </row>
    <row r="4135" spans="1:14" ht="19.5" hidden="1" thickBot="1" x14ac:dyDescent="0.3">
      <c r="A4135" s="713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7"/>
        <v>06,25</v>
      </c>
      <c r="L4135" s="527" t="s">
        <v>28</v>
      </c>
      <c r="M4135" s="527">
        <v>1548.8200000000002</v>
      </c>
      <c r="N4135" s="530">
        <v>0.45833333333333331</v>
      </c>
    </row>
    <row r="4136" spans="1:14" ht="19.5" hidden="1" thickBot="1" x14ac:dyDescent="0.3">
      <c r="A4136" s="712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7"/>
        <v>06,25</v>
      </c>
      <c r="L4136" s="649" t="s">
        <v>28</v>
      </c>
      <c r="M4136" s="649">
        <v>5716.1399999999994</v>
      </c>
      <c r="N4136" s="653">
        <v>0.45833333333333331</v>
      </c>
    </row>
    <row r="4137" spans="1:14" ht="19.5" hidden="1" thickBot="1" x14ac:dyDescent="0.3">
      <c r="A4137" s="503">
        <f t="shared" si="120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7"/>
        <v>06,25</v>
      </c>
      <c r="L4137" s="508" t="s">
        <v>265</v>
      </c>
      <c r="M4137" s="508">
        <v>17696.530000000002</v>
      </c>
      <c r="N4137" s="512">
        <v>0.375</v>
      </c>
    </row>
    <row r="4138" spans="1:14" ht="19.5" hidden="1" thickBot="1" x14ac:dyDescent="0.3">
      <c r="A4138" s="711">
        <f t="shared" si="120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7"/>
        <v>06,25</v>
      </c>
      <c r="L4138" s="483" t="s">
        <v>28</v>
      </c>
      <c r="M4138" s="483">
        <v>4765.5600000000004</v>
      </c>
      <c r="N4138" s="486">
        <v>0.41666666666666669</v>
      </c>
    </row>
    <row r="4139" spans="1:14" ht="19.5" hidden="1" thickBot="1" x14ac:dyDescent="0.3">
      <c r="A4139" s="712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7"/>
        <v>06,25</v>
      </c>
      <c r="L4139" s="649" t="s">
        <v>28</v>
      </c>
      <c r="M4139" s="649">
        <v>6266.2</v>
      </c>
      <c r="N4139" s="653">
        <v>0.41666666666666669</v>
      </c>
    </row>
    <row r="4140" spans="1:14" ht="19.5" hidden="1" thickBot="1" x14ac:dyDescent="0.3">
      <c r="A4140" s="714">
        <f t="shared" si="120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7"/>
        <v>06,25</v>
      </c>
      <c r="L4140" s="535" t="s">
        <v>28</v>
      </c>
      <c r="M4140" s="535">
        <v>3678.48</v>
      </c>
      <c r="N4140" s="539">
        <v>0.45833333333333331</v>
      </c>
    </row>
    <row r="4141" spans="1:14" ht="19.5" hidden="1" thickBot="1" x14ac:dyDescent="0.3">
      <c r="A4141" s="716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7"/>
        <v>06,25</v>
      </c>
      <c r="L4141" s="567" t="s">
        <v>28</v>
      </c>
      <c r="M4141" s="567">
        <v>1077.5999999999999</v>
      </c>
      <c r="N4141" s="571">
        <v>0.45833333333333331</v>
      </c>
    </row>
    <row r="4142" spans="1:14" ht="19.5" hidden="1" thickBot="1" x14ac:dyDescent="0.3">
      <c r="A4142" s="716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7"/>
        <v>06,25</v>
      </c>
      <c r="L4142" s="594" t="s">
        <v>28</v>
      </c>
      <c r="M4142" s="594">
        <v>6289.8</v>
      </c>
      <c r="N4142" s="598">
        <v>0.45833333333333331</v>
      </c>
    </row>
    <row r="4143" spans="1:14" ht="38.25" hidden="1" thickBot="1" x14ac:dyDescent="0.3">
      <c r="A4143" s="513">
        <f t="shared" si="120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7"/>
        <v>06,25</v>
      </c>
      <c r="L4143" s="518" t="s">
        <v>28</v>
      </c>
      <c r="M4143" s="518">
        <v>17897.7</v>
      </c>
      <c r="N4143" s="522">
        <v>0.41666666666666669</v>
      </c>
    </row>
    <row r="4144" spans="1:14" ht="38.25" hidden="1" thickBot="1" x14ac:dyDescent="0.3">
      <c r="A4144" s="503">
        <f t="shared" si="120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7"/>
        <v>06,25</v>
      </c>
      <c r="L4144" s="508" t="s">
        <v>266</v>
      </c>
      <c r="M4144" s="508">
        <v>16510.440000000002</v>
      </c>
      <c r="N4144" s="512">
        <v>0.45833333333333331</v>
      </c>
    </row>
    <row r="4145" spans="1:14" ht="19.5" hidden="1" thickBot="1" x14ac:dyDescent="0.3">
      <c r="A4145" s="711">
        <f t="shared" si="120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7"/>
        <v>06,25</v>
      </c>
      <c r="L4145" s="483" t="s">
        <v>266</v>
      </c>
      <c r="M4145" s="483">
        <v>14023.949999999999</v>
      </c>
      <c r="N4145" s="486">
        <v>0.5</v>
      </c>
    </row>
    <row r="4146" spans="1:14" ht="19.5" hidden="1" thickBot="1" x14ac:dyDescent="0.3">
      <c r="A4146" s="712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7"/>
        <v>06,25</v>
      </c>
      <c r="L4146" s="649" t="s">
        <v>266</v>
      </c>
      <c r="M4146" s="649">
        <v>3180.04</v>
      </c>
      <c r="N4146" s="653">
        <v>0.5</v>
      </c>
    </row>
    <row r="4147" spans="1:14" ht="57" hidden="1" thickBot="1" x14ac:dyDescent="0.3">
      <c r="A4147" s="503">
        <f t="shared" si="120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7"/>
        <v>06,25</v>
      </c>
      <c r="L4147" s="508" t="s">
        <v>28</v>
      </c>
      <c r="M4147" s="508">
        <v>4097.76</v>
      </c>
      <c r="N4147" s="512">
        <v>0.54166666666666663</v>
      </c>
    </row>
    <row r="4148" spans="1:14" ht="19.5" hidden="1" thickBot="1" x14ac:dyDescent="0.3">
      <c r="A4148" s="572">
        <f t="shared" si="120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7"/>
        <v>06,25</v>
      </c>
      <c r="L4148" s="577" t="s">
        <v>266</v>
      </c>
      <c r="M4148" s="577">
        <v>17080.860000000004</v>
      </c>
      <c r="N4148" s="581">
        <v>0.58333333333333337</v>
      </c>
    </row>
    <row r="4149" spans="1:14" ht="19.5" hidden="1" thickBot="1" x14ac:dyDescent="0.3">
      <c r="A4149" s="503">
        <f t="shared" si="120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7"/>
        <v>06,25</v>
      </c>
      <c r="L4149" s="508" t="s">
        <v>266</v>
      </c>
      <c r="M4149" s="508">
        <v>18082.68</v>
      </c>
      <c r="N4149" s="512">
        <v>0.41666666666666669</v>
      </c>
    </row>
    <row r="4150" spans="1:14" ht="19.5" hidden="1" thickBot="1" x14ac:dyDescent="0.3">
      <c r="A4150" s="513">
        <f t="shared" si="120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7"/>
        <v>06,25</v>
      </c>
      <c r="L4150" s="518" t="s">
        <v>266</v>
      </c>
      <c r="M4150" s="518">
        <v>18192.900000000001</v>
      </c>
      <c r="N4150" s="522">
        <v>0.45833333333333331</v>
      </c>
    </row>
    <row r="4151" spans="1:14" ht="19.5" hidden="1" thickBot="1" x14ac:dyDescent="0.3">
      <c r="A4151" s="503">
        <f t="shared" si="120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7"/>
        <v>06,25</v>
      </c>
      <c r="L4151" s="508" t="s">
        <v>266</v>
      </c>
      <c r="M4151" s="508">
        <v>18009</v>
      </c>
      <c r="N4151" s="512">
        <v>0.5</v>
      </c>
    </row>
    <row r="4152" spans="1:14" ht="19.5" hidden="1" thickBot="1" x14ac:dyDescent="0.3">
      <c r="A4152" s="513">
        <f t="shared" si="120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7"/>
        <v>06,25</v>
      </c>
      <c r="L4152" s="518" t="s">
        <v>266</v>
      </c>
      <c r="M4152" s="518">
        <v>8060.76</v>
      </c>
      <c r="N4152" s="522">
        <v>0.54166666666666663</v>
      </c>
    </row>
    <row r="4153" spans="1:14" ht="19.5" hidden="1" thickBot="1" x14ac:dyDescent="0.3">
      <c r="A4153" s="714">
        <f t="shared" si="120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7"/>
        <v>06,25</v>
      </c>
      <c r="L4153" s="535" t="s">
        <v>266</v>
      </c>
      <c r="M4153" s="535">
        <v>2220.8000000000002</v>
      </c>
      <c r="N4153" s="539">
        <v>0.58333333333333337</v>
      </c>
    </row>
    <row r="4154" spans="1:14" ht="19.5" hidden="1" thickBot="1" x14ac:dyDescent="0.3">
      <c r="A4154" s="716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7"/>
        <v>06,25</v>
      </c>
      <c r="L4154" s="567" t="s">
        <v>266</v>
      </c>
      <c r="M4154" s="567">
        <v>5330.0399999999991</v>
      </c>
      <c r="N4154" s="571">
        <v>0.58333333333333337</v>
      </c>
    </row>
    <row r="4155" spans="1:14" ht="19.5" hidden="1" thickBot="1" x14ac:dyDescent="0.3">
      <c r="A4155" s="716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7"/>
        <v>06,25</v>
      </c>
      <c r="L4155" s="567" t="s">
        <v>266</v>
      </c>
      <c r="M4155" s="567">
        <v>4678.8700000000008</v>
      </c>
      <c r="N4155" s="571">
        <v>0.58333333333333337</v>
      </c>
    </row>
    <row r="4156" spans="1:14" ht="19.5" hidden="1" thickBot="1" x14ac:dyDescent="0.3">
      <c r="A4156" s="716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7"/>
        <v>06,25</v>
      </c>
      <c r="L4156" s="567" t="s">
        <v>266</v>
      </c>
      <c r="M4156" s="567">
        <v>1948.6200000000001</v>
      </c>
      <c r="N4156" s="571">
        <v>0.58333333333333337</v>
      </c>
    </row>
    <row r="4157" spans="1:14" ht="19.5" hidden="1" thickBot="1" x14ac:dyDescent="0.3">
      <c r="A4157" s="716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7"/>
        <v>06,25</v>
      </c>
      <c r="L4157" s="594" t="s">
        <v>266</v>
      </c>
      <c r="M4157" s="594">
        <v>3509.06</v>
      </c>
      <c r="N4157" s="598">
        <v>0.58333333333333337</v>
      </c>
    </row>
    <row r="4158" spans="1:14" ht="19.5" hidden="1" thickBot="1" x14ac:dyDescent="0.3">
      <c r="A4158" s="711">
        <f t="shared" si="120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7"/>
        <v>06,25</v>
      </c>
      <c r="L4158" s="483" t="s">
        <v>265</v>
      </c>
      <c r="M4158" s="483">
        <v>12478.579999999998</v>
      </c>
      <c r="N4158" s="486">
        <v>0.375</v>
      </c>
    </row>
    <row r="4159" spans="1:14" ht="19.5" hidden="1" thickBot="1" x14ac:dyDescent="0.3">
      <c r="A4159" s="712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7"/>
        <v>06,25</v>
      </c>
      <c r="L4159" s="649" t="s">
        <v>265</v>
      </c>
      <c r="M4159" s="649">
        <v>4938.7999999999993</v>
      </c>
      <c r="N4159" s="653">
        <v>0.375</v>
      </c>
    </row>
    <row r="4160" spans="1:14" ht="19.5" hidden="1" thickBot="1" x14ac:dyDescent="0.3">
      <c r="A4160" s="503">
        <f t="shared" si="120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7"/>
        <v>06,25</v>
      </c>
      <c r="L4160" s="508" t="s">
        <v>265</v>
      </c>
      <c r="M4160" s="508">
        <v>17728</v>
      </c>
      <c r="N4160" s="512">
        <v>0.375</v>
      </c>
    </row>
    <row r="4161" spans="1:14" ht="19.5" hidden="1" thickBot="1" x14ac:dyDescent="0.3">
      <c r="A4161" s="513">
        <f t="shared" si="120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7"/>
        <v>06,25</v>
      </c>
      <c r="L4161" s="518" t="s">
        <v>265</v>
      </c>
      <c r="M4161" s="518">
        <v>12355.160000000002</v>
      </c>
      <c r="N4161" s="522">
        <v>0.375</v>
      </c>
    </row>
    <row r="4162" spans="1:14" ht="19.5" hidden="1" thickBot="1" x14ac:dyDescent="0.3">
      <c r="A4162" s="551">
        <f t="shared" si="120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7"/>
        <v>06,25</v>
      </c>
      <c r="L4162" s="556" t="s">
        <v>28</v>
      </c>
      <c r="M4162" s="556">
        <v>9242.16</v>
      </c>
      <c r="N4162" s="560">
        <v>0.5</v>
      </c>
    </row>
    <row r="4163" spans="1:14" ht="19.5" hidden="1" thickBot="1" x14ac:dyDescent="0.3">
      <c r="A4163" s="513">
        <f t="shared" si="120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7"/>
        <v>06,25</v>
      </c>
      <c r="L4163" s="518" t="s">
        <v>28</v>
      </c>
      <c r="M4163" s="518">
        <v>10861.920000000002</v>
      </c>
      <c r="N4163" s="522">
        <v>0.41666666666666669</v>
      </c>
    </row>
    <row r="4164" spans="1:14" ht="19.5" hidden="1" thickBot="1" x14ac:dyDescent="0.3">
      <c r="A4164" s="714">
        <f t="shared" si="120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7"/>
        <v>06,25</v>
      </c>
      <c r="L4164" s="535" t="s">
        <v>28</v>
      </c>
      <c r="M4164" s="535">
        <v>1144.7400000000002</v>
      </c>
      <c r="N4164" s="539">
        <v>0.41666666666666669</v>
      </c>
    </row>
    <row r="4165" spans="1:14" ht="19.5" hidden="1" thickBot="1" x14ac:dyDescent="0.3">
      <c r="A4165" s="716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7"/>
        <v>06,25</v>
      </c>
      <c r="L4165" s="567" t="s">
        <v>28</v>
      </c>
      <c r="M4165" s="567">
        <v>11026.47</v>
      </c>
      <c r="N4165" s="571">
        <v>0.41666666666666669</v>
      </c>
    </row>
    <row r="4166" spans="1:14" ht="19.5" hidden="1" thickBot="1" x14ac:dyDescent="0.3">
      <c r="A4166" s="715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7"/>
        <v>06,25</v>
      </c>
      <c r="L4166" s="640" t="s">
        <v>28</v>
      </c>
      <c r="M4166" s="640">
        <v>5202.6600000000008</v>
      </c>
      <c r="N4166" s="644">
        <v>0.41666666666666669</v>
      </c>
    </row>
    <row r="4167" spans="1:14" ht="19.5" hidden="1" thickBot="1" x14ac:dyDescent="0.3">
      <c r="A4167" s="711">
        <f t="shared" si="120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7"/>
        <v>06,25</v>
      </c>
      <c r="L4167" s="483" t="s">
        <v>28</v>
      </c>
      <c r="M4167" s="483">
        <v>5487.44</v>
      </c>
      <c r="N4167" s="486">
        <v>0.45833333333333331</v>
      </c>
    </row>
    <row r="4168" spans="1:14" ht="19.5" hidden="1" thickBot="1" x14ac:dyDescent="0.3">
      <c r="A4168" s="712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7"/>
        <v>06,25</v>
      </c>
      <c r="L4168" s="649" t="s">
        <v>28</v>
      </c>
      <c r="M4168" s="649">
        <v>11905.14</v>
      </c>
      <c r="N4168" s="653">
        <v>0.45833333333333331</v>
      </c>
    </row>
    <row r="4169" spans="1:14" ht="19.5" hidden="1" thickBot="1" x14ac:dyDescent="0.3">
      <c r="A4169" s="714">
        <f t="shared" si="120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7"/>
        <v>06,25</v>
      </c>
      <c r="L4169" s="535" t="s">
        <v>28</v>
      </c>
      <c r="M4169" s="535">
        <v>15468.61</v>
      </c>
      <c r="N4169" s="539">
        <v>0.5</v>
      </c>
    </row>
    <row r="4170" spans="1:14" ht="19.5" hidden="1" thickBot="1" x14ac:dyDescent="0.3">
      <c r="A4170" s="715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7"/>
        <v>06,25</v>
      </c>
      <c r="L4170" s="640" t="s">
        <v>28</v>
      </c>
      <c r="M4170" s="640">
        <v>1806.6</v>
      </c>
      <c r="N4170" s="644">
        <v>0.5</v>
      </c>
    </row>
    <row r="4171" spans="1:14" ht="19.5" hidden="1" thickBot="1" x14ac:dyDescent="0.3">
      <c r="A4171" s="711">
        <f t="shared" si="120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7"/>
        <v>06,25</v>
      </c>
      <c r="L4171" s="483" t="s">
        <v>28</v>
      </c>
      <c r="M4171" s="483">
        <v>9359.19</v>
      </c>
      <c r="N4171" s="486">
        <v>0.54166666666666663</v>
      </c>
    </row>
    <row r="4172" spans="1:14" ht="19.5" hidden="1" thickBot="1" x14ac:dyDescent="0.3">
      <c r="A4172" s="712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7"/>
        <v>06,25</v>
      </c>
      <c r="L4172" s="649" t="s">
        <v>28</v>
      </c>
      <c r="M4172" s="649">
        <v>8155.44</v>
      </c>
      <c r="N4172" s="653">
        <v>0.54166666666666663</v>
      </c>
    </row>
    <row r="4173" spans="1:14" ht="19.5" hidden="1" thickBot="1" x14ac:dyDescent="0.3">
      <c r="A4173" s="503">
        <f t="shared" si="120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7"/>
        <v>06,25</v>
      </c>
      <c r="L4173" s="508" t="s">
        <v>265</v>
      </c>
      <c r="M4173" s="508">
        <v>17761.47</v>
      </c>
      <c r="N4173" s="512">
        <v>0.375</v>
      </c>
    </row>
    <row r="4174" spans="1:14" ht="19.5" hidden="1" thickBot="1" x14ac:dyDescent="0.3">
      <c r="A4174" s="572">
        <f t="shared" si="120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7"/>
        <v>06,25</v>
      </c>
      <c r="L4174" s="577" t="s">
        <v>265</v>
      </c>
      <c r="M4174" s="577">
        <v>12610.360000000002</v>
      </c>
      <c r="N4174" s="581">
        <v>0.375</v>
      </c>
    </row>
    <row r="4175" spans="1:14" ht="19.5" hidden="1" thickBot="1" x14ac:dyDescent="0.3">
      <c r="A4175" s="503">
        <f t="shared" si="120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7"/>
        <v>06,25</v>
      </c>
      <c r="L4175" s="508" t="s">
        <v>28</v>
      </c>
      <c r="M4175" s="508">
        <v>15633.9</v>
      </c>
      <c r="N4175" s="512">
        <v>0.41666666666666669</v>
      </c>
    </row>
    <row r="4176" spans="1:14" ht="19.5" hidden="1" thickBot="1" x14ac:dyDescent="0.3">
      <c r="A4176" s="513">
        <f t="shared" si="120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7"/>
        <v>06,25</v>
      </c>
      <c r="L4176" s="518" t="s">
        <v>28</v>
      </c>
      <c r="M4176" s="518">
        <v>17747.34</v>
      </c>
      <c r="N4176" s="522">
        <v>0.41666666666666669</v>
      </c>
    </row>
    <row r="4177" spans="1:14" ht="19.5" hidden="1" thickBot="1" x14ac:dyDescent="0.3">
      <c r="A4177" s="503">
        <f t="shared" si="120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7"/>
        <v>06,25</v>
      </c>
      <c r="L4177" s="508" t="s">
        <v>28</v>
      </c>
      <c r="M4177" s="508">
        <v>17179.280000000002</v>
      </c>
      <c r="N4177" s="512">
        <v>0.45833333333333331</v>
      </c>
    </row>
    <row r="4178" spans="1:14" ht="19.5" hidden="1" thickBot="1" x14ac:dyDescent="0.3">
      <c r="A4178" s="711">
        <f t="shared" si="120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7"/>
        <v>06,25</v>
      </c>
      <c r="L4178" s="483" t="s">
        <v>28</v>
      </c>
      <c r="M4178" s="483">
        <v>3541.32</v>
      </c>
      <c r="N4178" s="486">
        <v>0.5</v>
      </c>
    </row>
    <row r="4179" spans="1:14" ht="19.5" hidden="1" thickBot="1" x14ac:dyDescent="0.3">
      <c r="A4179" s="713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7"/>
        <v>06,25</v>
      </c>
      <c r="L4179" s="527" t="s">
        <v>28</v>
      </c>
      <c r="M4179" s="527">
        <v>5420.2199999999993</v>
      </c>
      <c r="N4179" s="530">
        <v>0.5</v>
      </c>
    </row>
    <row r="4180" spans="1:14" ht="19.5" hidden="1" thickBot="1" x14ac:dyDescent="0.3">
      <c r="A4180" s="712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7"/>
        <v>06,25</v>
      </c>
      <c r="L4180" s="649" t="s">
        <v>28</v>
      </c>
      <c r="M4180" s="649">
        <v>8735.4</v>
      </c>
      <c r="N4180" s="653">
        <v>0.5</v>
      </c>
    </row>
    <row r="4181" spans="1:14" ht="19.5" hidden="1" thickBot="1" x14ac:dyDescent="0.3">
      <c r="A4181" s="503">
        <f t="shared" si="120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7"/>
        <v>06,25</v>
      </c>
      <c r="L4181" s="508" t="s">
        <v>265</v>
      </c>
      <c r="M4181" s="508">
        <v>17754.030000000002</v>
      </c>
      <c r="N4181" s="512">
        <v>0.375</v>
      </c>
    </row>
    <row r="4182" spans="1:14" ht="19.5" hidden="1" thickBot="1" x14ac:dyDescent="0.3">
      <c r="A4182" s="711">
        <f t="shared" si="120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7"/>
        <v>06,25</v>
      </c>
      <c r="L4182" s="483" t="s">
        <v>28</v>
      </c>
      <c r="M4182" s="483">
        <v>3185.52</v>
      </c>
      <c r="N4182" s="486">
        <v>0.41666666666666669</v>
      </c>
    </row>
    <row r="4183" spans="1:14" ht="19.5" hidden="1" thickBot="1" x14ac:dyDescent="0.3">
      <c r="A4183" s="712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7"/>
        <v>06,25</v>
      </c>
      <c r="L4183" s="649" t="s">
        <v>28</v>
      </c>
      <c r="M4183" s="649">
        <v>11048.56</v>
      </c>
      <c r="N4183" s="653">
        <v>0.41666666666666669</v>
      </c>
    </row>
    <row r="4184" spans="1:14" ht="19.5" hidden="1" thickBot="1" x14ac:dyDescent="0.3">
      <c r="A4184" s="714">
        <f t="shared" si="120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7"/>
        <v>06,25</v>
      </c>
      <c r="L4184" s="535" t="s">
        <v>28</v>
      </c>
      <c r="M4184" s="535">
        <v>8230.6400000000012</v>
      </c>
      <c r="N4184" s="539">
        <v>0.45833333333333331</v>
      </c>
    </row>
    <row r="4185" spans="1:14" ht="19.5" hidden="1" thickBot="1" x14ac:dyDescent="0.3">
      <c r="A4185" s="715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7"/>
        <v>06,25</v>
      </c>
      <c r="L4185" s="640" t="s">
        <v>28</v>
      </c>
      <c r="M4185" s="640">
        <v>5060.16</v>
      </c>
      <c r="N4185" s="644">
        <v>0.45833333333333331</v>
      </c>
    </row>
    <row r="4186" spans="1:14" ht="19.5" hidden="1" thickBot="1" x14ac:dyDescent="0.3">
      <c r="A4186" s="513">
        <f t="shared" si="120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7"/>
        <v>06,25</v>
      </c>
      <c r="L4186" s="518" t="s">
        <v>265</v>
      </c>
      <c r="M4186" s="518">
        <v>17830.990000000002</v>
      </c>
      <c r="N4186" s="522">
        <v>0.375</v>
      </c>
    </row>
    <row r="4187" spans="1:14" ht="19.5" hidden="1" thickBot="1" x14ac:dyDescent="0.3">
      <c r="A4187" s="503">
        <f t="shared" ref="A4187:A4250" si="121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7"/>
        <v>06,25</v>
      </c>
      <c r="L4187" s="508" t="s">
        <v>266</v>
      </c>
      <c r="M4187" s="508">
        <v>16634.079999999998</v>
      </c>
      <c r="N4187" s="512">
        <v>0.41666666666666669</v>
      </c>
    </row>
    <row r="4188" spans="1:14" ht="57" hidden="1" thickBot="1" x14ac:dyDescent="0.3">
      <c r="A4188" s="572">
        <f t="shared" si="121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7"/>
        <v>06,25</v>
      </c>
      <c r="L4188" s="577" t="s">
        <v>28</v>
      </c>
      <c r="M4188" s="577">
        <v>4046.76</v>
      </c>
      <c r="N4188" s="581">
        <v>0.41666666666666669</v>
      </c>
    </row>
    <row r="4189" spans="1:14" ht="19.5" hidden="1" thickBot="1" x14ac:dyDescent="0.3">
      <c r="A4189" s="503">
        <f t="shared" si="121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7"/>
        <v>06,25</v>
      </c>
      <c r="L4189" s="508" t="s">
        <v>266</v>
      </c>
      <c r="M4189" s="508">
        <v>18089.28</v>
      </c>
      <c r="N4189" s="512">
        <v>0.41666666666666669</v>
      </c>
    </row>
    <row r="4190" spans="1:14" ht="19.5" hidden="1" thickBot="1" x14ac:dyDescent="0.3">
      <c r="A4190" s="513">
        <f t="shared" si="121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7"/>
        <v>06,25</v>
      </c>
      <c r="L4190" s="518" t="s">
        <v>266</v>
      </c>
      <c r="M4190" s="518">
        <v>18084.739999999998</v>
      </c>
      <c r="N4190" s="522">
        <v>0.45833333333333331</v>
      </c>
    </row>
    <row r="4191" spans="1:14" ht="19.5" hidden="1" thickBot="1" x14ac:dyDescent="0.3">
      <c r="A4191" s="503">
        <f t="shared" si="121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7"/>
        <v>06,25</v>
      </c>
      <c r="L4191" s="508" t="s">
        <v>266</v>
      </c>
      <c r="M4191" s="508">
        <v>18019.8</v>
      </c>
      <c r="N4191" s="512">
        <v>0.5</v>
      </c>
    </row>
    <row r="4192" spans="1:14" ht="19.5" hidden="1" thickBot="1" x14ac:dyDescent="0.3">
      <c r="A4192" s="513">
        <f t="shared" si="121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7"/>
        <v>06,25</v>
      </c>
      <c r="L4192" s="518" t="s">
        <v>266</v>
      </c>
      <c r="M4192" s="518">
        <v>18039.599999999999</v>
      </c>
      <c r="N4192" s="522">
        <v>0.54166666666666663</v>
      </c>
    </row>
    <row r="4193" spans="1:14" ht="19.5" hidden="1" thickBot="1" x14ac:dyDescent="0.3">
      <c r="A4193" s="714">
        <f t="shared" si="121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7"/>
        <v>06,25</v>
      </c>
      <c r="L4193" s="535" t="s">
        <v>266</v>
      </c>
      <c r="M4193" s="535">
        <v>8249.09</v>
      </c>
      <c r="N4193" s="539">
        <v>0.58333333333333337</v>
      </c>
    </row>
    <row r="4194" spans="1:14" ht="19.5" hidden="1" thickBot="1" x14ac:dyDescent="0.3">
      <c r="A4194" s="716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7"/>
        <v>06,25</v>
      </c>
      <c r="L4194" s="567" t="s">
        <v>266</v>
      </c>
      <c r="M4194" s="567">
        <v>5963.34</v>
      </c>
      <c r="N4194" s="571">
        <v>0.58333333333333337</v>
      </c>
    </row>
    <row r="4195" spans="1:14" ht="19.5" hidden="1" thickBot="1" x14ac:dyDescent="0.3">
      <c r="A4195" s="715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7"/>
        <v>06,25</v>
      </c>
      <c r="L4195" s="640" t="s">
        <v>266</v>
      </c>
      <c r="M4195" s="640">
        <v>3387</v>
      </c>
      <c r="N4195" s="644">
        <v>0.58333333333333337</v>
      </c>
    </row>
    <row r="4196" spans="1:14" ht="19.5" hidden="1" thickBot="1" x14ac:dyDescent="0.3">
      <c r="A4196" s="711">
        <f t="shared" si="121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7"/>
        <v>06,25</v>
      </c>
      <c r="L4196" s="483" t="s">
        <v>266</v>
      </c>
      <c r="M4196" s="483">
        <v>2875.96</v>
      </c>
      <c r="N4196" s="486">
        <v>0.625</v>
      </c>
    </row>
    <row r="4197" spans="1:14" ht="19.5" hidden="1" thickBot="1" x14ac:dyDescent="0.3">
      <c r="A4197" s="713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7"/>
        <v>06,25</v>
      </c>
      <c r="L4197" s="527" t="s">
        <v>266</v>
      </c>
      <c r="M4197" s="527">
        <v>4341.9600000000009</v>
      </c>
      <c r="N4197" s="530">
        <v>0.625</v>
      </c>
    </row>
    <row r="4198" spans="1:14" ht="19.5" hidden="1" thickBot="1" x14ac:dyDescent="0.3">
      <c r="A4198" s="713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7"/>
        <v>06,25</v>
      </c>
      <c r="L4198" s="527" t="s">
        <v>266</v>
      </c>
      <c r="M4198" s="527">
        <v>3592.7100000000009</v>
      </c>
      <c r="N4198" s="530">
        <v>0.625</v>
      </c>
    </row>
    <row r="4199" spans="1:14" ht="19.5" hidden="1" thickBot="1" x14ac:dyDescent="0.3">
      <c r="A4199" s="713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7"/>
        <v>06,25</v>
      </c>
      <c r="L4199" s="527" t="s">
        <v>266</v>
      </c>
      <c r="M4199" s="527">
        <v>4553.2</v>
      </c>
      <c r="N4199" s="530">
        <v>0.625</v>
      </c>
    </row>
    <row r="4200" spans="1:14" ht="19.5" hidden="1" thickBot="1" x14ac:dyDescent="0.3">
      <c r="A4200" s="712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7"/>
        <v>06,25</v>
      </c>
      <c r="L4200" s="649" t="s">
        <v>266</v>
      </c>
      <c r="M4200" s="649">
        <v>2672.1000000000004</v>
      </c>
      <c r="N4200" s="653">
        <v>0.625</v>
      </c>
    </row>
    <row r="4201" spans="1:14" ht="38.25" hidden="1" thickBot="1" x14ac:dyDescent="0.3">
      <c r="A4201" s="503">
        <f t="shared" si="121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7"/>
        <v>06,25</v>
      </c>
      <c r="L4201" s="508" t="s">
        <v>28</v>
      </c>
      <c r="M4201" s="508">
        <v>17744.64</v>
      </c>
      <c r="N4201" s="512">
        <v>0.66666666666666663</v>
      </c>
    </row>
    <row r="4202" spans="1:14" ht="19.5" hidden="1" thickBot="1" x14ac:dyDescent="0.3">
      <c r="A4202" s="711">
        <f t="shared" si="121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7"/>
        <v>06,25</v>
      </c>
      <c r="L4202" s="483" t="s">
        <v>266</v>
      </c>
      <c r="M4202" s="483">
        <v>4963.6400000000003</v>
      </c>
      <c r="N4202" s="486">
        <v>0.41666666666666669</v>
      </c>
    </row>
    <row r="4203" spans="1:14" ht="19.5" hidden="1" thickBot="1" x14ac:dyDescent="0.3">
      <c r="A4203" s="713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7"/>
        <v>06,25</v>
      </c>
      <c r="L4203" s="499" t="s">
        <v>266</v>
      </c>
      <c r="M4203" s="499">
        <v>5774.7200000000012</v>
      </c>
      <c r="N4203" s="502">
        <v>0.41666666666666669</v>
      </c>
    </row>
    <row r="4204" spans="1:14" ht="19.5" hidden="1" thickBot="1" x14ac:dyDescent="0.3">
      <c r="A4204" s="714">
        <f t="shared" si="121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7"/>
        <v>06,25</v>
      </c>
      <c r="L4204" s="535" t="s">
        <v>265</v>
      </c>
      <c r="M4204" s="535">
        <v>12836.390000000001</v>
      </c>
      <c r="N4204" s="539">
        <v>0.375</v>
      </c>
    </row>
    <row r="4205" spans="1:14" ht="19.5" hidden="1" thickBot="1" x14ac:dyDescent="0.3">
      <c r="A4205" s="715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7"/>
        <v>06,25</v>
      </c>
      <c r="L4205" s="640" t="s">
        <v>265</v>
      </c>
      <c r="M4205" s="640">
        <v>4927.6000000000004</v>
      </c>
      <c r="N4205" s="644">
        <v>0.375</v>
      </c>
    </row>
    <row r="4206" spans="1:14" ht="19.5" hidden="1" thickBot="1" x14ac:dyDescent="0.3">
      <c r="A4206" s="513">
        <f t="shared" si="121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7"/>
        <v>06,25</v>
      </c>
      <c r="L4206" s="518" t="s">
        <v>265</v>
      </c>
      <c r="M4206" s="518">
        <v>17664.240000000005</v>
      </c>
      <c r="N4206" s="522">
        <v>0.375</v>
      </c>
    </row>
    <row r="4207" spans="1:14" ht="19.5" hidden="1" thickBot="1" x14ac:dyDescent="0.3">
      <c r="A4207" s="503">
        <f t="shared" si="121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7"/>
        <v>06,25</v>
      </c>
      <c r="L4207" s="508" t="s">
        <v>28</v>
      </c>
      <c r="M4207" s="508">
        <v>10490.04</v>
      </c>
      <c r="N4207" s="512">
        <v>0.41666666666666669</v>
      </c>
    </row>
    <row r="4208" spans="1:14" ht="19.5" hidden="1" thickBot="1" x14ac:dyDescent="0.3">
      <c r="A4208" s="572">
        <f t="shared" si="121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7"/>
        <v>06,25</v>
      </c>
      <c r="L4208" s="577" t="s">
        <v>265</v>
      </c>
      <c r="M4208" s="577">
        <v>11844.6</v>
      </c>
      <c r="N4208" s="581">
        <v>0.375</v>
      </c>
    </row>
    <row r="4209" spans="1:14" ht="57" hidden="1" thickBot="1" x14ac:dyDescent="0.3">
      <c r="A4209" s="714">
        <f t="shared" si="121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7"/>
        <v>06,25</v>
      </c>
      <c r="L4209" s="535" t="s">
        <v>28</v>
      </c>
      <c r="M4209" s="535">
        <v>2228.64</v>
      </c>
      <c r="N4209" s="539">
        <v>0.41666666666666669</v>
      </c>
    </row>
    <row r="4210" spans="1:14" ht="19.5" hidden="1" thickBot="1" x14ac:dyDescent="0.3">
      <c r="A4210" s="715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7"/>
        <v>06,25</v>
      </c>
      <c r="L4210" s="640" t="s">
        <v>28</v>
      </c>
      <c r="M4210" s="640">
        <v>15237.720000000001</v>
      </c>
      <c r="N4210" s="644">
        <v>0.41666666666666669</v>
      </c>
    </row>
    <row r="4211" spans="1:14" ht="19.5" hidden="1" thickBot="1" x14ac:dyDescent="0.3">
      <c r="A4211" s="513">
        <f t="shared" si="121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7"/>
        <v>06,25</v>
      </c>
      <c r="L4211" s="518" t="s">
        <v>28</v>
      </c>
      <c r="M4211" s="518">
        <v>17692.12</v>
      </c>
      <c r="N4211" s="522">
        <v>0.45833333333333331</v>
      </c>
    </row>
    <row r="4212" spans="1:14" ht="19.5" hidden="1" thickBot="1" x14ac:dyDescent="0.3">
      <c r="A4212" s="714">
        <f t="shared" si="121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7"/>
        <v>06,25</v>
      </c>
      <c r="L4212" s="535" t="s">
        <v>28</v>
      </c>
      <c r="M4212" s="535">
        <v>2583.8099999999995</v>
      </c>
      <c r="N4212" s="539">
        <v>0.5</v>
      </c>
    </row>
    <row r="4213" spans="1:14" ht="19.5" hidden="1" thickBot="1" x14ac:dyDescent="0.3">
      <c r="A4213" s="715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7"/>
        <v>06,25</v>
      </c>
      <c r="L4213" s="640" t="s">
        <v>28</v>
      </c>
      <c r="M4213" s="640">
        <v>14629.57</v>
      </c>
      <c r="N4213" s="644">
        <v>0.5</v>
      </c>
    </row>
    <row r="4214" spans="1:14" ht="19.5" hidden="1" thickBot="1" x14ac:dyDescent="0.3">
      <c r="A4214" s="711">
        <f t="shared" si="121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7"/>
        <v>06,25</v>
      </c>
      <c r="L4214" s="483" t="s">
        <v>28</v>
      </c>
      <c r="M4214" s="483">
        <v>6454.74</v>
      </c>
      <c r="N4214" s="486">
        <v>0.54166666666666663</v>
      </c>
    </row>
    <row r="4215" spans="1:14" ht="19.5" hidden="1" thickBot="1" x14ac:dyDescent="0.3">
      <c r="A4215" s="713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7"/>
        <v>06,25</v>
      </c>
      <c r="L4215" s="527" t="s">
        <v>28</v>
      </c>
      <c r="M4215" s="527">
        <v>5240.0899999999992</v>
      </c>
      <c r="N4215" s="530">
        <v>0.54166666666666663</v>
      </c>
    </row>
    <row r="4216" spans="1:14" ht="19.5" hidden="1" thickBot="1" x14ac:dyDescent="0.3">
      <c r="A4216" s="712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2">RIGHT(I4216,5)</f>
        <v>06,25</v>
      </c>
      <c r="L4216" s="649" t="s">
        <v>28</v>
      </c>
      <c r="M4216" s="649">
        <v>5505</v>
      </c>
      <c r="N4216" s="653">
        <v>0.54166666666666663</v>
      </c>
    </row>
    <row r="4217" spans="1:14" ht="19.5" hidden="1" thickBot="1" x14ac:dyDescent="0.3">
      <c r="A4217" s="503">
        <f t="shared" si="121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2"/>
        <v>06,25</v>
      </c>
      <c r="L4217" s="508" t="s">
        <v>28</v>
      </c>
      <c r="M4217" s="508">
        <v>17063.580000000002</v>
      </c>
      <c r="N4217" s="512">
        <v>0.58333333333333337</v>
      </c>
    </row>
    <row r="4218" spans="1:14" ht="19.5" hidden="1" thickBot="1" x14ac:dyDescent="0.3">
      <c r="A4218" s="513">
        <f t="shared" si="121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2"/>
        <v>06,25</v>
      </c>
      <c r="L4218" s="518" t="s">
        <v>265</v>
      </c>
      <c r="M4218" s="518">
        <v>17726.23</v>
      </c>
      <c r="N4218" s="522">
        <v>0.375</v>
      </c>
    </row>
    <row r="4219" spans="1:14" ht="19.5" hidden="1" thickBot="1" x14ac:dyDescent="0.3">
      <c r="A4219" s="551">
        <f t="shared" si="121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2"/>
        <v>06,25</v>
      </c>
      <c r="L4219" s="556" t="s">
        <v>265</v>
      </c>
      <c r="M4219" s="556">
        <v>12648.039999999997</v>
      </c>
      <c r="N4219" s="560">
        <v>0.375</v>
      </c>
    </row>
    <row r="4220" spans="1:14" ht="19.5" hidden="1" thickBot="1" x14ac:dyDescent="0.3">
      <c r="A4220" s="513">
        <f t="shared" si="121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2"/>
        <v>06,25</v>
      </c>
      <c r="L4220" s="518" t="s">
        <v>266</v>
      </c>
      <c r="M4220" s="518">
        <v>18118.8</v>
      </c>
      <c r="N4220" s="522">
        <v>0.41666666666666669</v>
      </c>
    </row>
    <row r="4221" spans="1:14" ht="19.5" hidden="1" thickBot="1" x14ac:dyDescent="0.3">
      <c r="A4221" s="503">
        <f t="shared" si="121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2"/>
        <v>06,25</v>
      </c>
      <c r="L4221" s="508" t="s">
        <v>265</v>
      </c>
      <c r="M4221" s="508">
        <v>12787.76</v>
      </c>
      <c r="N4221" s="512">
        <v>0.375</v>
      </c>
    </row>
    <row r="4222" spans="1:14" ht="19.5" hidden="1" thickBot="1" x14ac:dyDescent="0.3">
      <c r="A4222" s="513">
        <f t="shared" si="121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2"/>
        <v>06,25</v>
      </c>
      <c r="L4222" s="518" t="s">
        <v>265</v>
      </c>
      <c r="M4222" s="518">
        <v>17789.8</v>
      </c>
      <c r="N4222" s="522">
        <v>0.375</v>
      </c>
    </row>
    <row r="4223" spans="1:14" ht="19.5" hidden="1" thickBot="1" x14ac:dyDescent="0.3">
      <c r="A4223" s="714">
        <f t="shared" si="121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2"/>
        <v>06,25</v>
      </c>
      <c r="L4223" s="535" t="s">
        <v>28</v>
      </c>
      <c r="M4223" s="535">
        <v>3194.38</v>
      </c>
      <c r="N4223" s="539">
        <v>0.41666666666666669</v>
      </c>
    </row>
    <row r="4224" spans="1:14" ht="19.5" hidden="1" thickBot="1" x14ac:dyDescent="0.3">
      <c r="A4224" s="716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2"/>
        <v>06,25</v>
      </c>
      <c r="L4224" s="567" t="s">
        <v>28</v>
      </c>
      <c r="M4224" s="567">
        <v>2870.42</v>
      </c>
      <c r="N4224" s="571">
        <v>0.41666666666666669</v>
      </c>
    </row>
    <row r="4225" spans="1:14" ht="19.5" hidden="1" thickBot="1" x14ac:dyDescent="0.3">
      <c r="A4225" s="716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2"/>
        <v>06,25</v>
      </c>
      <c r="L4225" s="567" t="s">
        <v>28</v>
      </c>
      <c r="M4225" s="567">
        <v>2887.9799999999996</v>
      </c>
      <c r="N4225" s="571">
        <v>0.41666666666666669</v>
      </c>
    </row>
    <row r="4226" spans="1:14" ht="19.5" hidden="1" thickBot="1" x14ac:dyDescent="0.3">
      <c r="A4226" s="715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2"/>
        <v>06,25</v>
      </c>
      <c r="L4226" s="640" t="s">
        <v>28</v>
      </c>
      <c r="M4226" s="640">
        <v>9049.9200000000019</v>
      </c>
      <c r="N4226" s="644">
        <v>0.41666666666666669</v>
      </c>
    </row>
    <row r="4227" spans="1:14" ht="19.5" hidden="1" thickBot="1" x14ac:dyDescent="0.3">
      <c r="A4227" s="711">
        <f t="shared" si="121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2"/>
        <v>06,25</v>
      </c>
      <c r="L4227" s="483" t="s">
        <v>266</v>
      </c>
      <c r="M4227" s="483">
        <v>2252.3999999999996</v>
      </c>
      <c r="N4227" s="486">
        <v>0.45833333333333331</v>
      </c>
    </row>
    <row r="4228" spans="1:14" ht="19.5" hidden="1" thickBot="1" x14ac:dyDescent="0.3">
      <c r="A4228" s="713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2"/>
        <v>06,25</v>
      </c>
      <c r="L4228" s="527" t="s">
        <v>28</v>
      </c>
      <c r="M4228" s="527">
        <v>3059.2800000000007</v>
      </c>
      <c r="N4228" s="530">
        <v>0.45833333333333331</v>
      </c>
    </row>
    <row r="4229" spans="1:14" ht="19.5" hidden="1" thickBot="1" x14ac:dyDescent="0.3">
      <c r="A4229" s="712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2"/>
        <v>06,25</v>
      </c>
      <c r="L4229" s="649" t="s">
        <v>28</v>
      </c>
      <c r="M4229" s="649">
        <v>12457.070000000002</v>
      </c>
      <c r="N4229" s="653">
        <v>0.45833333333333331</v>
      </c>
    </row>
    <row r="4230" spans="1:14" ht="19.5" hidden="1" thickBot="1" x14ac:dyDescent="0.3">
      <c r="A4230" s="503">
        <f t="shared" si="121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2"/>
        <v>06,25</v>
      </c>
      <c r="L4230" s="508" t="s">
        <v>265</v>
      </c>
      <c r="M4230" s="508">
        <v>17707.64</v>
      </c>
      <c r="N4230" s="512">
        <v>0.375</v>
      </c>
    </row>
    <row r="4231" spans="1:14" ht="37.5" hidden="1" customHeight="1" x14ac:dyDescent="0.25">
      <c r="A4231" s="711">
        <f t="shared" si="121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720" t="s">
        <v>939</v>
      </c>
      <c r="H4231" s="483" t="s">
        <v>938</v>
      </c>
      <c r="I4231" s="484" t="s">
        <v>938</v>
      </c>
      <c r="J4231" s="485"/>
      <c r="K4231" s="483" t="str">
        <f t="shared" si="122"/>
        <v>06,25</v>
      </c>
      <c r="L4231" s="483" t="s">
        <v>28</v>
      </c>
      <c r="M4231" s="483">
        <v>3425.04</v>
      </c>
      <c r="N4231" s="486">
        <v>0.41666666666666669</v>
      </c>
    </row>
    <row r="4232" spans="1:14" ht="37.5" hidden="1" customHeight="1" thickBot="1" x14ac:dyDescent="0.3">
      <c r="A4232" s="712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721"/>
      <c r="H4232" s="649" t="s">
        <v>938</v>
      </c>
      <c r="I4232" s="651" t="s">
        <v>938</v>
      </c>
      <c r="J4232" s="652"/>
      <c r="K4232" s="649" t="str">
        <f t="shared" si="122"/>
        <v>06,25</v>
      </c>
      <c r="L4232" s="649" t="s">
        <v>28</v>
      </c>
      <c r="M4232" s="649">
        <v>7255.3600000000006</v>
      </c>
      <c r="N4232" s="653">
        <v>0.41666666666666669</v>
      </c>
    </row>
    <row r="4233" spans="1:14" ht="19.5" hidden="1" thickBot="1" x14ac:dyDescent="0.3">
      <c r="A4233" s="714">
        <f t="shared" si="121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2"/>
        <v>06,25</v>
      </c>
      <c r="L4233" s="535" t="s">
        <v>28</v>
      </c>
      <c r="M4233" s="535">
        <v>7283.8</v>
      </c>
      <c r="N4233" s="539">
        <v>0.41666666666666669</v>
      </c>
    </row>
    <row r="4234" spans="1:14" ht="19.5" hidden="1" thickBot="1" x14ac:dyDescent="0.3">
      <c r="A4234" s="716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2"/>
        <v>06,25</v>
      </c>
      <c r="L4234" s="567" t="s">
        <v>28</v>
      </c>
      <c r="M4234" s="567">
        <v>5163.28</v>
      </c>
      <c r="N4234" s="571">
        <v>0.41666666666666669</v>
      </c>
    </row>
    <row r="4235" spans="1:14" ht="19.5" hidden="1" thickBot="1" x14ac:dyDescent="0.3">
      <c r="A4235" s="715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2"/>
        <v>06,25</v>
      </c>
      <c r="L4235" s="640" t="s">
        <v>28</v>
      </c>
      <c r="M4235" s="640">
        <v>54</v>
      </c>
      <c r="N4235" s="644">
        <v>0.41666666666666669</v>
      </c>
    </row>
    <row r="4236" spans="1:14" ht="19.5" hidden="1" thickBot="1" x14ac:dyDescent="0.3">
      <c r="A4236" s="513">
        <f t="shared" si="121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2"/>
        <v>06,25</v>
      </c>
      <c r="L4236" s="518" t="s">
        <v>266</v>
      </c>
      <c r="M4236" s="518">
        <v>16939.350000000002</v>
      </c>
      <c r="N4236" s="522">
        <v>0.5</v>
      </c>
    </row>
    <row r="4237" spans="1:14" ht="19.5" hidden="1" thickBot="1" x14ac:dyDescent="0.3">
      <c r="A4237" s="714">
        <f t="shared" si="121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2"/>
        <v>06,25</v>
      </c>
      <c r="L4237" s="535" t="s">
        <v>28</v>
      </c>
      <c r="M4237" s="535">
        <v>814.8</v>
      </c>
      <c r="N4237" s="539">
        <v>0.45833333333333331</v>
      </c>
    </row>
    <row r="4238" spans="1:14" ht="19.5" hidden="1" thickBot="1" x14ac:dyDescent="0.3">
      <c r="A4238" s="716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2"/>
        <v>06,25</v>
      </c>
      <c r="L4238" s="567" t="s">
        <v>28</v>
      </c>
      <c r="M4238" s="567">
        <v>8576.6</v>
      </c>
      <c r="N4238" s="571">
        <v>0.45833333333333331</v>
      </c>
    </row>
    <row r="4239" spans="1:14" ht="19.5" hidden="1" thickBot="1" x14ac:dyDescent="0.3">
      <c r="A4239" s="715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2"/>
        <v>06,25</v>
      </c>
      <c r="L4239" s="640" t="s">
        <v>28</v>
      </c>
      <c r="M4239" s="640">
        <v>54</v>
      </c>
      <c r="N4239" s="644">
        <v>0.45833333333333331</v>
      </c>
    </row>
    <row r="4240" spans="1:14" ht="19.5" hidden="1" thickBot="1" x14ac:dyDescent="0.3">
      <c r="A4240" s="711">
        <f t="shared" si="121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2"/>
        <v>06,25</v>
      </c>
      <c r="L4240" s="483" t="s">
        <v>28</v>
      </c>
      <c r="M4240" s="483">
        <v>2854.8</v>
      </c>
      <c r="N4240" s="486">
        <v>0.5</v>
      </c>
    </row>
    <row r="4241" spans="1:14" ht="19.5" hidden="1" thickBot="1" x14ac:dyDescent="0.3">
      <c r="A4241" s="713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2"/>
        <v>06,25</v>
      </c>
      <c r="L4241" s="527" t="s">
        <v>28</v>
      </c>
      <c r="M4241" s="527">
        <v>32.4</v>
      </c>
      <c r="N4241" s="530">
        <v>0.5</v>
      </c>
    </row>
    <row r="4242" spans="1:14" ht="19.5" hidden="1" thickBot="1" x14ac:dyDescent="0.3">
      <c r="A4242" s="713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2"/>
        <v>06,25</v>
      </c>
      <c r="L4242" s="527" t="s">
        <v>28</v>
      </c>
      <c r="M4242" s="527">
        <v>8532.64</v>
      </c>
      <c r="N4242" s="530">
        <v>0.5</v>
      </c>
    </row>
    <row r="4243" spans="1:14" ht="19.5" hidden="1" thickBot="1" x14ac:dyDescent="0.3">
      <c r="A4243" s="712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2"/>
        <v>06,25</v>
      </c>
      <c r="L4243" s="649" t="s">
        <v>28</v>
      </c>
      <c r="M4243" s="649">
        <v>32.4</v>
      </c>
      <c r="N4243" s="653">
        <v>0.5</v>
      </c>
    </row>
    <row r="4244" spans="1:14" ht="19.5" hidden="1" thickBot="1" x14ac:dyDescent="0.3">
      <c r="A4244" s="503">
        <f t="shared" si="121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2"/>
        <v>06,25</v>
      </c>
      <c r="L4244" s="508" t="s">
        <v>28</v>
      </c>
      <c r="M4244" s="508">
        <v>8198.4000000000015</v>
      </c>
      <c r="N4244" s="512">
        <v>0.54166666666666663</v>
      </c>
    </row>
    <row r="4245" spans="1:14" ht="19.5" hidden="1" thickBot="1" x14ac:dyDescent="0.3">
      <c r="A4245" s="711">
        <f t="shared" si="121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2"/>
        <v>06,25</v>
      </c>
      <c r="L4245" s="483" t="s">
        <v>266</v>
      </c>
      <c r="M4245" s="483">
        <v>14117.48</v>
      </c>
      <c r="N4245" s="486">
        <v>0.5</v>
      </c>
    </row>
    <row r="4246" spans="1:14" ht="19.5" hidden="1" thickBot="1" x14ac:dyDescent="0.3">
      <c r="A4246" s="712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2"/>
        <v>06,25</v>
      </c>
      <c r="L4246" s="649" t="s">
        <v>266</v>
      </c>
      <c r="M4246" s="649">
        <v>3217.04</v>
      </c>
      <c r="N4246" s="653">
        <v>0.5</v>
      </c>
    </row>
    <row r="4247" spans="1:14" ht="57" hidden="1" thickBot="1" x14ac:dyDescent="0.3">
      <c r="A4247" s="551">
        <f t="shared" si="121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2"/>
        <v>06,25</v>
      </c>
      <c r="L4247" s="556" t="s">
        <v>28</v>
      </c>
      <c r="M4247" s="556">
        <v>7128.46</v>
      </c>
      <c r="N4247" s="560">
        <v>0.375</v>
      </c>
    </row>
    <row r="4248" spans="1:14" ht="19.5" hidden="1" thickBot="1" x14ac:dyDescent="0.3">
      <c r="A4248" s="513">
        <f t="shared" si="121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2"/>
        <v>06,25</v>
      </c>
      <c r="L4248" s="518" t="s">
        <v>266</v>
      </c>
      <c r="M4248" s="518">
        <v>18197.38</v>
      </c>
      <c r="N4248" s="522">
        <v>0.41666666666666669</v>
      </c>
    </row>
    <row r="4249" spans="1:14" ht="19.5" hidden="1" thickBot="1" x14ac:dyDescent="0.3">
      <c r="A4249" s="503">
        <f t="shared" si="121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2"/>
        <v>06,25</v>
      </c>
      <c r="L4249" s="508" t="s">
        <v>266</v>
      </c>
      <c r="M4249" s="508">
        <v>18049.060000000001</v>
      </c>
      <c r="N4249" s="512">
        <v>0.45833333333333331</v>
      </c>
    </row>
    <row r="4250" spans="1:14" ht="19.5" hidden="1" thickBot="1" x14ac:dyDescent="0.3">
      <c r="A4250" s="513">
        <f t="shared" si="121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2"/>
        <v>06,25</v>
      </c>
      <c r="L4250" s="518" t="s">
        <v>266</v>
      </c>
      <c r="M4250" s="518">
        <v>18009.72</v>
      </c>
      <c r="N4250" s="522">
        <v>0.5</v>
      </c>
    </row>
    <row r="4251" spans="1:14" ht="24" hidden="1" customHeight="1" x14ac:dyDescent="0.25">
      <c r="A4251" s="714">
        <f t="shared" ref="A4251:A4311" si="123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717" t="s">
        <v>943</v>
      </c>
      <c r="H4251" s="535" t="s">
        <v>942</v>
      </c>
      <c r="I4251" s="537" t="s">
        <v>942</v>
      </c>
      <c r="J4251" s="538"/>
      <c r="K4251" s="535" t="str">
        <f t="shared" si="122"/>
        <v>06,25</v>
      </c>
      <c r="L4251" s="535" t="s">
        <v>266</v>
      </c>
      <c r="M4251" s="535">
        <v>1613.98</v>
      </c>
      <c r="N4251" s="539">
        <v>0.54166666666666663</v>
      </c>
    </row>
    <row r="4252" spans="1:14" ht="24" hidden="1" customHeight="1" x14ac:dyDescent="0.25">
      <c r="A4252" s="716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719"/>
      <c r="H4252" s="567" t="s">
        <v>942</v>
      </c>
      <c r="I4252" s="569" t="s">
        <v>942</v>
      </c>
      <c r="J4252" s="570"/>
      <c r="K4252" s="567" t="str">
        <f t="shared" si="122"/>
        <v>06,25</v>
      </c>
      <c r="L4252" s="567" t="s">
        <v>266</v>
      </c>
      <c r="M4252" s="567">
        <v>4599.84</v>
      </c>
      <c r="N4252" s="571">
        <v>0.54166666666666663</v>
      </c>
    </row>
    <row r="4253" spans="1:14" ht="24" hidden="1" customHeight="1" x14ac:dyDescent="0.25">
      <c r="A4253" s="716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719"/>
      <c r="H4253" s="567" t="s">
        <v>942</v>
      </c>
      <c r="I4253" s="569" t="s">
        <v>942</v>
      </c>
      <c r="J4253" s="570"/>
      <c r="K4253" s="567" t="str">
        <f t="shared" si="122"/>
        <v>06,25</v>
      </c>
      <c r="L4253" s="567" t="s">
        <v>266</v>
      </c>
      <c r="M4253" s="567">
        <v>3016.2</v>
      </c>
      <c r="N4253" s="571">
        <v>0.54166666666666663</v>
      </c>
    </row>
    <row r="4254" spans="1:14" ht="24" hidden="1" customHeight="1" thickBot="1" x14ac:dyDescent="0.3">
      <c r="A4254" s="715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718"/>
      <c r="H4254" s="640" t="s">
        <v>942</v>
      </c>
      <c r="I4254" s="642" t="s">
        <v>944</v>
      </c>
      <c r="J4254" s="643"/>
      <c r="K4254" s="640" t="str">
        <f t="shared" si="122"/>
        <v>06,25</v>
      </c>
      <c r="L4254" s="640" t="s">
        <v>266</v>
      </c>
      <c r="M4254" s="640">
        <v>5324.4599999999982</v>
      </c>
      <c r="N4254" s="644">
        <v>0.54166666666666663</v>
      </c>
    </row>
    <row r="4255" spans="1:14" ht="19.5" hidden="1" thickBot="1" x14ac:dyDescent="0.3">
      <c r="A4255" s="711">
        <f t="shared" si="123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2"/>
        <v>06,25</v>
      </c>
      <c r="L4255" s="483" t="s">
        <v>266</v>
      </c>
      <c r="M4255" s="483">
        <v>8799.81</v>
      </c>
      <c r="N4255" s="486">
        <v>0.58333333333333337</v>
      </c>
    </row>
    <row r="4256" spans="1:14" ht="19.5" hidden="1" thickBot="1" x14ac:dyDescent="0.3">
      <c r="A4256" s="713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2"/>
        <v>06,25</v>
      </c>
      <c r="L4256" s="527" t="s">
        <v>266</v>
      </c>
      <c r="M4256" s="527">
        <v>2762.1</v>
      </c>
      <c r="N4256" s="530">
        <v>0.58333333333333337</v>
      </c>
    </row>
    <row r="4257" spans="1:14" ht="19.5" hidden="1" thickBot="1" x14ac:dyDescent="0.3">
      <c r="A4257" s="712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2"/>
        <v>06,25</v>
      </c>
      <c r="L4257" s="649" t="s">
        <v>266</v>
      </c>
      <c r="M4257" s="649">
        <v>4736.8</v>
      </c>
      <c r="N4257" s="653">
        <v>0.58333333333333337</v>
      </c>
    </row>
    <row r="4258" spans="1:14" ht="38.25" hidden="1" thickBot="1" x14ac:dyDescent="0.3">
      <c r="A4258" s="551">
        <f t="shared" si="123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2"/>
        <v>06,25</v>
      </c>
      <c r="L4258" s="556" t="s">
        <v>28</v>
      </c>
      <c r="M4258" s="556">
        <v>17326.68</v>
      </c>
      <c r="N4258" s="560">
        <v>0.625</v>
      </c>
    </row>
    <row r="4259" spans="1:14" ht="19.5" hidden="1" thickBot="1" x14ac:dyDescent="0.3">
      <c r="A4259" s="711">
        <f t="shared" si="123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2"/>
        <v>06,25</v>
      </c>
      <c r="L4259" s="483" t="s">
        <v>265</v>
      </c>
      <c r="M4259" s="483">
        <v>11451.939999999999</v>
      </c>
      <c r="N4259" s="486">
        <v>0.375</v>
      </c>
    </row>
    <row r="4260" spans="1:14" ht="19.5" hidden="1" thickBot="1" x14ac:dyDescent="0.3">
      <c r="A4260" s="712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2"/>
        <v>06,25</v>
      </c>
      <c r="L4260" s="649" t="s">
        <v>265</v>
      </c>
      <c r="M4260" s="649">
        <v>5962.8</v>
      </c>
      <c r="N4260" s="653">
        <v>0.375</v>
      </c>
    </row>
    <row r="4261" spans="1:14" ht="19.5" hidden="1" thickBot="1" x14ac:dyDescent="0.3">
      <c r="A4261" s="503">
        <f t="shared" si="123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2"/>
        <v>06,25</v>
      </c>
      <c r="L4261" s="508" t="s">
        <v>265</v>
      </c>
      <c r="M4261" s="508">
        <v>17703.05</v>
      </c>
      <c r="N4261" s="512">
        <v>0.41666666666666669</v>
      </c>
    </row>
    <row r="4262" spans="1:14" ht="19.5" hidden="1" thickBot="1" x14ac:dyDescent="0.3">
      <c r="A4262" s="513">
        <f t="shared" si="123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2"/>
        <v>06,25</v>
      </c>
      <c r="L4262" s="518" t="s">
        <v>265</v>
      </c>
      <c r="M4262" s="518">
        <v>17669.25</v>
      </c>
      <c r="N4262" s="522">
        <v>0.375</v>
      </c>
    </row>
    <row r="4263" spans="1:14" ht="19.5" hidden="1" thickBot="1" x14ac:dyDescent="0.3">
      <c r="A4263" s="551">
        <f t="shared" si="123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2"/>
        <v>06,25</v>
      </c>
      <c r="L4263" s="556" t="s">
        <v>265</v>
      </c>
      <c r="M4263" s="556">
        <v>13453.200000000003</v>
      </c>
      <c r="N4263" s="560">
        <v>0.375</v>
      </c>
    </row>
    <row r="4264" spans="1:14" ht="38.25" hidden="1" thickBot="1" x14ac:dyDescent="0.3">
      <c r="A4264" s="513">
        <f t="shared" si="123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2"/>
        <v>06,25</v>
      </c>
      <c r="L4264" s="518" t="s">
        <v>266</v>
      </c>
      <c r="M4264" s="518">
        <v>16621.32</v>
      </c>
      <c r="N4264" s="522">
        <v>0.41666666666666669</v>
      </c>
    </row>
    <row r="4265" spans="1:14" ht="19.5" hidden="1" thickBot="1" x14ac:dyDescent="0.3">
      <c r="A4265" s="503">
        <f t="shared" si="123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2"/>
        <v>06,25</v>
      </c>
      <c r="L4265" s="508" t="s">
        <v>265</v>
      </c>
      <c r="M4265" s="508">
        <v>17626.400000000001</v>
      </c>
      <c r="N4265" s="512">
        <v>0.375</v>
      </c>
    </row>
    <row r="4266" spans="1:14" ht="19.5" hidden="1" thickBot="1" x14ac:dyDescent="0.3">
      <c r="A4266" s="513">
        <f t="shared" si="123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2"/>
        <v>06,25</v>
      </c>
      <c r="L4266" s="518" t="s">
        <v>265</v>
      </c>
      <c r="M4266" s="518">
        <v>13744</v>
      </c>
      <c r="N4266" s="522">
        <v>0.375</v>
      </c>
    </row>
    <row r="4267" spans="1:14" ht="19.5" hidden="1" thickBot="1" x14ac:dyDescent="0.3">
      <c r="A4267" s="714">
        <f t="shared" si="123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2"/>
        <v>06,25</v>
      </c>
      <c r="L4267" s="535" t="s">
        <v>266</v>
      </c>
      <c r="M4267" s="535">
        <v>2755.1599999999994</v>
      </c>
      <c r="N4267" s="539">
        <v>0.45833333333333331</v>
      </c>
    </row>
    <row r="4268" spans="1:14" ht="19.5" hidden="1" thickBot="1" x14ac:dyDescent="0.3">
      <c r="A4268" s="716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2"/>
        <v>06,25</v>
      </c>
      <c r="L4268" s="567" t="s">
        <v>28</v>
      </c>
      <c r="M4268" s="567">
        <v>3364.9199999999996</v>
      </c>
      <c r="N4268" s="571">
        <v>0.45833333333333331</v>
      </c>
    </row>
    <row r="4269" spans="1:14" ht="19.5" hidden="1" thickBot="1" x14ac:dyDescent="0.3">
      <c r="A4269" s="715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2"/>
        <v>06,25</v>
      </c>
      <c r="L4269" s="640" t="s">
        <v>28</v>
      </c>
      <c r="M4269" s="640">
        <v>11309.760000000002</v>
      </c>
      <c r="N4269" s="644">
        <v>0.45833333333333331</v>
      </c>
    </row>
    <row r="4270" spans="1:14" ht="19.5" hidden="1" thickBot="1" x14ac:dyDescent="0.3">
      <c r="A4270" s="711">
        <f t="shared" si="123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2"/>
        <v>06,25</v>
      </c>
      <c r="L4270" s="483" t="s">
        <v>28</v>
      </c>
      <c r="M4270" s="483">
        <v>12523.94</v>
      </c>
      <c r="N4270" s="486">
        <v>0.5</v>
      </c>
    </row>
    <row r="4271" spans="1:14" ht="19.5" hidden="1" thickBot="1" x14ac:dyDescent="0.3">
      <c r="A4271" s="712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2"/>
        <v>06,25</v>
      </c>
      <c r="L4271" s="649" t="s">
        <v>28</v>
      </c>
      <c r="M4271" s="649">
        <v>4844.78</v>
      </c>
      <c r="N4271" s="653">
        <v>0.5</v>
      </c>
    </row>
    <row r="4272" spans="1:14" ht="19.5" hidden="1" thickBot="1" x14ac:dyDescent="0.3">
      <c r="A4272" s="714">
        <f t="shared" si="123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2"/>
        <v>06,25</v>
      </c>
      <c r="L4272" s="535" t="s">
        <v>28</v>
      </c>
      <c r="M4272" s="535">
        <v>2660.52</v>
      </c>
      <c r="N4272" s="539">
        <v>0.54166666666666663</v>
      </c>
    </row>
    <row r="4273" spans="1:14" ht="19.5" hidden="1" thickBot="1" x14ac:dyDescent="0.3">
      <c r="A4273" s="716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2"/>
        <v>06,25</v>
      </c>
      <c r="L4273" s="567" t="s">
        <v>28</v>
      </c>
      <c r="M4273" s="567">
        <v>944.28000000000009</v>
      </c>
      <c r="N4273" s="571">
        <v>0.54166666666666663</v>
      </c>
    </row>
    <row r="4274" spans="1:14" ht="19.5" hidden="1" thickBot="1" x14ac:dyDescent="0.3">
      <c r="A4274" s="716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2"/>
        <v>06,25</v>
      </c>
      <c r="L4274" s="594" t="s">
        <v>28</v>
      </c>
      <c r="M4274" s="594">
        <v>13712.76</v>
      </c>
      <c r="N4274" s="598">
        <v>0.54166666666666663</v>
      </c>
    </row>
    <row r="4275" spans="1:14" ht="19.5" hidden="1" thickBot="1" x14ac:dyDescent="0.3">
      <c r="A4275" s="513">
        <f t="shared" si="123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2"/>
        <v>06,25</v>
      </c>
      <c r="L4275" s="518" t="s">
        <v>28</v>
      </c>
      <c r="M4275" s="518">
        <v>15510.300000000003</v>
      </c>
      <c r="N4275" s="522">
        <v>0.41666666666666669</v>
      </c>
    </row>
    <row r="4276" spans="1:14" ht="19.5" hidden="1" thickBot="1" x14ac:dyDescent="0.3">
      <c r="A4276" s="503">
        <f t="shared" si="123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2"/>
        <v>06,25</v>
      </c>
      <c r="L4276" s="508" t="s">
        <v>28</v>
      </c>
      <c r="M4276" s="508">
        <v>9642.84</v>
      </c>
      <c r="N4276" s="512">
        <v>0.41666666666666669</v>
      </c>
    </row>
    <row r="4277" spans="1:14" ht="19.5" hidden="1" thickBot="1" x14ac:dyDescent="0.3">
      <c r="A4277" s="513">
        <f t="shared" si="123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2"/>
        <v>06,25</v>
      </c>
      <c r="L4277" s="518" t="s">
        <v>266</v>
      </c>
      <c r="M4277" s="518">
        <v>18029.7</v>
      </c>
      <c r="N4277" s="522">
        <v>0.45833333333333331</v>
      </c>
    </row>
    <row r="4278" spans="1:14" ht="38.25" hidden="1" customHeight="1" x14ac:dyDescent="0.25">
      <c r="A4278" s="714">
        <f t="shared" si="123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717" t="s">
        <v>916</v>
      </c>
      <c r="H4278" s="535" t="s">
        <v>946</v>
      </c>
      <c r="I4278" s="537" t="s">
        <v>946</v>
      </c>
      <c r="J4278" s="538"/>
      <c r="K4278" s="535" t="str">
        <f t="shared" si="122"/>
        <v>06,25</v>
      </c>
      <c r="L4278" s="535" t="s">
        <v>28</v>
      </c>
      <c r="M4278" s="535">
        <v>1088.22</v>
      </c>
      <c r="N4278" s="539">
        <v>0.5</v>
      </c>
    </row>
    <row r="4279" spans="1:14" ht="38.25" hidden="1" customHeight="1" thickBot="1" x14ac:dyDescent="0.3">
      <c r="A4279" s="715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718"/>
      <c r="H4279" s="640" t="s">
        <v>946</v>
      </c>
      <c r="I4279" s="642" t="s">
        <v>946</v>
      </c>
      <c r="J4279" s="643"/>
      <c r="K4279" s="640" t="str">
        <f t="shared" si="122"/>
        <v>06,25</v>
      </c>
      <c r="L4279" s="640" t="s">
        <v>28</v>
      </c>
      <c r="M4279" s="640">
        <v>11163.820000000002</v>
      </c>
      <c r="N4279" s="644">
        <v>0.5</v>
      </c>
    </row>
    <row r="4280" spans="1:14" ht="19.5" hidden="1" thickBot="1" x14ac:dyDescent="0.3">
      <c r="A4280" s="513">
        <f t="shared" si="123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2"/>
        <v>06,25</v>
      </c>
      <c r="L4280" s="518" t="s">
        <v>266</v>
      </c>
      <c r="M4280" s="518">
        <v>16780.890000000003</v>
      </c>
      <c r="N4280" s="522">
        <v>0.54166666666666663</v>
      </c>
    </row>
    <row r="4281" spans="1:14" ht="19.5" hidden="1" thickBot="1" x14ac:dyDescent="0.3">
      <c r="A4281" s="503">
        <f t="shared" si="123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2"/>
        <v>06,25</v>
      </c>
      <c r="L4281" s="508" t="s">
        <v>265</v>
      </c>
      <c r="M4281" s="508">
        <v>17651.580000000002</v>
      </c>
      <c r="N4281" s="512">
        <v>0.375</v>
      </c>
    </row>
    <row r="4282" spans="1:14" ht="19.5" hidden="1" thickBot="1" x14ac:dyDescent="0.3">
      <c r="A4282" s="711">
        <f t="shared" si="123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2"/>
        <v>06,25</v>
      </c>
      <c r="L4282" s="483" t="s">
        <v>28</v>
      </c>
      <c r="M4282" s="483">
        <v>2549.16</v>
      </c>
      <c r="N4282" s="486">
        <v>0.41666666666666669</v>
      </c>
    </row>
    <row r="4283" spans="1:14" ht="19.5" hidden="1" thickBot="1" x14ac:dyDescent="0.3">
      <c r="A4283" s="712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2"/>
        <v>06,25</v>
      </c>
      <c r="L4283" s="649" t="s">
        <v>28</v>
      </c>
      <c r="M4283" s="649">
        <v>14644.390000000001</v>
      </c>
      <c r="N4283" s="653">
        <v>0.41666666666666669</v>
      </c>
    </row>
    <row r="4284" spans="1:14" ht="19.5" hidden="1" thickBot="1" x14ac:dyDescent="0.3">
      <c r="A4284" s="714">
        <f t="shared" si="123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2"/>
        <v>06,25</v>
      </c>
      <c r="L4284" s="535" t="s">
        <v>28</v>
      </c>
      <c r="M4284" s="535">
        <v>3427.9699999999993</v>
      </c>
      <c r="N4284" s="539">
        <v>0.45833333333333331</v>
      </c>
    </row>
    <row r="4285" spans="1:14" ht="19.5" hidden="1" thickBot="1" x14ac:dyDescent="0.3">
      <c r="A4285" s="716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2"/>
        <v>06,25</v>
      </c>
      <c r="L4285" s="567" t="s">
        <v>28</v>
      </c>
      <c r="M4285" s="567">
        <v>2390.5000000000009</v>
      </c>
      <c r="N4285" s="571">
        <v>0.45833333333333331</v>
      </c>
    </row>
    <row r="4286" spans="1:14" ht="19.5" hidden="1" thickBot="1" x14ac:dyDescent="0.3">
      <c r="A4286" s="715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2"/>
        <v>06,25</v>
      </c>
      <c r="L4286" s="640" t="s">
        <v>28</v>
      </c>
      <c r="M4286" s="640">
        <v>11971.44</v>
      </c>
      <c r="N4286" s="644">
        <v>0.45833333333333331</v>
      </c>
    </row>
    <row r="4287" spans="1:14" ht="19.5" hidden="1" thickBot="1" x14ac:dyDescent="0.3">
      <c r="A4287" s="513">
        <f t="shared" si="123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2"/>
        <v>07,25</v>
      </c>
      <c r="L4287" s="518" t="s">
        <v>265</v>
      </c>
      <c r="M4287" s="518">
        <v>17691.38</v>
      </c>
      <c r="N4287" s="522">
        <v>0.375</v>
      </c>
    </row>
    <row r="4288" spans="1:14" ht="19.5" hidden="1" thickBot="1" x14ac:dyDescent="0.3">
      <c r="A4288" s="714">
        <f t="shared" si="123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2"/>
        <v>06,25</v>
      </c>
      <c r="L4288" s="535" t="s">
        <v>28</v>
      </c>
      <c r="M4288" s="535">
        <v>6542.880000000001</v>
      </c>
      <c r="N4288" s="539">
        <v>0.41666666666666669</v>
      </c>
    </row>
    <row r="4289" spans="1:14" ht="19.5" hidden="1" thickBot="1" x14ac:dyDescent="0.3">
      <c r="A4289" s="715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2"/>
        <v>06,25</v>
      </c>
      <c r="L4289" s="640" t="s">
        <v>28</v>
      </c>
      <c r="M4289" s="640">
        <v>3244.08</v>
      </c>
      <c r="N4289" s="644">
        <v>0.41666666666666669</v>
      </c>
    </row>
    <row r="4290" spans="1:14" ht="19.5" hidden="1" thickBot="1" x14ac:dyDescent="0.3">
      <c r="A4290" s="711">
        <f t="shared" si="123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2"/>
        <v>06,25</v>
      </c>
      <c r="L4290" s="483" t="s">
        <v>28</v>
      </c>
      <c r="M4290" s="483">
        <v>5443.6000000000013</v>
      </c>
      <c r="N4290" s="486">
        <v>0.45833333333333331</v>
      </c>
    </row>
    <row r="4291" spans="1:14" ht="19.5" hidden="1" thickBot="1" x14ac:dyDescent="0.3">
      <c r="A4291" s="712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2"/>
        <v>06,25</v>
      </c>
      <c r="L4291" s="649" t="s">
        <v>28</v>
      </c>
      <c r="M4291" s="649">
        <v>6630.12</v>
      </c>
      <c r="N4291" s="653">
        <v>0.45833333333333331</v>
      </c>
    </row>
    <row r="4292" spans="1:14" ht="19.5" hidden="1" thickBot="1" x14ac:dyDescent="0.3">
      <c r="A4292" s="714">
        <f t="shared" si="123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2"/>
        <v>06,25</v>
      </c>
      <c r="L4292" s="535" t="s">
        <v>28</v>
      </c>
      <c r="M4292" s="535">
        <v>6562.8</v>
      </c>
      <c r="N4292" s="539">
        <v>0.5</v>
      </c>
    </row>
    <row r="4293" spans="1:14" ht="19.5" hidden="1" thickBot="1" x14ac:dyDescent="0.3">
      <c r="A4293" s="716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2"/>
        <v>06,25</v>
      </c>
      <c r="L4293" s="594" t="s">
        <v>28</v>
      </c>
      <c r="M4293" s="594">
        <v>5117.04</v>
      </c>
      <c r="N4293" s="598">
        <v>0.5</v>
      </c>
    </row>
    <row r="4294" spans="1:14" ht="19.5" hidden="1" thickBot="1" x14ac:dyDescent="0.3">
      <c r="A4294" s="513">
        <f t="shared" si="123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2"/>
        <v>07,25</v>
      </c>
      <c r="L4294" s="518" t="s">
        <v>266</v>
      </c>
      <c r="M4294" s="518">
        <v>18084.32</v>
      </c>
      <c r="N4294" s="522">
        <v>0.41666666666666669</v>
      </c>
    </row>
    <row r="4295" spans="1:14" ht="19.5" hidden="1" thickBot="1" x14ac:dyDescent="0.3">
      <c r="A4295" s="503">
        <f t="shared" si="123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2"/>
        <v>07,25</v>
      </c>
      <c r="L4295" s="508" t="s">
        <v>266</v>
      </c>
      <c r="M4295" s="508">
        <v>18164.400000000001</v>
      </c>
      <c r="N4295" s="512">
        <v>0.45833333333333331</v>
      </c>
    </row>
    <row r="4296" spans="1:14" ht="38.25" hidden="1" thickBot="1" x14ac:dyDescent="0.3">
      <c r="A4296" s="513">
        <f t="shared" si="123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2"/>
        <v>07,25</v>
      </c>
      <c r="L4296" s="518" t="s">
        <v>28</v>
      </c>
      <c r="M4296" s="518">
        <v>17578.5</v>
      </c>
      <c r="N4296" s="522">
        <v>0.5</v>
      </c>
    </row>
    <row r="4297" spans="1:14" ht="19.5" hidden="1" thickBot="1" x14ac:dyDescent="0.3">
      <c r="A4297" s="503">
        <f t="shared" si="123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2"/>
        <v>07,25</v>
      </c>
      <c r="L4297" s="508" t="s">
        <v>266</v>
      </c>
      <c r="M4297" s="508">
        <v>7192.0599999999995</v>
      </c>
      <c r="N4297" s="512">
        <v>0.54166666666666663</v>
      </c>
    </row>
    <row r="4298" spans="1:14" ht="19.5" hidden="1" thickBot="1" x14ac:dyDescent="0.3">
      <c r="A4298" s="711">
        <f t="shared" si="123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2"/>
        <v>07,25</v>
      </c>
      <c r="L4298" s="483" t="s">
        <v>266</v>
      </c>
      <c r="M4298" s="483">
        <v>5620.2</v>
      </c>
      <c r="N4298" s="486">
        <v>0.58333333333333337</v>
      </c>
    </row>
    <row r="4299" spans="1:14" ht="19.5" hidden="1" thickBot="1" x14ac:dyDescent="0.3">
      <c r="A4299" s="712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2"/>
        <v>07,25</v>
      </c>
      <c r="L4299" s="649" t="s">
        <v>266</v>
      </c>
      <c r="M4299" s="649">
        <v>11808.960000000001</v>
      </c>
      <c r="N4299" s="653">
        <v>0.58333333333333337</v>
      </c>
    </row>
    <row r="4300" spans="1:14" ht="19.5" hidden="1" thickBot="1" x14ac:dyDescent="0.3">
      <c r="A4300" s="714">
        <f t="shared" si="123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2"/>
        <v>07,25</v>
      </c>
      <c r="L4300" s="535" t="s">
        <v>266</v>
      </c>
      <c r="M4300" s="535">
        <v>1674.88</v>
      </c>
      <c r="N4300" s="539">
        <v>0.625</v>
      </c>
    </row>
    <row r="4301" spans="1:14" ht="19.5" hidden="1" thickBot="1" x14ac:dyDescent="0.3">
      <c r="A4301" s="716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2"/>
        <v>07,25</v>
      </c>
      <c r="L4301" s="567" t="s">
        <v>266</v>
      </c>
      <c r="M4301" s="567">
        <v>4726.9400000000005</v>
      </c>
      <c r="N4301" s="571">
        <v>0.625</v>
      </c>
    </row>
    <row r="4302" spans="1:14" ht="19.5" hidden="1" thickBot="1" x14ac:dyDescent="0.3">
      <c r="A4302" s="716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2"/>
        <v>07,25</v>
      </c>
      <c r="L4302" s="567" t="s">
        <v>266</v>
      </c>
      <c r="M4302" s="567">
        <v>3946.04</v>
      </c>
      <c r="N4302" s="571">
        <v>0.625</v>
      </c>
    </row>
    <row r="4303" spans="1:14" ht="19.5" hidden="1" thickBot="1" x14ac:dyDescent="0.3">
      <c r="A4303" s="716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2"/>
        <v>07,25</v>
      </c>
      <c r="L4303" s="567" t="s">
        <v>266</v>
      </c>
      <c r="M4303" s="567">
        <v>6011.4</v>
      </c>
      <c r="N4303" s="571">
        <v>0.625</v>
      </c>
    </row>
    <row r="4304" spans="1:14" ht="19.5" hidden="1" thickBot="1" x14ac:dyDescent="0.3">
      <c r="A4304" s="716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2"/>
        <v>07,25</v>
      </c>
      <c r="L4304" s="594" t="s">
        <v>266</v>
      </c>
      <c r="M4304" s="594">
        <v>1234.5</v>
      </c>
      <c r="N4304" s="598">
        <v>0.625</v>
      </c>
    </row>
    <row r="4305" spans="1:14" ht="19.5" hidden="1" thickBot="1" x14ac:dyDescent="0.3">
      <c r="A4305" s="711">
        <f t="shared" si="123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2"/>
        <v>07,25</v>
      </c>
      <c r="L4305" s="483" t="s">
        <v>265</v>
      </c>
      <c r="M4305" s="483">
        <v>7113.78</v>
      </c>
      <c r="N4305" s="486">
        <v>0.375</v>
      </c>
    </row>
    <row r="4306" spans="1:14" ht="19.5" hidden="1" thickBot="1" x14ac:dyDescent="0.3">
      <c r="A4306" s="713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2"/>
        <v>07,25</v>
      </c>
      <c r="L4306" s="527" t="s">
        <v>265</v>
      </c>
      <c r="M4306" s="527">
        <v>8383.2999999999993</v>
      </c>
      <c r="N4306" s="530">
        <v>0.375</v>
      </c>
    </row>
    <row r="4307" spans="1:14" ht="19.5" hidden="1" thickBot="1" x14ac:dyDescent="0.3">
      <c r="A4307" s="712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2"/>
        <v>07,25</v>
      </c>
      <c r="L4307" s="649" t="s">
        <v>265</v>
      </c>
      <c r="M4307" s="649">
        <v>1646.7</v>
      </c>
      <c r="N4307" s="653">
        <v>0.375</v>
      </c>
    </row>
    <row r="4308" spans="1:14" ht="19.5" hidden="1" thickBot="1" x14ac:dyDescent="0.3">
      <c r="A4308" s="503">
        <f t="shared" si="123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2"/>
        <v>07,25</v>
      </c>
      <c r="L4308" s="508" t="s">
        <v>265</v>
      </c>
      <c r="M4308" s="508">
        <v>17734.660000000003</v>
      </c>
      <c r="N4308" s="512">
        <v>0.375</v>
      </c>
    </row>
    <row r="4309" spans="1:14" ht="19.5" hidden="1" thickBot="1" x14ac:dyDescent="0.3">
      <c r="A4309" s="572">
        <f t="shared" si="123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2"/>
        <v>07,25</v>
      </c>
      <c r="L4309" s="577" t="s">
        <v>265</v>
      </c>
      <c r="M4309" s="577">
        <v>11724.559999999996</v>
      </c>
      <c r="N4309" s="581">
        <v>0.375</v>
      </c>
    </row>
    <row r="4310" spans="1:14" ht="19.5" hidden="1" thickBot="1" x14ac:dyDescent="0.3">
      <c r="A4310" s="503">
        <f t="shared" si="123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2"/>
        <v>07,25</v>
      </c>
      <c r="L4310" s="508" t="s">
        <v>265</v>
      </c>
      <c r="M4310" s="508">
        <v>17651.72</v>
      </c>
      <c r="N4310" s="512">
        <v>0.375</v>
      </c>
    </row>
    <row r="4311" spans="1:14" ht="19.5" hidden="1" thickBot="1" x14ac:dyDescent="0.3">
      <c r="A4311" s="711">
        <f t="shared" si="123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720" t="s">
        <v>955</v>
      </c>
      <c r="H4311" s="483" t="s">
        <v>953</v>
      </c>
      <c r="I4311" s="484" t="s">
        <v>953</v>
      </c>
      <c r="J4311" s="485"/>
      <c r="K4311" s="483" t="str">
        <f t="shared" si="122"/>
        <v>07,25</v>
      </c>
      <c r="L4311" s="483" t="s">
        <v>28</v>
      </c>
      <c r="M4311" s="483">
        <v>1363</v>
      </c>
      <c r="N4311" s="486">
        <v>0.41666666666666669</v>
      </c>
    </row>
    <row r="4312" spans="1:14" ht="19.5" hidden="1" thickBot="1" x14ac:dyDescent="0.3">
      <c r="A4312" s="713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722"/>
      <c r="H4312" s="527" t="s">
        <v>953</v>
      </c>
      <c r="I4312" s="528" t="s">
        <v>953</v>
      </c>
      <c r="J4312" s="529"/>
      <c r="K4312" s="527" t="str">
        <f t="shared" si="122"/>
        <v>07,25</v>
      </c>
      <c r="L4312" s="527" t="s">
        <v>28</v>
      </c>
      <c r="M4312" s="527">
        <v>3779.64</v>
      </c>
      <c r="N4312" s="530">
        <v>0.41666666666666669</v>
      </c>
    </row>
    <row r="4313" spans="1:14" ht="19.5" hidden="1" thickBot="1" x14ac:dyDescent="0.3">
      <c r="A4313" s="713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722"/>
      <c r="H4313" s="527" t="s">
        <v>953</v>
      </c>
      <c r="I4313" s="528" t="s">
        <v>953</v>
      </c>
      <c r="J4313" s="529"/>
      <c r="K4313" s="527" t="str">
        <f t="shared" si="122"/>
        <v>07,25</v>
      </c>
      <c r="L4313" s="527" t="s">
        <v>28</v>
      </c>
      <c r="M4313" s="527">
        <v>2408.4899999999993</v>
      </c>
      <c r="N4313" s="530">
        <v>0.41666666666666669</v>
      </c>
    </row>
    <row r="4314" spans="1:14" ht="19.5" hidden="1" thickBot="1" x14ac:dyDescent="0.3">
      <c r="A4314" s="712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721"/>
      <c r="H4314" s="649" t="s">
        <v>953</v>
      </c>
      <c r="I4314" s="651" t="s">
        <v>953</v>
      </c>
      <c r="J4314" s="652"/>
      <c r="K4314" s="649" t="str">
        <f t="shared" si="122"/>
        <v>07,25</v>
      </c>
      <c r="L4314" s="649" t="s">
        <v>28</v>
      </c>
      <c r="M4314" s="649">
        <v>5146.4399999999996</v>
      </c>
      <c r="N4314" s="653">
        <v>0.41666666666666669</v>
      </c>
    </row>
    <row r="4315" spans="1:14" ht="19.5" hidden="1" thickBot="1" x14ac:dyDescent="0.3">
      <c r="A4315" s="714">
        <f t="shared" ref="A4315:A4378" si="124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2"/>
        <v>07,25</v>
      </c>
      <c r="L4315" s="535" t="s">
        <v>28</v>
      </c>
      <c r="M4315" s="535">
        <v>5629.2</v>
      </c>
      <c r="N4315" s="539">
        <v>0.45833333333333331</v>
      </c>
    </row>
    <row r="4316" spans="1:14" ht="19.5" hidden="1" thickBot="1" x14ac:dyDescent="0.3">
      <c r="A4316" s="715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2"/>
        <v>07,25</v>
      </c>
      <c r="L4316" s="640" t="s">
        <v>28</v>
      </c>
      <c r="M4316" s="640">
        <v>11652.230000000001</v>
      </c>
      <c r="N4316" s="644">
        <v>0.45833333333333331</v>
      </c>
    </row>
    <row r="4317" spans="1:14" ht="19.5" hidden="1" thickBot="1" x14ac:dyDescent="0.3">
      <c r="A4317" s="711">
        <f t="shared" si="124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2"/>
        <v>07,25</v>
      </c>
      <c r="L4317" s="483" t="s">
        <v>28</v>
      </c>
      <c r="M4317" s="483">
        <v>15140.340000000002</v>
      </c>
      <c r="N4317" s="486">
        <v>0.5</v>
      </c>
    </row>
    <row r="4318" spans="1:14" ht="19.5" hidden="1" thickBot="1" x14ac:dyDescent="0.3">
      <c r="A4318" s="712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2"/>
        <v>07,25</v>
      </c>
      <c r="L4318" s="649" t="s">
        <v>28</v>
      </c>
      <c r="M4318" s="649">
        <v>2177.6999999999998</v>
      </c>
      <c r="N4318" s="653">
        <v>0.5</v>
      </c>
    </row>
    <row r="4319" spans="1:14" ht="19.5" hidden="1" thickBot="1" x14ac:dyDescent="0.3">
      <c r="A4319" s="551">
        <f t="shared" si="124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2"/>
        <v>07,25</v>
      </c>
      <c r="L4319" s="556" t="s">
        <v>265</v>
      </c>
      <c r="M4319" s="556">
        <v>12237.92</v>
      </c>
      <c r="N4319" s="560">
        <v>0.375</v>
      </c>
    </row>
    <row r="4320" spans="1:14" ht="19.5" hidden="1" thickBot="1" x14ac:dyDescent="0.3">
      <c r="A4320" s="513">
        <f t="shared" si="124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2"/>
        <v>07,25</v>
      </c>
      <c r="L4320" s="518" t="s">
        <v>265</v>
      </c>
      <c r="M4320" s="518">
        <v>17692.27</v>
      </c>
      <c r="N4320" s="522">
        <v>0.375</v>
      </c>
    </row>
    <row r="4321" spans="1:14" ht="19.5" hidden="1" thickBot="1" x14ac:dyDescent="0.3">
      <c r="A4321" s="503">
        <f t="shared" si="124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2"/>
        <v>07,25</v>
      </c>
      <c r="L4321" s="508" t="s">
        <v>265</v>
      </c>
      <c r="M4321" s="508">
        <v>17677.429999999997</v>
      </c>
      <c r="N4321" s="512">
        <v>0.375</v>
      </c>
    </row>
    <row r="4322" spans="1:14" ht="19.5" hidden="1" thickBot="1" x14ac:dyDescent="0.3">
      <c r="A4322" s="711">
        <f t="shared" si="124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2"/>
        <v>07,25</v>
      </c>
      <c r="L4322" s="483" t="s">
        <v>28</v>
      </c>
      <c r="M4322" s="483">
        <v>1385.4399999999998</v>
      </c>
      <c r="N4322" s="486">
        <v>0.41666666666666669</v>
      </c>
    </row>
    <row r="4323" spans="1:14" ht="19.5" hidden="1" thickBot="1" x14ac:dyDescent="0.3">
      <c r="A4323" s="712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2"/>
        <v>07,25</v>
      </c>
      <c r="L4323" s="649" t="s">
        <v>28</v>
      </c>
      <c r="M4323" s="649">
        <v>15777.539999999999</v>
      </c>
      <c r="N4323" s="653">
        <v>0.41666666666666669</v>
      </c>
    </row>
    <row r="4324" spans="1:14" ht="19.5" hidden="1" thickBot="1" x14ac:dyDescent="0.3">
      <c r="A4324" s="714">
        <f t="shared" si="124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2"/>
        <v>07,25</v>
      </c>
      <c r="L4324" s="535" t="s">
        <v>28</v>
      </c>
      <c r="M4324" s="535">
        <v>8104.8400000000011</v>
      </c>
      <c r="N4324" s="539">
        <v>0.45833333333333331</v>
      </c>
    </row>
    <row r="4325" spans="1:14" ht="19.5" hidden="1" thickBot="1" x14ac:dyDescent="0.3">
      <c r="A4325" s="716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2"/>
        <v>07,25</v>
      </c>
      <c r="L4325" s="567" t="s">
        <v>28</v>
      </c>
      <c r="M4325" s="567">
        <v>6816.3600000000006</v>
      </c>
      <c r="N4325" s="571">
        <v>0.45833333333333331</v>
      </c>
    </row>
    <row r="4326" spans="1:14" ht="19.5" hidden="1" thickBot="1" x14ac:dyDescent="0.3">
      <c r="A4326" s="715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2"/>
        <v>07,25</v>
      </c>
      <c r="L4326" s="640" t="s">
        <v>28</v>
      </c>
      <c r="M4326" s="640">
        <v>2472.4399999999991</v>
      </c>
      <c r="N4326" s="644">
        <v>0.45833333333333331</v>
      </c>
    </row>
    <row r="4327" spans="1:14" ht="19.5" hidden="1" thickBot="1" x14ac:dyDescent="0.3">
      <c r="A4327" s="513">
        <f t="shared" si="124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2"/>
        <v>07,25</v>
      </c>
      <c r="L4327" s="518" t="s">
        <v>28</v>
      </c>
      <c r="M4327" s="518">
        <v>16106.480000000001</v>
      </c>
      <c r="N4327" s="522">
        <v>0.5</v>
      </c>
    </row>
    <row r="4328" spans="1:14" ht="19.5" hidden="1" thickBot="1" x14ac:dyDescent="0.3">
      <c r="A4328" s="503">
        <f t="shared" si="124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2"/>
        <v>07,25</v>
      </c>
      <c r="L4328" s="508" t="s">
        <v>265</v>
      </c>
      <c r="M4328" s="508">
        <v>12582.919999999998</v>
      </c>
      <c r="N4328" s="512">
        <v>0.375</v>
      </c>
    </row>
    <row r="4329" spans="1:14" ht="19.5" hidden="1" thickBot="1" x14ac:dyDescent="0.3">
      <c r="A4329" s="711">
        <f t="shared" si="124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2"/>
        <v>07,25</v>
      </c>
      <c r="L4329" s="483" t="s">
        <v>28</v>
      </c>
      <c r="M4329" s="483">
        <v>6078.36</v>
      </c>
      <c r="N4329" s="486">
        <v>0.41666666666666669</v>
      </c>
    </row>
    <row r="4330" spans="1:14" ht="19.5" hidden="1" thickBot="1" x14ac:dyDescent="0.3">
      <c r="A4330" s="712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2"/>
        <v>07,25</v>
      </c>
      <c r="L4330" s="649" t="s">
        <v>28</v>
      </c>
      <c r="M4330" s="649">
        <v>4579.5600000000004</v>
      </c>
      <c r="N4330" s="653">
        <v>0.41666666666666669</v>
      </c>
    </row>
    <row r="4331" spans="1:14" ht="29.25" hidden="1" customHeight="1" x14ac:dyDescent="0.25">
      <c r="A4331" s="714">
        <f t="shared" si="124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717" t="s">
        <v>958</v>
      </c>
      <c r="H4331" s="535" t="s">
        <v>956</v>
      </c>
      <c r="I4331" s="537" t="s">
        <v>960</v>
      </c>
      <c r="J4331" s="538"/>
      <c r="K4331" s="535" t="str">
        <f t="shared" si="122"/>
        <v>07,25</v>
      </c>
      <c r="L4331" s="535" t="s">
        <v>28</v>
      </c>
      <c r="M4331" s="535">
        <v>6118.0400000000009</v>
      </c>
      <c r="N4331" s="539">
        <v>0.45833333333333331</v>
      </c>
    </row>
    <row r="4332" spans="1:14" ht="29.25" hidden="1" customHeight="1" thickBot="1" x14ac:dyDescent="0.3">
      <c r="A4332" s="715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718"/>
      <c r="H4332" s="640" t="s">
        <v>956</v>
      </c>
      <c r="I4332" s="642" t="s">
        <v>960</v>
      </c>
      <c r="J4332" s="643"/>
      <c r="K4332" s="640" t="str">
        <f t="shared" si="122"/>
        <v>07,25</v>
      </c>
      <c r="L4332" s="640" t="s">
        <v>28</v>
      </c>
      <c r="M4332" s="640">
        <v>5382.48</v>
      </c>
      <c r="N4332" s="644">
        <v>0.45833333333333331</v>
      </c>
    </row>
    <row r="4333" spans="1:14" ht="57" hidden="1" thickBot="1" x14ac:dyDescent="0.3">
      <c r="A4333" s="513">
        <f t="shared" si="124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2"/>
        <v>07,25</v>
      </c>
      <c r="L4333" s="518" t="s">
        <v>28</v>
      </c>
      <c r="M4333" s="518">
        <v>8103.02</v>
      </c>
      <c r="N4333" s="522">
        <v>0.41666666666666669</v>
      </c>
    </row>
    <row r="4334" spans="1:14" ht="19.5" hidden="1" thickBot="1" x14ac:dyDescent="0.3">
      <c r="A4334" s="714">
        <f t="shared" si="124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2"/>
        <v>07,25</v>
      </c>
      <c r="L4334" s="535" t="s">
        <v>266</v>
      </c>
      <c r="M4334" s="535">
        <v>12392.85</v>
      </c>
      <c r="N4334" s="539">
        <v>0.5</v>
      </c>
    </row>
    <row r="4335" spans="1:14" ht="19.5" hidden="1" thickBot="1" x14ac:dyDescent="0.3">
      <c r="A4335" s="716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2"/>
        <v>07,25</v>
      </c>
      <c r="L4335" s="594" t="s">
        <v>266</v>
      </c>
      <c r="M4335" s="594">
        <v>2686.6400000000003</v>
      </c>
      <c r="N4335" s="598">
        <v>0.5</v>
      </c>
    </row>
    <row r="4336" spans="1:14" ht="19.5" hidden="1" thickBot="1" x14ac:dyDescent="0.3">
      <c r="A4336" s="513">
        <f t="shared" si="124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2"/>
        <v>07,25</v>
      </c>
      <c r="L4336" s="518" t="s">
        <v>266</v>
      </c>
      <c r="M4336" s="518">
        <v>18186.060000000001</v>
      </c>
      <c r="N4336" s="522">
        <v>0.41666666666666669</v>
      </c>
    </row>
    <row r="4337" spans="1:14" ht="19.5" hidden="1" thickBot="1" x14ac:dyDescent="0.3">
      <c r="A4337" s="503">
        <f t="shared" si="124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2"/>
        <v>07,25</v>
      </c>
      <c r="L4337" s="508" t="s">
        <v>266</v>
      </c>
      <c r="M4337" s="508">
        <v>18139.810000000001</v>
      </c>
      <c r="N4337" s="512">
        <v>0.45833333333333331</v>
      </c>
    </row>
    <row r="4338" spans="1:14" ht="19.5" hidden="1" thickBot="1" x14ac:dyDescent="0.3">
      <c r="A4338" s="513">
        <f t="shared" si="124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2"/>
        <v>07,25</v>
      </c>
      <c r="L4338" s="518" t="s">
        <v>266</v>
      </c>
      <c r="M4338" s="518">
        <v>17927.400000000001</v>
      </c>
      <c r="N4338" s="522">
        <v>0.5</v>
      </c>
    </row>
    <row r="4339" spans="1:14" ht="19.5" hidden="1" thickBot="1" x14ac:dyDescent="0.3">
      <c r="A4339" s="714">
        <f t="shared" si="124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2"/>
        <v>07,25</v>
      </c>
      <c r="L4339" s="535" t="s">
        <v>266</v>
      </c>
      <c r="M4339" s="535">
        <v>1505.3999999999999</v>
      </c>
      <c r="N4339" s="539">
        <v>0.54166666666666663</v>
      </c>
    </row>
    <row r="4340" spans="1:14" ht="19.5" hidden="1" thickBot="1" x14ac:dyDescent="0.3">
      <c r="A4340" s="716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2"/>
        <v>07,25</v>
      </c>
      <c r="L4340" s="567" t="s">
        <v>266</v>
      </c>
      <c r="M4340" s="567">
        <v>2155.8000000000002</v>
      </c>
      <c r="N4340" s="571">
        <v>0.54166666666666663</v>
      </c>
    </row>
    <row r="4341" spans="1:14" ht="19.5" hidden="1" thickBot="1" x14ac:dyDescent="0.3">
      <c r="A4341" s="716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2"/>
        <v>07,25</v>
      </c>
      <c r="L4341" s="567" t="s">
        <v>266</v>
      </c>
      <c r="M4341" s="567">
        <v>4591.9400000000005</v>
      </c>
      <c r="N4341" s="571">
        <v>0.54166666666666663</v>
      </c>
    </row>
    <row r="4342" spans="1:14" ht="19.5" hidden="1" thickBot="1" x14ac:dyDescent="0.3">
      <c r="A4342" s="716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2"/>
        <v>07,25</v>
      </c>
      <c r="L4342" s="567" t="s">
        <v>266</v>
      </c>
      <c r="M4342" s="567">
        <v>1947</v>
      </c>
      <c r="N4342" s="571">
        <v>0.54166666666666663</v>
      </c>
    </row>
    <row r="4343" spans="1:14" ht="19.5" hidden="1" thickBot="1" x14ac:dyDescent="0.3">
      <c r="A4343" s="716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2"/>
        <v>07,25</v>
      </c>
      <c r="L4343" s="567" t="s">
        <v>266</v>
      </c>
      <c r="M4343" s="567">
        <v>4858.2000000000007</v>
      </c>
      <c r="N4343" s="571">
        <v>0.54166666666666663</v>
      </c>
    </row>
    <row r="4344" spans="1:14" ht="19.5" hidden="1" thickBot="1" x14ac:dyDescent="0.3">
      <c r="A4344" s="715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2"/>
        <v>07,25</v>
      </c>
      <c r="L4344" s="640" t="s">
        <v>266</v>
      </c>
      <c r="M4344" s="640">
        <v>2797.08</v>
      </c>
      <c r="N4344" s="644">
        <v>0.54166666666666663</v>
      </c>
    </row>
    <row r="4345" spans="1:14" ht="19.5" hidden="1" thickBot="1" x14ac:dyDescent="0.3">
      <c r="A4345" s="711">
        <f t="shared" si="124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2"/>
        <v>07,25</v>
      </c>
      <c r="L4345" s="483" t="s">
        <v>266</v>
      </c>
      <c r="M4345" s="483">
        <v>6491.04</v>
      </c>
      <c r="N4345" s="486">
        <v>0.41666666666666669</v>
      </c>
    </row>
    <row r="4346" spans="1:14" ht="19.5" hidden="1" thickBot="1" x14ac:dyDescent="0.3">
      <c r="A4346" s="713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2"/>
        <v>07,25</v>
      </c>
      <c r="L4346" s="499" t="s">
        <v>266</v>
      </c>
      <c r="M4346" s="499">
        <v>5263.3200000000006</v>
      </c>
      <c r="N4346" s="502">
        <v>0.41666666666666669</v>
      </c>
    </row>
    <row r="4347" spans="1:14" ht="19.5" hidden="1" thickBot="1" x14ac:dyDescent="0.3">
      <c r="A4347" s="714">
        <f t="shared" si="124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2"/>
        <v>07,25</v>
      </c>
      <c r="L4347" s="535" t="s">
        <v>265</v>
      </c>
      <c r="M4347" s="535">
        <v>9108.67</v>
      </c>
      <c r="N4347" s="539">
        <v>0.375</v>
      </c>
    </row>
    <row r="4348" spans="1:14" ht="19.5" hidden="1" thickBot="1" x14ac:dyDescent="0.3">
      <c r="A4348" s="716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2"/>
        <v>07,25</v>
      </c>
      <c r="L4348" s="567" t="s">
        <v>265</v>
      </c>
      <c r="M4348" s="567">
        <v>5849</v>
      </c>
      <c r="N4348" s="571">
        <v>0.375</v>
      </c>
    </row>
    <row r="4349" spans="1:14" ht="19.5" hidden="1" thickBot="1" x14ac:dyDescent="0.3">
      <c r="A4349" s="715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2"/>
        <v>07,25</v>
      </c>
      <c r="L4349" s="640" t="s">
        <v>266</v>
      </c>
      <c r="M4349" s="640">
        <v>2236.2000000000003</v>
      </c>
      <c r="N4349" s="644">
        <v>0.375</v>
      </c>
    </row>
    <row r="4350" spans="1:14" ht="38.25" hidden="1" thickBot="1" x14ac:dyDescent="0.3">
      <c r="A4350" s="513">
        <f t="shared" si="124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2"/>
        <v>07,25</v>
      </c>
      <c r="L4350" s="518" t="s">
        <v>28</v>
      </c>
      <c r="M4350" s="518">
        <v>17985.599999999999</v>
      </c>
      <c r="N4350" s="522">
        <v>0.41666666666666669</v>
      </c>
    </row>
    <row r="4351" spans="1:14" ht="19.5" hidden="1" thickBot="1" x14ac:dyDescent="0.3">
      <c r="A4351" s="503">
        <f t="shared" si="124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2"/>
        <v>07,25</v>
      </c>
      <c r="L4351" s="508" t="s">
        <v>265</v>
      </c>
      <c r="M4351" s="508">
        <v>17794.3</v>
      </c>
      <c r="N4351" s="512">
        <v>0.375</v>
      </c>
    </row>
    <row r="4352" spans="1:14" ht="19.5" hidden="1" thickBot="1" x14ac:dyDescent="0.3">
      <c r="A4352" s="513">
        <f t="shared" si="124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2"/>
        <v>07,25</v>
      </c>
      <c r="L4352" s="518" t="s">
        <v>265</v>
      </c>
      <c r="M4352" s="518">
        <v>11414.279999999999</v>
      </c>
      <c r="N4352" s="522">
        <v>0.375</v>
      </c>
    </row>
    <row r="4353" spans="1:14" ht="19.5" hidden="1" thickBot="1" x14ac:dyDescent="0.3">
      <c r="A4353" s="551">
        <f t="shared" si="124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2"/>
        <v>07,25</v>
      </c>
      <c r="L4353" s="556" t="s">
        <v>28</v>
      </c>
      <c r="M4353" s="556">
        <v>13357.8</v>
      </c>
      <c r="N4353" s="560">
        <v>0.41666666666666669</v>
      </c>
    </row>
    <row r="4354" spans="1:14" ht="57" hidden="1" thickBot="1" x14ac:dyDescent="0.3">
      <c r="A4354" s="711">
        <f t="shared" si="124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2"/>
        <v>07,25</v>
      </c>
      <c r="L4354" s="483" t="s">
        <v>28</v>
      </c>
      <c r="M4354" s="483">
        <v>1297.92</v>
      </c>
      <c r="N4354" s="486">
        <v>0.41666666666666669</v>
      </c>
    </row>
    <row r="4355" spans="1:14" ht="19.5" hidden="1" thickBot="1" x14ac:dyDescent="0.3">
      <c r="A4355" s="712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2"/>
        <v>07,25</v>
      </c>
      <c r="L4355" s="649" t="s">
        <v>28</v>
      </c>
      <c r="M4355" s="649">
        <v>16082.16</v>
      </c>
      <c r="N4355" s="653">
        <v>0.41666666666666669</v>
      </c>
    </row>
    <row r="4356" spans="1:14" ht="19.5" hidden="1" thickBot="1" x14ac:dyDescent="0.3">
      <c r="A4356" s="503">
        <f t="shared" si="124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2"/>
        <v>07,25</v>
      </c>
      <c r="L4356" s="508" t="s">
        <v>28</v>
      </c>
      <c r="M4356" s="508">
        <v>17349.14</v>
      </c>
      <c r="N4356" s="512">
        <v>0.45833333333333331</v>
      </c>
    </row>
    <row r="4357" spans="1:14" ht="19.5" hidden="1" thickBot="1" x14ac:dyDescent="0.3">
      <c r="A4357" s="711">
        <f t="shared" si="124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2"/>
        <v>07,25</v>
      </c>
      <c r="L4357" s="483" t="s">
        <v>28</v>
      </c>
      <c r="M4357" s="483">
        <v>5712.9999999999991</v>
      </c>
      <c r="N4357" s="486">
        <v>0.5</v>
      </c>
    </row>
    <row r="4358" spans="1:14" ht="19.5" hidden="1" thickBot="1" x14ac:dyDescent="0.3">
      <c r="A4358" s="713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2"/>
        <v>07,25</v>
      </c>
      <c r="L4358" s="527" t="s">
        <v>28</v>
      </c>
      <c r="M4358" s="527">
        <v>1329.96</v>
      </c>
      <c r="N4358" s="530">
        <v>0.5</v>
      </c>
    </row>
    <row r="4359" spans="1:14" ht="19.5" hidden="1" thickBot="1" x14ac:dyDescent="0.3">
      <c r="A4359" s="712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2"/>
        <v>07,25</v>
      </c>
      <c r="L4359" s="649" t="s">
        <v>28</v>
      </c>
      <c r="M4359" s="649">
        <v>10230.070000000002</v>
      </c>
      <c r="N4359" s="653">
        <v>0.5</v>
      </c>
    </row>
    <row r="4360" spans="1:14" ht="19.5" hidden="1" thickBot="1" x14ac:dyDescent="0.3">
      <c r="A4360" s="714">
        <f t="shared" si="124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2"/>
        <v>07,25</v>
      </c>
      <c r="L4360" s="535" t="s">
        <v>28</v>
      </c>
      <c r="M4360" s="535">
        <v>1728</v>
      </c>
      <c r="N4360" s="539">
        <v>0.54166666666666663</v>
      </c>
    </row>
    <row r="4361" spans="1:14" ht="19.5" hidden="1" thickBot="1" x14ac:dyDescent="0.3">
      <c r="A4361" s="716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2"/>
        <v>07,25</v>
      </c>
      <c r="L4361" s="567" t="s">
        <v>28</v>
      </c>
      <c r="M4361" s="567">
        <v>4854.12</v>
      </c>
      <c r="N4361" s="571">
        <v>0.54166666666666663</v>
      </c>
    </row>
    <row r="4362" spans="1:14" ht="19.5" hidden="1" thickBot="1" x14ac:dyDescent="0.3">
      <c r="A4362" s="715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2"/>
        <v>07,25</v>
      </c>
      <c r="L4362" s="640" t="s">
        <v>28</v>
      </c>
      <c r="M4362" s="640">
        <v>11043.599999999999</v>
      </c>
      <c r="N4362" s="644">
        <v>0.54166666666666663</v>
      </c>
    </row>
    <row r="4363" spans="1:14" ht="19.5" hidden="1" thickBot="1" x14ac:dyDescent="0.3">
      <c r="A4363" s="513">
        <f t="shared" si="124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2"/>
        <v>07,25</v>
      </c>
      <c r="L4363" s="518" t="s">
        <v>265</v>
      </c>
      <c r="M4363" s="518">
        <v>17533.080000000002</v>
      </c>
      <c r="N4363" s="522">
        <v>0.375</v>
      </c>
    </row>
    <row r="4364" spans="1:14" ht="19.5" hidden="1" thickBot="1" x14ac:dyDescent="0.3">
      <c r="A4364" s="551">
        <f t="shared" si="124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2"/>
        <v>07,25</v>
      </c>
      <c r="L4364" s="556" t="s">
        <v>265</v>
      </c>
      <c r="M4364" s="556">
        <v>12422.44</v>
      </c>
      <c r="N4364" s="560">
        <v>0.375</v>
      </c>
    </row>
    <row r="4365" spans="1:14" ht="19.5" hidden="1" thickBot="1" x14ac:dyDescent="0.3">
      <c r="A4365" s="513">
        <f t="shared" si="124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2"/>
        <v>07,25</v>
      </c>
      <c r="L4365" s="518" t="s">
        <v>266</v>
      </c>
      <c r="M4365" s="518">
        <v>17762.330000000005</v>
      </c>
      <c r="N4365" s="522">
        <v>0.41666666666666669</v>
      </c>
    </row>
    <row r="4366" spans="1:14" ht="19.5" hidden="1" thickBot="1" x14ac:dyDescent="0.3">
      <c r="A4366" s="503">
        <f t="shared" si="124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2"/>
        <v>07,25</v>
      </c>
      <c r="L4366" s="508" t="s">
        <v>265</v>
      </c>
      <c r="M4366" s="508">
        <v>17400.309999999998</v>
      </c>
      <c r="N4366" s="512">
        <v>0.375</v>
      </c>
    </row>
    <row r="4367" spans="1:14" ht="19.5" hidden="1" thickBot="1" x14ac:dyDescent="0.3">
      <c r="A4367" s="711">
        <f t="shared" si="124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2"/>
        <v>07,25</v>
      </c>
      <c r="L4367" s="483" t="s">
        <v>28</v>
      </c>
      <c r="M4367" s="483">
        <v>1869.3399999999997</v>
      </c>
      <c r="N4367" s="486">
        <v>0.41666666666666669</v>
      </c>
    </row>
    <row r="4368" spans="1:14" ht="19.5" hidden="1" thickBot="1" x14ac:dyDescent="0.3">
      <c r="A4368" s="713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2"/>
        <v>07,25</v>
      </c>
      <c r="L4368" s="527" t="s">
        <v>28</v>
      </c>
      <c r="M4368" s="527">
        <v>7738.35</v>
      </c>
      <c r="N4368" s="530">
        <v>0.41666666666666669</v>
      </c>
    </row>
    <row r="4369" spans="1:14" ht="19.5" hidden="1" thickBot="1" x14ac:dyDescent="0.3">
      <c r="A4369" s="712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2"/>
        <v>07,25</v>
      </c>
      <c r="L4369" s="649" t="s">
        <v>28</v>
      </c>
      <c r="M4369" s="649">
        <v>8145.18</v>
      </c>
      <c r="N4369" s="653">
        <v>0.41666666666666669</v>
      </c>
    </row>
    <row r="4370" spans="1:14" ht="19.5" hidden="1" thickBot="1" x14ac:dyDescent="0.3">
      <c r="A4370" s="714">
        <f t="shared" si="124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2"/>
        <v>07,25</v>
      </c>
      <c r="L4370" s="535" t="s">
        <v>28</v>
      </c>
      <c r="M4370" s="535">
        <v>12574.850000000002</v>
      </c>
      <c r="N4370" s="539">
        <v>0.45833333333333331</v>
      </c>
    </row>
    <row r="4371" spans="1:14" ht="19.5" hidden="1" thickBot="1" x14ac:dyDescent="0.3">
      <c r="A4371" s="716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2"/>
        <v>07,25</v>
      </c>
      <c r="L4371" s="567" t="s">
        <v>28</v>
      </c>
      <c r="M4371" s="567">
        <v>2362.2600000000002</v>
      </c>
      <c r="N4371" s="571">
        <v>0.45833333333333331</v>
      </c>
    </row>
    <row r="4372" spans="1:14" ht="19.5" hidden="1" thickBot="1" x14ac:dyDescent="0.3">
      <c r="A4372" s="715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2"/>
        <v>07,25</v>
      </c>
      <c r="L4372" s="640" t="s">
        <v>266</v>
      </c>
      <c r="M4372" s="640">
        <v>2755.1599999999994</v>
      </c>
      <c r="N4372" s="644">
        <v>0.45833333333333331</v>
      </c>
    </row>
    <row r="4373" spans="1:14" ht="19.5" hidden="1" thickBot="1" x14ac:dyDescent="0.3">
      <c r="A4373" s="513">
        <f t="shared" si="124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2"/>
        <v>07,25</v>
      </c>
      <c r="L4373" s="518" t="s">
        <v>265</v>
      </c>
      <c r="M4373" s="518">
        <v>17672.28</v>
      </c>
      <c r="N4373" s="522">
        <v>0.375</v>
      </c>
    </row>
    <row r="4374" spans="1:14" ht="19.5" hidden="1" thickBot="1" x14ac:dyDescent="0.3">
      <c r="A4374" s="714">
        <f t="shared" si="124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2"/>
        <v>07,25</v>
      </c>
      <c r="L4374" s="535" t="s">
        <v>28</v>
      </c>
      <c r="M4374" s="535">
        <v>2173.7199999999998</v>
      </c>
      <c r="N4374" s="539">
        <v>0.41666666666666669</v>
      </c>
    </row>
    <row r="4375" spans="1:14" ht="19.5" hidden="1" thickBot="1" x14ac:dyDescent="0.3">
      <c r="A4375" s="715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2"/>
        <v>07,25</v>
      </c>
      <c r="L4375" s="640" t="s">
        <v>28</v>
      </c>
      <c r="M4375" s="640">
        <v>9365.6800000000021</v>
      </c>
      <c r="N4375" s="644">
        <v>0.41666666666666669</v>
      </c>
    </row>
    <row r="4376" spans="1:14" ht="19.5" hidden="1" thickBot="1" x14ac:dyDescent="0.3">
      <c r="A4376" s="711">
        <f t="shared" si="124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2"/>
        <v>07,25</v>
      </c>
      <c r="L4376" s="483" t="s">
        <v>28</v>
      </c>
      <c r="M4376" s="483">
        <v>2652.48</v>
      </c>
      <c r="N4376" s="486">
        <v>0.45833333333333331</v>
      </c>
    </row>
    <row r="4377" spans="1:14" ht="19.5" hidden="1" thickBot="1" x14ac:dyDescent="0.3">
      <c r="A4377" s="712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2"/>
        <v>07,25</v>
      </c>
      <c r="L4377" s="649" t="s">
        <v>28</v>
      </c>
      <c r="M4377" s="649">
        <v>7016.4</v>
      </c>
      <c r="N4377" s="653">
        <v>0.45833333333333331</v>
      </c>
    </row>
    <row r="4378" spans="1:14" ht="19.5" hidden="1" thickBot="1" x14ac:dyDescent="0.3">
      <c r="A4378" s="503">
        <f t="shared" si="124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2"/>
        <v>07,25</v>
      </c>
      <c r="L4378" s="508" t="s">
        <v>266</v>
      </c>
      <c r="M4378" s="508">
        <v>17881.599999999999</v>
      </c>
      <c r="N4378" s="512">
        <v>0.41666666666666669</v>
      </c>
    </row>
    <row r="4379" spans="1:14" ht="19.5" hidden="1" thickBot="1" x14ac:dyDescent="0.3">
      <c r="A4379" s="513">
        <f t="shared" ref="A4379:A4406" si="125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2"/>
        <v>07,25</v>
      </c>
      <c r="L4379" s="518" t="s">
        <v>266</v>
      </c>
      <c r="M4379" s="518">
        <v>10181.640000000001</v>
      </c>
      <c r="N4379" s="522">
        <v>0.41666666666666669</v>
      </c>
    </row>
    <row r="4380" spans="1:14" ht="57" hidden="1" thickBot="1" x14ac:dyDescent="0.3">
      <c r="A4380" s="551">
        <f t="shared" si="125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2"/>
        <v>07,25</v>
      </c>
      <c r="L4380" s="556" t="s">
        <v>28</v>
      </c>
      <c r="M4380" s="556">
        <v>5085.42</v>
      </c>
      <c r="N4380" s="560">
        <v>0.41666666666666669</v>
      </c>
    </row>
    <row r="4381" spans="1:14" ht="19.5" hidden="1" thickBot="1" x14ac:dyDescent="0.3">
      <c r="A4381" s="513">
        <f t="shared" si="125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2"/>
        <v>07,25</v>
      </c>
      <c r="L4381" s="518" t="s">
        <v>266</v>
      </c>
      <c r="M4381" s="518">
        <v>18156.939999999999</v>
      </c>
      <c r="N4381" s="522">
        <v>0.41666666666666669</v>
      </c>
    </row>
    <row r="4382" spans="1:14" ht="19.5" hidden="1" thickBot="1" x14ac:dyDescent="0.3">
      <c r="A4382" s="503">
        <f t="shared" si="125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2"/>
        <v>07,25</v>
      </c>
      <c r="L4382" s="508" t="s">
        <v>266</v>
      </c>
      <c r="M4382" s="508">
        <v>18025.999999999996</v>
      </c>
      <c r="N4382" s="512">
        <v>0.45833333333333331</v>
      </c>
    </row>
    <row r="4383" spans="1:14" ht="19.5" hidden="1" thickBot="1" x14ac:dyDescent="0.3">
      <c r="A4383" s="572">
        <f t="shared" si="125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2"/>
        <v>07,25</v>
      </c>
      <c r="L4383" s="577" t="s">
        <v>266</v>
      </c>
      <c r="M4383" s="577">
        <v>18044.400000000001</v>
      </c>
      <c r="N4383" s="581">
        <v>0.5</v>
      </c>
    </row>
    <row r="4384" spans="1:14" ht="57" hidden="1" thickBot="1" x14ac:dyDescent="0.3">
      <c r="A4384" s="714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2"/>
        <v>07,25</v>
      </c>
      <c r="L4384" s="535" t="s">
        <v>266</v>
      </c>
      <c r="M4384" s="535">
        <v>10070.08</v>
      </c>
      <c r="N4384" s="539">
        <v>0.54166666666666663</v>
      </c>
    </row>
    <row r="4385" spans="1:14" ht="57" hidden="1" thickBot="1" x14ac:dyDescent="0.3">
      <c r="A4385" s="716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2"/>
        <v>07,25</v>
      </c>
      <c r="L4385" s="567" t="s">
        <v>266</v>
      </c>
      <c r="M4385" s="567">
        <v>3162.0899999999997</v>
      </c>
      <c r="N4385" s="571">
        <v>0.54166666666666663</v>
      </c>
    </row>
    <row r="4386" spans="1:14" ht="57" hidden="1" thickBot="1" x14ac:dyDescent="0.3">
      <c r="A4386" s="715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2"/>
        <v>07,25</v>
      </c>
      <c r="L4386" s="640" t="s">
        <v>266</v>
      </c>
      <c r="M4386" s="640">
        <v>4206.4600000000009</v>
      </c>
      <c r="N4386" s="644">
        <v>0.54166666666666663</v>
      </c>
    </row>
    <row r="4387" spans="1:14" ht="57" hidden="1" thickBot="1" x14ac:dyDescent="0.3">
      <c r="A4387" s="711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2"/>
        <v>07,25</v>
      </c>
      <c r="L4387" s="483" t="s">
        <v>266</v>
      </c>
      <c r="M4387" s="483">
        <v>6644.7400000000007</v>
      </c>
      <c r="N4387" s="486">
        <v>0.58333333333333337</v>
      </c>
    </row>
    <row r="4388" spans="1:14" ht="57" hidden="1" thickBot="1" x14ac:dyDescent="0.3">
      <c r="A4388" s="713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2"/>
        <v>07,25</v>
      </c>
      <c r="L4388" s="527" t="s">
        <v>266</v>
      </c>
      <c r="M4388" s="527">
        <v>3334.6800000000003</v>
      </c>
      <c r="N4388" s="530">
        <v>0.58333333333333337</v>
      </c>
    </row>
    <row r="4389" spans="1:14" ht="57" hidden="1" thickBot="1" x14ac:dyDescent="0.3">
      <c r="A4389" s="713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2"/>
        <v>07,25</v>
      </c>
      <c r="L4389" s="527" t="s">
        <v>266</v>
      </c>
      <c r="M4389" s="527">
        <v>5772.91</v>
      </c>
      <c r="N4389" s="530">
        <v>0.58333333333333337</v>
      </c>
    </row>
    <row r="4390" spans="1:14" ht="57" hidden="1" thickBot="1" x14ac:dyDescent="0.3">
      <c r="A4390" s="712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2"/>
        <v>07,25</v>
      </c>
      <c r="L4390" s="649" t="s">
        <v>266</v>
      </c>
      <c r="M4390" s="649">
        <v>2063.4</v>
      </c>
      <c r="N4390" s="653">
        <v>0.58333333333333337</v>
      </c>
    </row>
    <row r="4391" spans="1:14" ht="57" hidden="1" thickBot="1" x14ac:dyDescent="0.3">
      <c r="A4391" s="714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717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2"/>
        <v>07,25</v>
      </c>
      <c r="L4391" s="535" t="s">
        <v>266</v>
      </c>
      <c r="M4391" s="535">
        <v>1234.5</v>
      </c>
      <c r="N4391" s="539">
        <v>0.625</v>
      </c>
    </row>
    <row r="4392" spans="1:14" ht="57" hidden="1" thickBot="1" x14ac:dyDescent="0.3">
      <c r="A4392" s="716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718"/>
      <c r="H4392" s="594" t="s">
        <v>970</v>
      </c>
      <c r="I4392" s="596" t="s">
        <v>970</v>
      </c>
      <c r="J4392" s="597" t="s">
        <v>971</v>
      </c>
      <c r="K4392" s="594" t="str">
        <f t="shared" si="122"/>
        <v>07,25</v>
      </c>
      <c r="L4392" s="594" t="s">
        <v>266</v>
      </c>
      <c r="M4392" s="594">
        <v>4512.6000000000004</v>
      </c>
      <c r="N4392" s="659">
        <v>0.625</v>
      </c>
    </row>
    <row r="4393" spans="1:14" ht="19.5" hidden="1" thickBot="1" x14ac:dyDescent="0.3">
      <c r="A4393" s="711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2"/>
        <v>07,25</v>
      </c>
      <c r="L4393" s="483" t="s">
        <v>266</v>
      </c>
      <c r="M4393" s="483">
        <v>1784.88</v>
      </c>
      <c r="N4393" s="486">
        <v>0.375</v>
      </c>
    </row>
    <row r="4394" spans="1:14" ht="19.5" hidden="1" thickBot="1" x14ac:dyDescent="0.3">
      <c r="A4394" s="713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2"/>
        <v>07,25</v>
      </c>
      <c r="L4394" s="527" t="s">
        <v>265</v>
      </c>
      <c r="M4394" s="527">
        <v>7420.2000000000007</v>
      </c>
      <c r="N4394" s="530">
        <v>0.375</v>
      </c>
    </row>
    <row r="4395" spans="1:14" ht="19.5" hidden="1" thickBot="1" x14ac:dyDescent="0.3">
      <c r="A4395" s="712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2"/>
        <v>07,25</v>
      </c>
      <c r="L4395" s="649" t="s">
        <v>265</v>
      </c>
      <c r="M4395" s="649">
        <v>7892.74</v>
      </c>
      <c r="N4395" s="653">
        <v>0.375</v>
      </c>
    </row>
    <row r="4396" spans="1:14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2"/>
        <v>07,25</v>
      </c>
      <c r="L4396" s="508" t="s">
        <v>265</v>
      </c>
      <c r="M4396" s="508">
        <v>17626.34</v>
      </c>
      <c r="N4396" s="512">
        <v>0.375</v>
      </c>
    </row>
    <row r="4397" spans="1:14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2"/>
        <v>07,25</v>
      </c>
      <c r="L4397" s="518" t="s">
        <v>265</v>
      </c>
      <c r="M4397" s="518">
        <v>17639.629999999997</v>
      </c>
      <c r="N4397" s="522">
        <v>0.41666666666666669</v>
      </c>
    </row>
    <row r="4398" spans="1:14" ht="19.5" hidden="1" thickBot="1" x14ac:dyDescent="0.3">
      <c r="A4398" s="551">
        <f t="shared" si="125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2"/>
        <v>07,25</v>
      </c>
      <c r="L4398" s="556" t="s">
        <v>265</v>
      </c>
      <c r="M4398" s="556">
        <v>10877.2</v>
      </c>
      <c r="N4398" s="560">
        <v>0.375</v>
      </c>
    </row>
    <row r="4399" spans="1:14" ht="19.5" hidden="1" thickBot="1" x14ac:dyDescent="0.3">
      <c r="A4399" s="513">
        <f t="shared" si="125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2"/>
        <v>07,25</v>
      </c>
      <c r="L4399" s="518" t="s">
        <v>265</v>
      </c>
      <c r="M4399" s="518">
        <v>17570.960000000003</v>
      </c>
      <c r="N4399" s="522">
        <v>0.375</v>
      </c>
    </row>
    <row r="4400" spans="1:14" ht="19.5" hidden="1" thickBot="1" x14ac:dyDescent="0.3">
      <c r="A4400" s="714">
        <f t="shared" si="125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2"/>
        <v>07,25</v>
      </c>
      <c r="L4400" s="535" t="s">
        <v>28</v>
      </c>
      <c r="M4400" s="535">
        <v>9656.2400000000016</v>
      </c>
      <c r="N4400" s="539">
        <v>0.45833333333333331</v>
      </c>
    </row>
    <row r="4401" spans="1:14" ht="19.5" hidden="1" thickBot="1" x14ac:dyDescent="0.3">
      <c r="A4401" s="715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2"/>
        <v>07,25</v>
      </c>
      <c r="L4401" s="640" t="s">
        <v>28</v>
      </c>
      <c r="M4401" s="640">
        <v>8204.2799999999988</v>
      </c>
      <c r="N4401" s="644">
        <v>0.45833333333333331</v>
      </c>
    </row>
    <row r="4402" spans="1:14" ht="19.5" hidden="1" thickBot="1" x14ac:dyDescent="0.3">
      <c r="A4402" s="711">
        <f t="shared" si="125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2"/>
        <v>07,25</v>
      </c>
      <c r="L4402" s="483" t="s">
        <v>28</v>
      </c>
      <c r="M4402" s="483">
        <v>3376.5099999999998</v>
      </c>
      <c r="N4402" s="486">
        <v>0.5</v>
      </c>
    </row>
    <row r="4403" spans="1:14" ht="19.5" hidden="1" thickBot="1" x14ac:dyDescent="0.3">
      <c r="A4403" s="713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2"/>
        <v>07,25</v>
      </c>
      <c r="L4403" s="527" t="s">
        <v>28</v>
      </c>
      <c r="M4403" s="527">
        <v>1643.52</v>
      </c>
      <c r="N4403" s="530">
        <v>0.5</v>
      </c>
    </row>
    <row r="4404" spans="1:14" ht="19.5" hidden="1" thickBot="1" x14ac:dyDescent="0.3">
      <c r="A4404" s="713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2"/>
        <v>07,25</v>
      </c>
      <c r="L4404" s="527" t="s">
        <v>28</v>
      </c>
      <c r="M4404" s="527">
        <v>11130.480000000001</v>
      </c>
      <c r="N4404" s="530">
        <v>0.5</v>
      </c>
    </row>
    <row r="4405" spans="1:14" ht="19.5" hidden="1" thickBot="1" x14ac:dyDescent="0.3">
      <c r="A4405" s="713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2"/>
        <v>07,25</v>
      </c>
      <c r="L4405" s="499" t="s">
        <v>28</v>
      </c>
      <c r="M4405" s="499">
        <v>1631.0399999999997</v>
      </c>
      <c r="N4405" s="502">
        <v>0.5</v>
      </c>
    </row>
    <row r="4406" spans="1:14" ht="19.5" hidden="1" thickBot="1" x14ac:dyDescent="0.3">
      <c r="A4406" s="714">
        <f t="shared" si="125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2"/>
        <v>07,25</v>
      </c>
      <c r="L4406" s="535" t="s">
        <v>265</v>
      </c>
      <c r="M4406" s="535">
        <v>11247.56</v>
      </c>
      <c r="N4406" s="539">
        <v>0.375</v>
      </c>
    </row>
    <row r="4407" spans="1:14" ht="19.5" hidden="1" thickBot="1" x14ac:dyDescent="0.3">
      <c r="A4407" s="715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2"/>
        <v>07,25</v>
      </c>
      <c r="L4407" s="640" t="s">
        <v>265</v>
      </c>
      <c r="M4407" s="640">
        <v>2028</v>
      </c>
      <c r="N4407" s="644">
        <v>0.375</v>
      </c>
    </row>
    <row r="4408" spans="1:14" ht="19.5" hidden="1" thickBot="1" x14ac:dyDescent="0.3">
      <c r="A4408" s="513">
        <f t="shared" ref="A4408:A4416" si="126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2"/>
        <v>07,25</v>
      </c>
      <c r="L4408" s="518" t="s">
        <v>266</v>
      </c>
      <c r="M4408" s="518">
        <v>17970.3</v>
      </c>
      <c r="N4408" s="522">
        <v>0.41666666666666669</v>
      </c>
    </row>
    <row r="4409" spans="1:14" ht="38.25" hidden="1" thickBot="1" x14ac:dyDescent="0.3">
      <c r="A4409" s="503">
        <f t="shared" si="126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2"/>
        <v>07,25</v>
      </c>
      <c r="L4409" s="508" t="s">
        <v>266</v>
      </c>
      <c r="M4409" s="508">
        <v>16518.84</v>
      </c>
      <c r="N4409" s="512">
        <v>0.45833333333333331</v>
      </c>
    </row>
    <row r="4410" spans="1:14" ht="38.25" hidden="1" thickBot="1" x14ac:dyDescent="0.3">
      <c r="A4410" s="513">
        <f t="shared" si="126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2"/>
        <v>07,25</v>
      </c>
      <c r="L4410" s="518" t="s">
        <v>28</v>
      </c>
      <c r="M4410" s="518">
        <v>16381.320000000003</v>
      </c>
      <c r="N4410" s="522">
        <v>0.5</v>
      </c>
    </row>
    <row r="4411" spans="1:14" ht="19.5" hidden="1" thickBot="1" x14ac:dyDescent="0.3">
      <c r="A4411" s="503">
        <f t="shared" si="126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2"/>
        <v>07,25</v>
      </c>
      <c r="L4411" s="508" t="s">
        <v>266</v>
      </c>
      <c r="M4411" s="508">
        <v>15478.650000000001</v>
      </c>
      <c r="N4411" s="512">
        <v>0.54166666666666663</v>
      </c>
    </row>
    <row r="4412" spans="1:14" ht="19.5" hidden="1" thickBot="1" x14ac:dyDescent="0.3">
      <c r="A4412" s="513">
        <f t="shared" si="126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2"/>
        <v>07,25</v>
      </c>
      <c r="L4412" s="518" t="s">
        <v>266</v>
      </c>
      <c r="M4412" s="518">
        <v>17548.439999999999</v>
      </c>
      <c r="N4412" s="522">
        <v>0.58333333333333337</v>
      </c>
    </row>
    <row r="4413" spans="1:14" ht="19.5" hidden="1" thickBot="1" x14ac:dyDescent="0.3">
      <c r="A4413" s="503">
        <f t="shared" si="126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2"/>
        <v>07,25</v>
      </c>
      <c r="L4413" s="508" t="s">
        <v>265</v>
      </c>
      <c r="M4413" s="508">
        <v>17683.7</v>
      </c>
      <c r="N4413" s="512">
        <v>0.375</v>
      </c>
    </row>
    <row r="4414" spans="1:14" ht="19.5" hidden="1" thickBot="1" x14ac:dyDescent="0.3">
      <c r="A4414" s="711">
        <f t="shared" si="126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2"/>
        <v>07,25</v>
      </c>
      <c r="L4414" s="483" t="s">
        <v>28</v>
      </c>
      <c r="M4414" s="483">
        <v>12573.590000000002</v>
      </c>
      <c r="N4414" s="486">
        <v>0.41666666666666669</v>
      </c>
    </row>
    <row r="4415" spans="1:14" ht="19.5" hidden="1" thickBot="1" x14ac:dyDescent="0.3">
      <c r="A4415" s="712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2"/>
        <v>07,25</v>
      </c>
      <c r="L4415" s="649" t="s">
        <v>28</v>
      </c>
      <c r="M4415" s="649">
        <v>5478.9499999999989</v>
      </c>
      <c r="N4415" s="653">
        <v>0.41666666666666669</v>
      </c>
    </row>
    <row r="4416" spans="1:14" ht="19.5" hidden="1" thickBot="1" x14ac:dyDescent="0.3">
      <c r="A4416" s="714">
        <f t="shared" si="126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2"/>
        <v>07,25</v>
      </c>
      <c r="L4416" s="535" t="s">
        <v>28</v>
      </c>
      <c r="M4416" s="535">
        <v>1996.0900000000001</v>
      </c>
      <c r="N4416" s="539">
        <v>0.45833333333333331</v>
      </c>
    </row>
    <row r="4417" spans="1:14" ht="19.5" hidden="1" thickBot="1" x14ac:dyDescent="0.3">
      <c r="A4417" s="716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2"/>
        <v>07,25</v>
      </c>
      <c r="L4417" s="567" t="s">
        <v>28</v>
      </c>
      <c r="M4417" s="567">
        <v>6219.0599999999995</v>
      </c>
      <c r="N4417" s="571">
        <v>0.45833333333333331</v>
      </c>
    </row>
    <row r="4418" spans="1:14" ht="19.5" hidden="1" thickBot="1" x14ac:dyDescent="0.3">
      <c r="A4418" s="716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2"/>
        <v>07,25</v>
      </c>
      <c r="L4418" s="567" t="s">
        <v>28</v>
      </c>
      <c r="M4418" s="567">
        <v>1934.6400000000003</v>
      </c>
      <c r="N4418" s="571">
        <v>0.45833333333333331</v>
      </c>
    </row>
    <row r="4419" spans="1:14" ht="57" hidden="1" thickBot="1" x14ac:dyDescent="0.3">
      <c r="A4419" s="715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2"/>
        <v>07,25</v>
      </c>
      <c r="L4419" s="640" t="s">
        <v>28</v>
      </c>
      <c r="M4419" s="640">
        <v>7773.0599999999995</v>
      </c>
      <c r="N4419" s="644">
        <v>0.45833333333333331</v>
      </c>
    </row>
    <row r="4420" spans="1:14" ht="19.5" hidden="1" thickBot="1" x14ac:dyDescent="0.3">
      <c r="A4420" s="513">
        <f t="shared" ref="A4420:A4422" si="127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2"/>
        <v>07,25</v>
      </c>
      <c r="L4420" s="518" t="s">
        <v>266</v>
      </c>
      <c r="M4420" s="518">
        <v>17966.879999999997</v>
      </c>
      <c r="N4420" s="522">
        <v>0.625</v>
      </c>
    </row>
    <row r="4421" spans="1:14" ht="19.5" hidden="1" thickBot="1" x14ac:dyDescent="0.3">
      <c r="A4421" s="503">
        <f t="shared" si="127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2"/>
        <v>07,25</v>
      </c>
      <c r="L4421" s="508" t="s">
        <v>265</v>
      </c>
      <c r="M4421" s="508">
        <v>17642.640000000007</v>
      </c>
      <c r="N4421" s="512">
        <v>0.375</v>
      </c>
    </row>
    <row r="4422" spans="1:14" ht="19.5" hidden="1" thickBot="1" x14ac:dyDescent="0.3">
      <c r="A4422" s="711">
        <f t="shared" si="127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2"/>
        <v>07,25</v>
      </c>
      <c r="L4422" s="483" t="s">
        <v>265</v>
      </c>
      <c r="M4422" s="483">
        <v>11268.759999999998</v>
      </c>
      <c r="N4422" s="486">
        <v>0.375</v>
      </c>
    </row>
    <row r="4423" spans="1:14" ht="19.5" hidden="1" thickBot="1" x14ac:dyDescent="0.3">
      <c r="A4423" s="712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2"/>
        <v>07,25</v>
      </c>
      <c r="L4423" s="649" t="s">
        <v>265</v>
      </c>
      <c r="M4423" s="649">
        <v>1656</v>
      </c>
      <c r="N4423" s="653">
        <v>0.375</v>
      </c>
    </row>
    <row r="4424" spans="1:14" ht="19.5" hidden="1" thickBot="1" x14ac:dyDescent="0.3">
      <c r="A4424" s="714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2"/>
        <v>07,25</v>
      </c>
      <c r="L4424" s="535" t="s">
        <v>28</v>
      </c>
      <c r="M4424" s="535">
        <v>6817.68</v>
      </c>
      <c r="N4424" s="539">
        <v>0.41666666666666669</v>
      </c>
    </row>
    <row r="4425" spans="1:14" ht="19.5" hidden="1" thickBot="1" x14ac:dyDescent="0.3">
      <c r="A4425" s="715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2"/>
        <v>07,25</v>
      </c>
      <c r="L4425" s="640" t="s">
        <v>28</v>
      </c>
      <c r="M4425" s="640">
        <v>4231.5999999999995</v>
      </c>
      <c r="N4425" s="644">
        <v>0.41666666666666669</v>
      </c>
    </row>
    <row r="4426" spans="1:14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2"/>
        <v>07,25</v>
      </c>
      <c r="L4426" s="518" t="s">
        <v>28</v>
      </c>
      <c r="M4426" s="518">
        <v>11160.920000000002</v>
      </c>
      <c r="N4426" s="522">
        <v>0.45833333333333331</v>
      </c>
    </row>
    <row r="4427" spans="1:14" ht="19.5" hidden="1" thickBot="1" x14ac:dyDescent="0.3">
      <c r="A4427" s="714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2"/>
        <v>07,25</v>
      </c>
      <c r="L4427" s="535" t="s">
        <v>28</v>
      </c>
      <c r="M4427" s="535">
        <v>3900.44</v>
      </c>
      <c r="N4427" s="539">
        <v>0.5</v>
      </c>
    </row>
    <row r="4428" spans="1:14" ht="19.5" hidden="1" thickBot="1" x14ac:dyDescent="0.3">
      <c r="A4428" s="715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2"/>
        <v>07,25</v>
      </c>
      <c r="L4428" s="640" t="s">
        <v>28</v>
      </c>
      <c r="M4428" s="640">
        <v>6841.1200000000008</v>
      </c>
      <c r="N4428" s="644">
        <v>0.5</v>
      </c>
    </row>
    <row r="4429" spans="1:14" ht="19.5" hidden="1" thickBot="1" x14ac:dyDescent="0.3">
      <c r="A4429" s="711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2"/>
        <v>07,25</v>
      </c>
      <c r="L4429" s="483" t="s">
        <v>28</v>
      </c>
      <c r="M4429" s="483">
        <v>1380</v>
      </c>
      <c r="N4429" s="486">
        <v>0.54166666666666663</v>
      </c>
    </row>
    <row r="4430" spans="1:14" ht="19.5" hidden="1" thickBot="1" x14ac:dyDescent="0.3">
      <c r="A4430" s="712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2"/>
        <v>07,25</v>
      </c>
      <c r="L4430" s="649" t="s">
        <v>28</v>
      </c>
      <c r="M4430" s="649">
        <v>7572.5999999999995</v>
      </c>
      <c r="N4430" s="653">
        <v>0.54166666666666663</v>
      </c>
    </row>
    <row r="4431" spans="1:14" ht="19.5" hidden="1" thickBot="1" x14ac:dyDescent="0.3">
      <c r="A4431" s="714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2"/>
        <v>07,25</v>
      </c>
      <c r="L4431" s="535" t="s">
        <v>266</v>
      </c>
      <c r="M4431" s="535">
        <v>12205.240000000003</v>
      </c>
      <c r="N4431" s="539">
        <v>0.5</v>
      </c>
    </row>
    <row r="4432" spans="1:14" ht="19.5" hidden="1" thickBot="1" x14ac:dyDescent="0.3">
      <c r="A4432" s="716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2"/>
        <v>07,25</v>
      </c>
      <c r="L4432" s="594" t="s">
        <v>266</v>
      </c>
      <c r="M4432" s="594">
        <v>3445.67</v>
      </c>
      <c r="N4432" s="598">
        <v>0.5</v>
      </c>
    </row>
    <row r="4433" spans="1:14" ht="19.5" hidden="1" thickBot="1" x14ac:dyDescent="0.3">
      <c r="A4433" s="513">
        <f t="shared" ref="A4433:A4496" si="128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2"/>
        <v>07,25</v>
      </c>
      <c r="L4433" s="518" t="s">
        <v>266</v>
      </c>
      <c r="M4433" s="518">
        <v>18012.22</v>
      </c>
      <c r="N4433" s="522">
        <v>0.41666666666666669</v>
      </c>
    </row>
    <row r="4434" spans="1:14" ht="19.5" hidden="1" thickBot="1" x14ac:dyDescent="0.3">
      <c r="A4434" s="503">
        <f t="shared" si="128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2"/>
        <v>07,25</v>
      </c>
      <c r="L4434" s="508" t="s">
        <v>266</v>
      </c>
      <c r="M4434" s="508">
        <v>18011.96</v>
      </c>
      <c r="N4434" s="512">
        <v>0.45833333333333331</v>
      </c>
    </row>
    <row r="4435" spans="1:14" ht="19.5" hidden="1" thickBot="1" x14ac:dyDescent="0.3">
      <c r="A4435" s="513">
        <f t="shared" si="128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2"/>
        <v>07,25</v>
      </c>
      <c r="L4435" s="518" t="s">
        <v>266</v>
      </c>
      <c r="M4435" s="518">
        <v>17967.599999999999</v>
      </c>
      <c r="N4435" s="522">
        <v>0.5</v>
      </c>
    </row>
    <row r="4436" spans="1:14" ht="19.5" hidden="1" thickBot="1" x14ac:dyDescent="0.3">
      <c r="A4436" s="503">
        <f t="shared" si="128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2"/>
        <v>07,25</v>
      </c>
      <c r="L4436" s="508" t="s">
        <v>266</v>
      </c>
      <c r="M4436" s="508">
        <v>17671.940000000002</v>
      </c>
      <c r="N4436" s="512">
        <v>0.54166666666666663</v>
      </c>
    </row>
    <row r="4437" spans="1:14" ht="19.5" hidden="1" thickBot="1" x14ac:dyDescent="0.3">
      <c r="A4437" s="711">
        <f t="shared" si="128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2"/>
        <v>07,25</v>
      </c>
      <c r="L4437" s="483" t="s">
        <v>266</v>
      </c>
      <c r="M4437" s="483">
        <v>2402.58</v>
      </c>
      <c r="N4437" s="486">
        <v>0.58333333333333337</v>
      </c>
    </row>
    <row r="4438" spans="1:14" ht="19.5" hidden="1" thickBot="1" x14ac:dyDescent="0.3">
      <c r="A4438" s="713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2"/>
        <v>07,25</v>
      </c>
      <c r="L4438" s="527" t="s">
        <v>266</v>
      </c>
      <c r="M4438" s="527">
        <v>6354.84</v>
      </c>
      <c r="N4438" s="530">
        <v>0.58333333333333337</v>
      </c>
    </row>
    <row r="4439" spans="1:14" ht="19.5" hidden="1" thickBot="1" x14ac:dyDescent="0.3">
      <c r="A4439" s="713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2"/>
        <v>07,25</v>
      </c>
      <c r="L4439" s="527" t="s">
        <v>266</v>
      </c>
      <c r="M4439" s="527">
        <v>5669.9</v>
      </c>
      <c r="N4439" s="530">
        <v>0.58333333333333337</v>
      </c>
    </row>
    <row r="4440" spans="1:14" ht="19.5" hidden="1" thickBot="1" x14ac:dyDescent="0.3">
      <c r="A4440" s="712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2"/>
        <v>07,25</v>
      </c>
      <c r="L4440" s="649" t="s">
        <v>266</v>
      </c>
      <c r="M4440" s="649">
        <v>2376.66</v>
      </c>
      <c r="N4440" s="653">
        <v>0.58333333333333337</v>
      </c>
    </row>
    <row r="4441" spans="1:14" ht="19.5" hidden="1" thickBot="1" x14ac:dyDescent="0.3">
      <c r="A4441" s="503">
        <f t="shared" si="128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2"/>
        <v>07,25</v>
      </c>
      <c r="L4441" s="508" t="s">
        <v>266</v>
      </c>
      <c r="M4441" s="508">
        <v>17215.09</v>
      </c>
      <c r="N4441" s="512">
        <v>0.625</v>
      </c>
    </row>
    <row r="4442" spans="1:14" ht="19.5" hidden="1" thickBot="1" x14ac:dyDescent="0.3">
      <c r="A4442" s="711">
        <f t="shared" si="128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2"/>
        <v>07,25</v>
      </c>
      <c r="L4442" s="483" t="s">
        <v>266</v>
      </c>
      <c r="M4442" s="483">
        <v>7212.5999999999995</v>
      </c>
      <c r="N4442" s="486">
        <v>0.66666666666666663</v>
      </c>
    </row>
    <row r="4443" spans="1:14" ht="19.5" hidden="1" thickBot="1" x14ac:dyDescent="0.3">
      <c r="A4443" s="712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2"/>
        <v>07,25</v>
      </c>
      <c r="L4443" s="649" t="s">
        <v>266</v>
      </c>
      <c r="M4443" s="649">
        <v>8923.7900000000009</v>
      </c>
      <c r="N4443" s="653">
        <v>0.66666666666666663</v>
      </c>
    </row>
    <row r="4444" spans="1:14" ht="19.5" hidden="1" thickBot="1" x14ac:dyDescent="0.3">
      <c r="A4444" s="551">
        <f t="shared" si="128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2"/>
        <v>07,25</v>
      </c>
      <c r="L4444" s="556" t="s">
        <v>266</v>
      </c>
      <c r="M4444" s="556">
        <v>7374.18</v>
      </c>
      <c r="N4444" s="560">
        <v>0.70833333333333337</v>
      </c>
    </row>
    <row r="4445" spans="1:14" ht="19.5" hidden="1" thickBot="1" x14ac:dyDescent="0.3">
      <c r="A4445" s="711">
        <f t="shared" si="128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2"/>
        <v>07,25</v>
      </c>
      <c r="L4445" s="483" t="s">
        <v>266</v>
      </c>
      <c r="M4445" s="483">
        <v>1599</v>
      </c>
      <c r="N4445" s="486">
        <v>0.375</v>
      </c>
    </row>
    <row r="4446" spans="1:14" ht="19.5" hidden="1" thickBot="1" x14ac:dyDescent="0.3">
      <c r="A4446" s="713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2"/>
        <v>07,25</v>
      </c>
      <c r="L4446" s="527" t="s">
        <v>265</v>
      </c>
      <c r="M4446" s="527">
        <v>6840.829999999999</v>
      </c>
      <c r="N4446" s="530">
        <v>0.375</v>
      </c>
    </row>
    <row r="4447" spans="1:14" ht="19.5" hidden="1" thickBot="1" x14ac:dyDescent="0.3">
      <c r="A4447" s="713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2"/>
        <v>07,25</v>
      </c>
      <c r="L4447" s="527" t="s">
        <v>265</v>
      </c>
      <c r="M4447" s="527">
        <v>9166.5999999999985</v>
      </c>
      <c r="N4447" s="530">
        <v>0.375</v>
      </c>
    </row>
    <row r="4448" spans="1:14" ht="19.5" hidden="1" thickBot="1" x14ac:dyDescent="0.3">
      <c r="A4448" s="712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2"/>
        <v>07,25</v>
      </c>
      <c r="L4448" s="649" t="s">
        <v>265</v>
      </c>
      <c r="M4448" s="649">
        <v>1.98</v>
      </c>
      <c r="N4448" s="653">
        <v>0.375</v>
      </c>
    </row>
    <row r="4449" spans="1:14" ht="19.5" hidden="1" thickBot="1" x14ac:dyDescent="0.3">
      <c r="A4449" s="503">
        <f t="shared" ref="A4449:A4464" si="129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2"/>
        <v>07,25</v>
      </c>
      <c r="L4449" s="508" t="s">
        <v>265</v>
      </c>
      <c r="M4449" s="508">
        <v>17673.650000000001</v>
      </c>
      <c r="N4449" s="512">
        <v>0.375</v>
      </c>
    </row>
    <row r="4450" spans="1:14" ht="19.5" hidden="1" thickBot="1" x14ac:dyDescent="0.3">
      <c r="A4450" s="513">
        <f t="shared" si="129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2"/>
        <v>07,25</v>
      </c>
      <c r="L4450" s="518" t="s">
        <v>265</v>
      </c>
      <c r="M4450" s="518">
        <v>17681.88</v>
      </c>
      <c r="N4450" s="522">
        <v>0.41666666666666669</v>
      </c>
    </row>
    <row r="4451" spans="1:14" ht="19.5" hidden="1" thickBot="1" x14ac:dyDescent="0.3">
      <c r="A4451" s="551">
        <f t="shared" si="129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2"/>
        <v>07,25</v>
      </c>
      <c r="L4451" s="556" t="s">
        <v>265</v>
      </c>
      <c r="M4451" s="556">
        <v>12273.559999999998</v>
      </c>
      <c r="N4451" s="560">
        <v>0.375</v>
      </c>
    </row>
    <row r="4452" spans="1:14" ht="19.5" hidden="1" thickBot="1" x14ac:dyDescent="0.3">
      <c r="A4452" s="513">
        <f t="shared" si="129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2"/>
        <v>07,25</v>
      </c>
      <c r="L4452" s="518" t="s">
        <v>265</v>
      </c>
      <c r="M4452" s="518">
        <v>17707.2</v>
      </c>
      <c r="N4452" s="522">
        <v>0.375</v>
      </c>
    </row>
    <row r="4453" spans="1:14" ht="19.5" hidden="1" thickBot="1" x14ac:dyDescent="0.3">
      <c r="A4453" s="714">
        <f t="shared" si="129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2"/>
        <v>07,25</v>
      </c>
      <c r="L4453" s="535" t="s">
        <v>28</v>
      </c>
      <c r="M4453" s="535">
        <v>1841.1600000000003</v>
      </c>
      <c r="N4453" s="539">
        <v>0.45833333333333331</v>
      </c>
    </row>
    <row r="4454" spans="1:14" ht="19.5" hidden="1" thickBot="1" x14ac:dyDescent="0.3">
      <c r="A4454" s="715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2"/>
        <v>07,25</v>
      </c>
      <c r="L4454" s="640" t="s">
        <v>28</v>
      </c>
      <c r="M4454" s="640">
        <v>15991.11</v>
      </c>
      <c r="N4454" s="644">
        <v>0.45833333333333331</v>
      </c>
    </row>
    <row r="4455" spans="1:14" ht="19.5" hidden="1" thickBot="1" x14ac:dyDescent="0.3">
      <c r="A4455" s="513">
        <f t="shared" si="129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2"/>
        <v>07,25</v>
      </c>
      <c r="L4455" s="518" t="s">
        <v>265</v>
      </c>
      <c r="M4455" s="518">
        <v>12328.24</v>
      </c>
      <c r="N4455" s="522">
        <v>0.375</v>
      </c>
    </row>
    <row r="4456" spans="1:14" ht="19.5" hidden="1" thickBot="1" x14ac:dyDescent="0.3">
      <c r="A4456" s="714">
        <f t="shared" si="129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2"/>
        <v>07,25</v>
      </c>
      <c r="L4456" s="535" t="s">
        <v>266</v>
      </c>
      <c r="M4456" s="535">
        <v>6542.16</v>
      </c>
      <c r="N4456" s="539">
        <v>0.41666666666666669</v>
      </c>
    </row>
    <row r="4457" spans="1:14" ht="19.5" hidden="1" thickBot="1" x14ac:dyDescent="0.3">
      <c r="A4457" s="715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2"/>
        <v>07,25</v>
      </c>
      <c r="L4457" s="640" t="s">
        <v>266</v>
      </c>
      <c r="M4457" s="640">
        <v>3761.2799999999997</v>
      </c>
      <c r="N4457" s="644">
        <v>0.41666666666666669</v>
      </c>
    </row>
    <row r="4458" spans="1:14" ht="19.5" hidden="1" thickBot="1" x14ac:dyDescent="0.3">
      <c r="A4458" s="711">
        <f t="shared" si="129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2"/>
        <v>07,25</v>
      </c>
      <c r="L4458" s="483" t="s">
        <v>266</v>
      </c>
      <c r="M4458" s="483">
        <v>3178.74</v>
      </c>
      <c r="N4458" s="486">
        <v>0.5</v>
      </c>
    </row>
    <row r="4459" spans="1:14" ht="19.5" hidden="1" thickBot="1" x14ac:dyDescent="0.3">
      <c r="A4459" s="713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2"/>
        <v>07,25</v>
      </c>
      <c r="L4459" s="527" t="s">
        <v>28</v>
      </c>
      <c r="M4459" s="527">
        <v>4122.0400000000009</v>
      </c>
      <c r="N4459" s="530">
        <v>0.5</v>
      </c>
    </row>
    <row r="4460" spans="1:14" ht="19.5" hidden="1" thickBot="1" x14ac:dyDescent="0.3">
      <c r="A4460" s="712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2"/>
        <v>07,25</v>
      </c>
      <c r="L4460" s="649" t="s">
        <v>28</v>
      </c>
      <c r="M4460" s="649">
        <v>10436.59</v>
      </c>
      <c r="N4460" s="653">
        <v>0.5</v>
      </c>
    </row>
    <row r="4461" spans="1:14" ht="19.5" hidden="1" thickBot="1" x14ac:dyDescent="0.3">
      <c r="A4461" s="714">
        <f t="shared" si="129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2"/>
        <v>07,25</v>
      </c>
      <c r="L4461" s="535" t="s">
        <v>28</v>
      </c>
      <c r="M4461" s="535">
        <v>9162.8600000000024</v>
      </c>
      <c r="N4461" s="539">
        <v>0.54166666666666663</v>
      </c>
    </row>
    <row r="4462" spans="1:14" ht="19.5" hidden="1" thickBot="1" x14ac:dyDescent="0.3">
      <c r="A4462" s="716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2"/>
        <v>07,25</v>
      </c>
      <c r="L4462" s="567" t="s">
        <v>28</v>
      </c>
      <c r="M4462" s="567">
        <v>4846.9000000000005</v>
      </c>
      <c r="N4462" s="571">
        <v>0.54166666666666663</v>
      </c>
    </row>
    <row r="4463" spans="1:14" ht="19.5" hidden="1" thickBot="1" x14ac:dyDescent="0.3">
      <c r="A4463" s="715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2"/>
        <v>07,25</v>
      </c>
      <c r="L4463" s="640" t="s">
        <v>28</v>
      </c>
      <c r="M4463" s="640">
        <v>3747.96</v>
      </c>
      <c r="N4463" s="644">
        <v>0.54166666666666663</v>
      </c>
    </row>
    <row r="4464" spans="1:14" ht="94.5" hidden="1" thickBot="1" x14ac:dyDescent="0.3">
      <c r="A4464" s="513">
        <f t="shared" si="129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2"/>
        <v>07,25</v>
      </c>
      <c r="L4464" s="518" t="s">
        <v>266</v>
      </c>
      <c r="M4464" s="518">
        <v>7119.6</v>
      </c>
      <c r="N4464" s="522">
        <v>0.58333333333333337</v>
      </c>
    </row>
    <row r="4465" spans="1:14" ht="19.5" hidden="1" thickBot="1" x14ac:dyDescent="0.3">
      <c r="A4465" s="551">
        <f t="shared" si="128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2"/>
        <v>07,25</v>
      </c>
      <c r="L4465" s="556" t="s">
        <v>28</v>
      </c>
      <c r="M4465" s="556">
        <v>17673.719999999998</v>
      </c>
      <c r="N4465" s="560">
        <v>0.41666666666666669</v>
      </c>
    </row>
    <row r="4466" spans="1:14" ht="38.25" hidden="1" thickBot="1" x14ac:dyDescent="0.3">
      <c r="A4466" s="513">
        <f t="shared" si="128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2"/>
        <v>07,25</v>
      </c>
      <c r="L4466" s="518" t="s">
        <v>266</v>
      </c>
      <c r="M4466" s="518">
        <v>15036.84</v>
      </c>
      <c r="N4466" s="522">
        <v>0.45833333333333331</v>
      </c>
    </row>
    <row r="4467" spans="1:14" ht="19.5" hidden="1" thickBot="1" x14ac:dyDescent="0.3">
      <c r="A4467" s="503">
        <f t="shared" si="128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2"/>
        <v>07,25</v>
      </c>
      <c r="L4467" s="508" t="s">
        <v>266</v>
      </c>
      <c r="M4467" s="508">
        <v>15706.440000000002</v>
      </c>
      <c r="N4467" s="512">
        <v>0.5</v>
      </c>
    </row>
    <row r="4468" spans="1:14" ht="19.5" hidden="1" thickBot="1" x14ac:dyDescent="0.3">
      <c r="A4468" s="513">
        <f t="shared" si="128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2"/>
        <v>07,25</v>
      </c>
      <c r="L4468" s="518" t="s">
        <v>28</v>
      </c>
      <c r="M4468" s="518">
        <v>10094.880000000001</v>
      </c>
      <c r="N4468" s="522">
        <v>0.41666666666666669</v>
      </c>
    </row>
    <row r="4469" spans="1:14" ht="19.5" hidden="1" thickBot="1" x14ac:dyDescent="0.3">
      <c r="A4469" s="503">
        <f t="shared" si="128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2"/>
        <v>07,25</v>
      </c>
      <c r="L4469" s="508" t="s">
        <v>265</v>
      </c>
      <c r="M4469" s="508">
        <v>17790.640000000003</v>
      </c>
      <c r="N4469" s="512">
        <v>0.375</v>
      </c>
    </row>
    <row r="4470" spans="1:14" ht="19.5" hidden="1" thickBot="1" x14ac:dyDescent="0.3">
      <c r="A4470" s="513">
        <f t="shared" si="128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2"/>
        <v>07,25</v>
      </c>
      <c r="L4470" s="518" t="s">
        <v>265</v>
      </c>
      <c r="M4470" s="518">
        <v>17783.860000000004</v>
      </c>
      <c r="N4470" s="522">
        <v>0.375</v>
      </c>
    </row>
    <row r="4471" spans="1:14" ht="19.5" hidden="1" thickBot="1" x14ac:dyDescent="0.3">
      <c r="A4471" s="503">
        <f t="shared" si="128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0">RIGHT(I4471,5)</f>
        <v>07,25</v>
      </c>
      <c r="L4471" s="508" t="s">
        <v>28</v>
      </c>
      <c r="M4471" s="508">
        <v>17740.45</v>
      </c>
      <c r="N4471" s="512">
        <v>0.41666666666666669</v>
      </c>
    </row>
    <row r="4472" spans="1:14" ht="94.5" hidden="1" thickBot="1" x14ac:dyDescent="0.3">
      <c r="A4472" s="513">
        <f t="shared" si="128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0"/>
        <v>07,25</v>
      </c>
      <c r="L4472" s="518" t="s">
        <v>28</v>
      </c>
      <c r="M4472" s="518">
        <v>16160.720000000003</v>
      </c>
      <c r="N4472" s="522">
        <v>0.45833333333333331</v>
      </c>
    </row>
    <row r="4473" spans="1:14" ht="19.5" hidden="1" thickBot="1" x14ac:dyDescent="0.3">
      <c r="A4473" s="714">
        <f t="shared" si="128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0"/>
        <v>07,25</v>
      </c>
      <c r="L4473" s="535" t="s">
        <v>28</v>
      </c>
      <c r="M4473" s="535">
        <v>2026.7999999999997</v>
      </c>
      <c r="N4473" s="539">
        <v>0.5</v>
      </c>
    </row>
    <row r="4474" spans="1:14" ht="19.5" hidden="1" thickBot="1" x14ac:dyDescent="0.3">
      <c r="A4474" s="716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0"/>
        <v>07,25</v>
      </c>
      <c r="L4474" s="567" t="s">
        <v>28</v>
      </c>
      <c r="M4474" s="567">
        <v>2827.45</v>
      </c>
      <c r="N4474" s="571">
        <v>0.5</v>
      </c>
    </row>
    <row r="4475" spans="1:14" ht="19.5" hidden="1" thickBot="1" x14ac:dyDescent="0.3">
      <c r="A4475" s="715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0"/>
        <v>07,25</v>
      </c>
      <c r="L4475" s="640" t="s">
        <v>28</v>
      </c>
      <c r="M4475" s="640">
        <v>12615.120000000003</v>
      </c>
      <c r="N4475" s="644">
        <v>0.5</v>
      </c>
    </row>
    <row r="4476" spans="1:14" ht="19.5" hidden="1" thickBot="1" x14ac:dyDescent="0.3">
      <c r="A4476" s="513">
        <f t="shared" si="128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0"/>
        <v>07,25</v>
      </c>
      <c r="L4476" s="518" t="s">
        <v>265</v>
      </c>
      <c r="M4476" s="518">
        <v>13781.839999999998</v>
      </c>
      <c r="N4476" s="522">
        <v>0.375</v>
      </c>
    </row>
    <row r="4477" spans="1:14" ht="19.5" hidden="1" thickBot="1" x14ac:dyDescent="0.3">
      <c r="A4477" s="714">
        <f t="shared" si="128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0"/>
        <v>07,25</v>
      </c>
      <c r="L4477" s="535" t="s">
        <v>28</v>
      </c>
      <c r="M4477" s="535">
        <v>5547.8</v>
      </c>
      <c r="N4477" s="539">
        <v>0.41666666666666669</v>
      </c>
    </row>
    <row r="4478" spans="1:14" ht="19.5" hidden="1" thickBot="1" x14ac:dyDescent="0.3">
      <c r="A4478" s="716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0"/>
        <v>07,25</v>
      </c>
      <c r="L4478" s="567" t="s">
        <v>28</v>
      </c>
      <c r="M4478" s="567">
        <v>1688.8</v>
      </c>
      <c r="N4478" s="571">
        <v>0.41666666666666669</v>
      </c>
    </row>
    <row r="4479" spans="1:14" ht="19.5" hidden="1" thickBot="1" x14ac:dyDescent="0.3">
      <c r="A4479" s="715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0"/>
        <v>07,25</v>
      </c>
      <c r="L4479" s="640" t="s">
        <v>28</v>
      </c>
      <c r="M4479" s="640">
        <v>5853.0400000000009</v>
      </c>
      <c r="N4479" s="644">
        <v>0.41666666666666669</v>
      </c>
    </row>
    <row r="4480" spans="1:14" ht="19.5" hidden="1" thickBot="1" x14ac:dyDescent="0.3">
      <c r="A4480" s="711">
        <f t="shared" si="128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0"/>
        <v>07,25</v>
      </c>
      <c r="L4480" s="483" t="s">
        <v>28</v>
      </c>
      <c r="M4480" s="483">
        <v>1941.12</v>
      </c>
      <c r="N4480" s="486">
        <v>0.45833333333333331</v>
      </c>
    </row>
    <row r="4481" spans="1:14" ht="19.5" hidden="1" thickBot="1" x14ac:dyDescent="0.3">
      <c r="A4481" s="712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0"/>
        <v>07,25</v>
      </c>
      <c r="L4481" s="649" t="s">
        <v>28</v>
      </c>
      <c r="M4481" s="649">
        <v>7426.12</v>
      </c>
      <c r="N4481" s="653">
        <v>0.45833333333333331</v>
      </c>
    </row>
    <row r="4482" spans="1:14" ht="55.5" hidden="1" customHeight="1" thickBot="1" x14ac:dyDescent="0.3">
      <c r="A4482" s="551">
        <f t="shared" si="128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0"/>
        <v>07,25</v>
      </c>
      <c r="L4482" s="556" t="s">
        <v>28</v>
      </c>
      <c r="M4482" s="556">
        <v>9728.08</v>
      </c>
      <c r="N4482" s="560">
        <v>0.5</v>
      </c>
    </row>
    <row r="4483" spans="1:14" ht="38.25" hidden="1" thickBot="1" x14ac:dyDescent="0.3">
      <c r="A4483" s="513">
        <f t="shared" si="128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0"/>
        <v>07,25</v>
      </c>
      <c r="L4483" s="518" t="s">
        <v>28</v>
      </c>
      <c r="M4483" s="518">
        <v>15428.7</v>
      </c>
      <c r="N4483" s="522">
        <v>0.41666666666666669</v>
      </c>
    </row>
    <row r="4484" spans="1:14" ht="57" hidden="1" thickBot="1" x14ac:dyDescent="0.3">
      <c r="A4484" s="503">
        <f t="shared" si="128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0"/>
        <v>08,25</v>
      </c>
      <c r="L4484" s="508" t="s">
        <v>28</v>
      </c>
      <c r="M4484" s="508">
        <v>4113.8999999999996</v>
      </c>
      <c r="N4484" s="512">
        <v>0.45833333333333331</v>
      </c>
    </row>
    <row r="4485" spans="1:14" ht="19.5" hidden="1" thickBot="1" x14ac:dyDescent="0.3">
      <c r="A4485" s="572">
        <f t="shared" si="128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0"/>
        <v>07,25</v>
      </c>
      <c r="L4485" s="577" t="s">
        <v>266</v>
      </c>
      <c r="M4485" s="577">
        <v>17228.72</v>
      </c>
      <c r="N4485" s="581">
        <v>0.5</v>
      </c>
    </row>
    <row r="4486" spans="1:14" ht="19.5" hidden="1" thickBot="1" x14ac:dyDescent="0.3">
      <c r="A4486" s="503">
        <f t="shared" si="128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0"/>
        <v>07,25</v>
      </c>
      <c r="L4486" s="508" t="s">
        <v>266</v>
      </c>
      <c r="M4486" s="508">
        <v>18110.64</v>
      </c>
      <c r="N4486" s="512">
        <v>0.41666666666666669</v>
      </c>
    </row>
    <row r="4487" spans="1:14" ht="19.5" hidden="1" thickBot="1" x14ac:dyDescent="0.3">
      <c r="A4487" s="513">
        <f t="shared" si="128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0"/>
        <v>07,25</v>
      </c>
      <c r="L4487" s="518" t="s">
        <v>266</v>
      </c>
      <c r="M4487" s="518">
        <v>18034.239999999998</v>
      </c>
      <c r="N4487" s="522">
        <v>0.45833333333333331</v>
      </c>
    </row>
    <row r="4488" spans="1:14" ht="19.5" hidden="1" thickBot="1" x14ac:dyDescent="0.3">
      <c r="A4488" s="503">
        <f t="shared" si="128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0"/>
        <v>07,25</v>
      </c>
      <c r="L4488" s="508" t="s">
        <v>266</v>
      </c>
      <c r="M4488" s="508">
        <v>17297.850000000002</v>
      </c>
      <c r="N4488" s="512">
        <v>0.5</v>
      </c>
    </row>
    <row r="4489" spans="1:14" ht="19.5" hidden="1" thickBot="1" x14ac:dyDescent="0.3">
      <c r="A4489" s="711">
        <f t="shared" si="128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0"/>
        <v>08,25</v>
      </c>
      <c r="L4489" s="483" t="s">
        <v>266</v>
      </c>
      <c r="M4489" s="483">
        <v>4726.04</v>
      </c>
      <c r="N4489" s="486">
        <v>0.54166666666666663</v>
      </c>
    </row>
    <row r="4490" spans="1:14" ht="19.5" hidden="1" thickBot="1" x14ac:dyDescent="0.3">
      <c r="A4490" s="713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0"/>
        <v>08,25</v>
      </c>
      <c r="L4490" s="527" t="s">
        <v>266</v>
      </c>
      <c r="M4490" s="527">
        <v>2516.54</v>
      </c>
      <c r="N4490" s="530">
        <v>0.54166666666666663</v>
      </c>
    </row>
    <row r="4491" spans="1:14" ht="19.5" hidden="1" thickBot="1" x14ac:dyDescent="0.3">
      <c r="A4491" s="713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0"/>
        <v>08,25</v>
      </c>
      <c r="L4491" s="527" t="s">
        <v>266</v>
      </c>
      <c r="M4491" s="527">
        <v>6270.02</v>
      </c>
      <c r="N4491" s="530">
        <v>0.54166666666666663</v>
      </c>
    </row>
    <row r="4492" spans="1:14" ht="19.5" hidden="1" thickBot="1" x14ac:dyDescent="0.3">
      <c r="A4492" s="712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0"/>
        <v>08,25</v>
      </c>
      <c r="L4492" s="649" t="s">
        <v>266</v>
      </c>
      <c r="M4492" s="649">
        <v>4374.0700000000006</v>
      </c>
      <c r="N4492" s="653">
        <v>0.54166666666666663</v>
      </c>
    </row>
    <row r="4493" spans="1:14" ht="19.5" hidden="1" thickBot="1" x14ac:dyDescent="0.3">
      <c r="A4493" s="714">
        <f t="shared" si="128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717" t="s">
        <v>467</v>
      </c>
      <c r="H4493" s="535" t="s">
        <v>992</v>
      </c>
      <c r="I4493" s="537" t="s">
        <v>992</v>
      </c>
      <c r="J4493" s="538"/>
      <c r="K4493" s="535" t="str">
        <f t="shared" si="130"/>
        <v>07,25</v>
      </c>
      <c r="L4493" s="535" t="s">
        <v>266</v>
      </c>
      <c r="M4493" s="535">
        <v>6263.0199999999995</v>
      </c>
      <c r="N4493" s="539">
        <v>0.58333333333333337</v>
      </c>
    </row>
    <row r="4494" spans="1:14" ht="19.5" hidden="1" thickBot="1" x14ac:dyDescent="0.3">
      <c r="A4494" s="716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719"/>
      <c r="H4494" s="594" t="s">
        <v>992</v>
      </c>
      <c r="I4494" s="596" t="s">
        <v>992</v>
      </c>
      <c r="J4494" s="597"/>
      <c r="K4494" s="594" t="str">
        <f t="shared" si="130"/>
        <v>07,25</v>
      </c>
      <c r="L4494" s="594" t="s">
        <v>266</v>
      </c>
      <c r="M4494" s="594">
        <v>2087.2200000000003</v>
      </c>
      <c r="N4494" s="598">
        <v>0.58333333333333337</v>
      </c>
    </row>
    <row r="4495" spans="1:14" ht="19.5" hidden="1" thickBot="1" x14ac:dyDescent="0.3">
      <c r="A4495" s="513">
        <f t="shared" si="128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0"/>
        <v>08,25</v>
      </c>
      <c r="L4495" s="518" t="s">
        <v>265</v>
      </c>
      <c r="M4495" s="518">
        <v>16110.3</v>
      </c>
      <c r="N4495" s="522">
        <v>0.375</v>
      </c>
    </row>
    <row r="4496" spans="1:14" ht="19.5" hidden="1" thickBot="1" x14ac:dyDescent="0.3">
      <c r="A4496" s="503">
        <f t="shared" si="128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0"/>
        <v>08,25</v>
      </c>
      <c r="L4496" s="508" t="s">
        <v>265</v>
      </c>
      <c r="M4496" s="508">
        <v>17740.019999999997</v>
      </c>
      <c r="N4496" s="512">
        <v>0.41666666666666669</v>
      </c>
    </row>
    <row r="4497" spans="1:14" ht="19.5" hidden="1" thickBot="1" x14ac:dyDescent="0.3">
      <c r="A4497" s="513">
        <f t="shared" ref="A4497:A4560" si="131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0"/>
        <v>08,25</v>
      </c>
      <c r="L4497" s="518" t="s">
        <v>265</v>
      </c>
      <c r="M4497" s="518">
        <v>17861.37</v>
      </c>
      <c r="N4497" s="522">
        <v>0.375</v>
      </c>
    </row>
    <row r="4498" spans="1:14" ht="19.5" hidden="1" thickBot="1" x14ac:dyDescent="0.3">
      <c r="A4498" s="551">
        <f t="shared" si="131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0"/>
        <v>08,25</v>
      </c>
      <c r="L4498" s="556" t="s">
        <v>265</v>
      </c>
      <c r="M4498" s="556">
        <v>11009.200000000003</v>
      </c>
      <c r="N4498" s="560">
        <v>0.375</v>
      </c>
    </row>
    <row r="4499" spans="1:14" ht="19.5" hidden="1" thickBot="1" x14ac:dyDescent="0.3">
      <c r="A4499" s="711">
        <f t="shared" si="131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0"/>
        <v>08,25</v>
      </c>
      <c r="L4499" s="483" t="s">
        <v>265</v>
      </c>
      <c r="M4499" s="483">
        <v>16197.73</v>
      </c>
      <c r="N4499" s="486">
        <v>0.375</v>
      </c>
    </row>
    <row r="4500" spans="1:14" ht="19.5" hidden="1" thickBot="1" x14ac:dyDescent="0.3">
      <c r="A4500" s="712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0"/>
        <v>08,25</v>
      </c>
      <c r="L4500" s="649" t="s">
        <v>266</v>
      </c>
      <c r="M4500" s="649">
        <v>1477.9199999999998</v>
      </c>
      <c r="N4500" s="653">
        <v>0.375</v>
      </c>
    </row>
    <row r="4501" spans="1:14" ht="19.5" hidden="1" thickBot="1" x14ac:dyDescent="0.3">
      <c r="A4501" s="714">
        <f t="shared" si="131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0"/>
        <v>08,25</v>
      </c>
      <c r="L4501" s="535" t="s">
        <v>28</v>
      </c>
      <c r="M4501" s="535">
        <v>16282.599999999999</v>
      </c>
      <c r="N4501" s="539">
        <v>0.41666666666666669</v>
      </c>
    </row>
    <row r="4502" spans="1:14" ht="57" hidden="1" thickBot="1" x14ac:dyDescent="0.3">
      <c r="A4502" s="715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0"/>
        <v>08,25</v>
      </c>
      <c r="L4502" s="640" t="s">
        <v>28</v>
      </c>
      <c r="M4502" s="640">
        <v>1298.8800000000001</v>
      </c>
      <c r="N4502" s="644">
        <v>0.41666666666666669</v>
      </c>
    </row>
    <row r="4503" spans="1:14" ht="19.5" hidden="1" thickBot="1" x14ac:dyDescent="0.3">
      <c r="A4503" s="711">
        <f t="shared" si="131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0"/>
        <v>08,25</v>
      </c>
      <c r="L4503" s="483" t="s">
        <v>28</v>
      </c>
      <c r="M4503" s="483">
        <v>4055.1800000000012</v>
      </c>
      <c r="N4503" s="486">
        <v>0.45833333333333331</v>
      </c>
    </row>
    <row r="4504" spans="1:14" ht="19.5" hidden="1" thickBot="1" x14ac:dyDescent="0.3">
      <c r="A4504" s="712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0"/>
        <v>08,25</v>
      </c>
      <c r="L4504" s="649" t="s">
        <v>28</v>
      </c>
      <c r="M4504" s="649">
        <v>13075.799999999997</v>
      </c>
      <c r="N4504" s="653">
        <v>0.45833333333333331</v>
      </c>
    </row>
    <row r="4505" spans="1:14" ht="19.5" hidden="1" thickBot="1" x14ac:dyDescent="0.3">
      <c r="A4505" s="714">
        <f t="shared" si="131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0"/>
        <v>08,25</v>
      </c>
      <c r="L4505" s="535" t="s">
        <v>28</v>
      </c>
      <c r="M4505" s="535">
        <v>2949.84</v>
      </c>
      <c r="N4505" s="539">
        <v>0.5</v>
      </c>
    </row>
    <row r="4506" spans="1:14" ht="19.5" hidden="1" thickBot="1" x14ac:dyDescent="0.3">
      <c r="A4506" s="715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0"/>
        <v>08,25</v>
      </c>
      <c r="L4506" s="640" t="s">
        <v>28</v>
      </c>
      <c r="M4506" s="640">
        <v>14341.95</v>
      </c>
      <c r="N4506" s="644">
        <v>0.5</v>
      </c>
    </row>
    <row r="4507" spans="1:14" ht="19.5" hidden="1" thickBot="1" x14ac:dyDescent="0.3">
      <c r="A4507" s="711">
        <f t="shared" si="131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0"/>
        <v>08,25</v>
      </c>
      <c r="L4507" s="483" t="s">
        <v>28</v>
      </c>
      <c r="M4507" s="483">
        <v>6370.76</v>
      </c>
      <c r="N4507" s="486">
        <v>0.54166666666666663</v>
      </c>
    </row>
    <row r="4508" spans="1:14" ht="19.5" hidden="1" thickBot="1" x14ac:dyDescent="0.3">
      <c r="A4508" s="712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0"/>
        <v>08,25</v>
      </c>
      <c r="L4508" s="649" t="s">
        <v>28</v>
      </c>
      <c r="M4508" s="649">
        <v>10974.86</v>
      </c>
      <c r="N4508" s="653">
        <v>0.54166666666666663</v>
      </c>
    </row>
    <row r="4509" spans="1:14" ht="19.5" hidden="1" thickBot="1" x14ac:dyDescent="0.3">
      <c r="A4509" s="551">
        <f t="shared" si="131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0"/>
        <v>08,25</v>
      </c>
      <c r="L4509" s="556" t="s">
        <v>265</v>
      </c>
      <c r="M4509" s="556">
        <v>10719.84</v>
      </c>
      <c r="N4509" s="560">
        <v>0.375</v>
      </c>
    </row>
    <row r="4510" spans="1:14" ht="19.5" hidden="1" thickBot="1" x14ac:dyDescent="0.3">
      <c r="A4510" s="513">
        <f t="shared" si="131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0"/>
        <v>08,25</v>
      </c>
      <c r="L4510" s="518" t="s">
        <v>28</v>
      </c>
      <c r="M4510" s="518">
        <v>9505.6799999999985</v>
      </c>
      <c r="N4510" s="522">
        <v>0.41666666666666669</v>
      </c>
    </row>
    <row r="4511" spans="1:14" ht="19.5" hidden="1" thickBot="1" x14ac:dyDescent="0.3">
      <c r="A4511" s="503">
        <f t="shared" si="131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0"/>
        <v>08,25</v>
      </c>
      <c r="L4511" s="508" t="s">
        <v>265</v>
      </c>
      <c r="M4511" s="508">
        <v>17724.82</v>
      </c>
      <c r="N4511" s="512">
        <v>0.375</v>
      </c>
    </row>
    <row r="4512" spans="1:14" ht="19.5" hidden="1" thickBot="1" x14ac:dyDescent="0.3">
      <c r="A4512" s="711">
        <f t="shared" si="131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0"/>
        <v>08,25</v>
      </c>
      <c r="L4512" s="483" t="s">
        <v>28</v>
      </c>
      <c r="M4512" s="483">
        <v>3358.1999999999994</v>
      </c>
      <c r="N4512" s="486">
        <v>0.41666666666666669</v>
      </c>
    </row>
    <row r="4513" spans="1:14" ht="19.5" hidden="1" thickBot="1" x14ac:dyDescent="0.3">
      <c r="A4513" s="713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0"/>
        <v>08,25</v>
      </c>
      <c r="L4513" s="527" t="s">
        <v>28</v>
      </c>
      <c r="M4513" s="527">
        <v>3776.1199999999994</v>
      </c>
      <c r="N4513" s="530">
        <v>0.41666666666666669</v>
      </c>
    </row>
    <row r="4514" spans="1:14" ht="19.5" hidden="1" thickBot="1" x14ac:dyDescent="0.3">
      <c r="A4514" s="712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0"/>
        <v>08,25</v>
      </c>
      <c r="L4514" s="649" t="s">
        <v>28</v>
      </c>
      <c r="M4514" s="649">
        <v>10900.14</v>
      </c>
      <c r="N4514" s="653">
        <v>0.41666666666666669</v>
      </c>
    </row>
    <row r="4515" spans="1:14" ht="19.5" hidden="1" thickBot="1" x14ac:dyDescent="0.3">
      <c r="A4515" s="714">
        <f t="shared" si="131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0"/>
        <v>08,25</v>
      </c>
      <c r="L4515" s="535" t="s">
        <v>28</v>
      </c>
      <c r="M4515" s="535">
        <v>6692.04</v>
      </c>
      <c r="N4515" s="539">
        <v>0.45833333333333331</v>
      </c>
    </row>
    <row r="4516" spans="1:14" ht="19.5" hidden="1" thickBot="1" x14ac:dyDescent="0.3">
      <c r="A4516" s="715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0"/>
        <v>08,25</v>
      </c>
      <c r="L4516" s="640" t="s">
        <v>28</v>
      </c>
      <c r="M4516" s="640">
        <v>10690.230000000001</v>
      </c>
      <c r="N4516" s="644">
        <v>0.45833333333333331</v>
      </c>
    </row>
    <row r="4517" spans="1:14" ht="19.5" hidden="1" thickBot="1" x14ac:dyDescent="0.3">
      <c r="A4517" s="711">
        <f t="shared" si="131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0"/>
        <v>08,25</v>
      </c>
      <c r="L4517" s="483" t="s">
        <v>266</v>
      </c>
      <c r="M4517" s="483">
        <v>4584.82</v>
      </c>
      <c r="N4517" s="486">
        <v>0.5</v>
      </c>
    </row>
    <row r="4518" spans="1:14" ht="19.5" hidden="1" thickBot="1" x14ac:dyDescent="0.3">
      <c r="A4518" s="712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0"/>
        <v>08,25</v>
      </c>
      <c r="L4518" s="649" t="s">
        <v>28</v>
      </c>
      <c r="M4518" s="649">
        <v>12684.789999999999</v>
      </c>
      <c r="N4518" s="653">
        <v>0.5</v>
      </c>
    </row>
    <row r="4519" spans="1:14" ht="19.5" hidden="1" thickBot="1" x14ac:dyDescent="0.3">
      <c r="A4519" s="503">
        <f t="shared" si="131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0"/>
        <v>08,25</v>
      </c>
      <c r="L4519" s="508" t="s">
        <v>265</v>
      </c>
      <c r="M4519" s="508">
        <v>17795.25</v>
      </c>
      <c r="N4519" s="512">
        <v>0.375</v>
      </c>
    </row>
    <row r="4520" spans="1:14" ht="19.5" hidden="1" thickBot="1" x14ac:dyDescent="0.3">
      <c r="A4520" s="513">
        <f t="shared" si="131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0"/>
        <v>08,25</v>
      </c>
      <c r="L4520" s="518" t="s">
        <v>265</v>
      </c>
      <c r="M4520" s="518">
        <v>10971.52</v>
      </c>
      <c r="N4520" s="522">
        <v>0.375</v>
      </c>
    </row>
    <row r="4521" spans="1:14" ht="19.5" hidden="1" thickBot="1" x14ac:dyDescent="0.3">
      <c r="A4521" s="714">
        <f t="shared" si="131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0"/>
        <v>08,25</v>
      </c>
      <c r="L4521" s="535" t="s">
        <v>28</v>
      </c>
      <c r="M4521" s="535">
        <v>4856</v>
      </c>
      <c r="N4521" s="539">
        <v>0.41666666666666669</v>
      </c>
    </row>
    <row r="4522" spans="1:14" ht="19.5" hidden="1" thickBot="1" x14ac:dyDescent="0.3">
      <c r="A4522" s="716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0"/>
        <v>08,25</v>
      </c>
      <c r="L4522" s="567" t="s">
        <v>28</v>
      </c>
      <c r="M4522" s="567">
        <v>3738.3599999999997</v>
      </c>
      <c r="N4522" s="571">
        <v>0.41666666666666669</v>
      </c>
    </row>
    <row r="4523" spans="1:14" ht="19.5" hidden="1" thickBot="1" x14ac:dyDescent="0.3">
      <c r="A4523" s="715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0"/>
        <v>08,25</v>
      </c>
      <c r="L4523" s="640" t="s">
        <v>28</v>
      </c>
      <c r="M4523" s="640">
        <v>3060.72</v>
      </c>
      <c r="N4523" s="644">
        <v>0.41666666666666669</v>
      </c>
    </row>
    <row r="4524" spans="1:14" ht="19.5" hidden="1" thickBot="1" x14ac:dyDescent="0.3">
      <c r="A4524" s="711">
        <f t="shared" si="131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0"/>
        <v>08,25</v>
      </c>
      <c r="L4524" s="483" t="s">
        <v>28</v>
      </c>
      <c r="M4524" s="483">
        <v>4230.4799999999996</v>
      </c>
      <c r="N4524" s="486">
        <v>0.45833333333333331</v>
      </c>
    </row>
    <row r="4525" spans="1:14" ht="19.5" hidden="1" thickBot="1" x14ac:dyDescent="0.3">
      <c r="A4525" s="713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0"/>
        <v>08,25</v>
      </c>
      <c r="L4525" s="527" t="s">
        <v>28</v>
      </c>
      <c r="M4525" s="527">
        <v>1430.4</v>
      </c>
      <c r="N4525" s="530">
        <v>0.45833333333333331</v>
      </c>
    </row>
    <row r="4526" spans="1:14" ht="19.5" hidden="1" thickBot="1" x14ac:dyDescent="0.3">
      <c r="A4526" s="712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0"/>
        <v>08,25</v>
      </c>
      <c r="L4526" s="649" t="s">
        <v>28</v>
      </c>
      <c r="M4526" s="649">
        <v>4640.2</v>
      </c>
      <c r="N4526" s="653">
        <v>0.45833333333333331</v>
      </c>
    </row>
    <row r="4527" spans="1:14" ht="19.5" hidden="1" thickBot="1" x14ac:dyDescent="0.3">
      <c r="A4527" s="714">
        <f t="shared" si="131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0"/>
        <v>08,25</v>
      </c>
      <c r="L4527" s="535" t="s">
        <v>28</v>
      </c>
      <c r="M4527" s="535">
        <v>1040.96</v>
      </c>
      <c r="N4527" s="539">
        <v>0.5</v>
      </c>
    </row>
    <row r="4528" spans="1:14" ht="19.5" hidden="1" thickBot="1" x14ac:dyDescent="0.3">
      <c r="A4528" s="715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0"/>
        <v>08,25</v>
      </c>
      <c r="L4528" s="640" t="s">
        <v>28</v>
      </c>
      <c r="M4528" s="640">
        <v>10356.879999999999</v>
      </c>
      <c r="N4528" s="644">
        <v>0.5</v>
      </c>
    </row>
    <row r="4529" spans="1:14" ht="19.5" hidden="1" thickBot="1" x14ac:dyDescent="0.3">
      <c r="A4529" s="711">
        <f t="shared" si="131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0"/>
        <v>08,25</v>
      </c>
      <c r="L4529" s="483" t="s">
        <v>266</v>
      </c>
      <c r="M4529" s="483">
        <v>15082.98</v>
      </c>
      <c r="N4529" s="486">
        <v>0.54166666666666663</v>
      </c>
    </row>
    <row r="4530" spans="1:14" ht="19.5" hidden="1" thickBot="1" x14ac:dyDescent="0.3">
      <c r="A4530" s="712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0"/>
        <v>08,25</v>
      </c>
      <c r="L4530" s="649" t="s">
        <v>266</v>
      </c>
      <c r="M4530" s="649">
        <v>252</v>
      </c>
      <c r="N4530" s="653">
        <v>0.54166666666666663</v>
      </c>
    </row>
    <row r="4531" spans="1:14" ht="38.25" hidden="1" thickBot="1" x14ac:dyDescent="0.3">
      <c r="A4531" s="503">
        <f t="shared" si="131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0"/>
        <v>08,25</v>
      </c>
      <c r="L4531" s="508" t="s">
        <v>28</v>
      </c>
      <c r="M4531" s="508">
        <v>16891.62</v>
      </c>
      <c r="N4531" s="512">
        <v>0.41666666666666669</v>
      </c>
    </row>
    <row r="4532" spans="1:14" ht="19.5" hidden="1" thickBot="1" x14ac:dyDescent="0.3">
      <c r="A4532" s="711">
        <f t="shared" si="131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0"/>
        <v>08,25</v>
      </c>
      <c r="L4532" s="483" t="s">
        <v>266</v>
      </c>
      <c r="M4532" s="483">
        <v>2975.0300000000007</v>
      </c>
      <c r="N4532" s="486">
        <v>0.5</v>
      </c>
    </row>
    <row r="4533" spans="1:14" ht="19.5" hidden="1" thickBot="1" x14ac:dyDescent="0.3">
      <c r="A4533" s="713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0"/>
        <v>08,25</v>
      </c>
      <c r="L4533" s="499" t="s">
        <v>266</v>
      </c>
      <c r="M4533" s="499">
        <v>10763.779999999999</v>
      </c>
      <c r="N4533" s="502">
        <v>0.5</v>
      </c>
    </row>
    <row r="4534" spans="1:14" ht="19.5" hidden="1" thickBot="1" x14ac:dyDescent="0.3">
      <c r="A4534" s="503">
        <f t="shared" si="131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0"/>
        <v>08,25</v>
      </c>
      <c r="L4534" s="508" t="s">
        <v>266</v>
      </c>
      <c r="M4534" s="508">
        <v>18171.059999999998</v>
      </c>
      <c r="N4534" s="512">
        <v>0.41666666666666669</v>
      </c>
    </row>
    <row r="4535" spans="1:14" ht="19.5" hidden="1" thickBot="1" x14ac:dyDescent="0.3">
      <c r="A4535" s="513">
        <f t="shared" si="131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0"/>
        <v>08,25</v>
      </c>
      <c r="L4535" s="518" t="s">
        <v>266</v>
      </c>
      <c r="M4535" s="518">
        <v>18058.72</v>
      </c>
      <c r="N4535" s="522">
        <v>0.45833333333333331</v>
      </c>
    </row>
    <row r="4536" spans="1:14" ht="19.5" hidden="1" thickBot="1" x14ac:dyDescent="0.3">
      <c r="A4536" s="714">
        <f t="shared" si="131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0"/>
        <v>08,25</v>
      </c>
      <c r="L4536" s="535" t="s">
        <v>266</v>
      </c>
      <c r="M4536" s="535">
        <v>1468.6</v>
      </c>
      <c r="N4536" s="539">
        <v>0.5</v>
      </c>
    </row>
    <row r="4537" spans="1:14" ht="19.5" hidden="1" thickBot="1" x14ac:dyDescent="0.3">
      <c r="A4537" s="716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0"/>
        <v>08,25</v>
      </c>
      <c r="L4537" s="567" t="s">
        <v>266</v>
      </c>
      <c r="M4537" s="567">
        <v>10437.020000000002</v>
      </c>
      <c r="N4537" s="571">
        <v>0.5</v>
      </c>
    </row>
    <row r="4538" spans="1:14" ht="19.5" hidden="1" thickBot="1" x14ac:dyDescent="0.3">
      <c r="A4538" s="715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0"/>
        <v>08,25</v>
      </c>
      <c r="L4538" s="640" t="s">
        <v>266</v>
      </c>
      <c r="M4538" s="640">
        <v>5776.56</v>
      </c>
      <c r="N4538" s="644">
        <v>0.5</v>
      </c>
    </row>
    <row r="4539" spans="1:14" ht="19.5" hidden="1" thickBot="1" x14ac:dyDescent="0.3">
      <c r="A4539" s="711">
        <f t="shared" si="131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0"/>
        <v>08,25</v>
      </c>
      <c r="L4539" s="483" t="s">
        <v>266</v>
      </c>
      <c r="M4539" s="483">
        <v>9465.6200000000008</v>
      </c>
      <c r="N4539" s="486">
        <v>0.54166666666666663</v>
      </c>
    </row>
    <row r="4540" spans="1:14" ht="19.5" hidden="1" thickBot="1" x14ac:dyDescent="0.3">
      <c r="A4540" s="713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0"/>
        <v>08,25</v>
      </c>
      <c r="L4540" s="527" t="s">
        <v>266</v>
      </c>
      <c r="M4540" s="527">
        <v>4802.1799999999994</v>
      </c>
      <c r="N4540" s="530">
        <v>0.54166666666666663</v>
      </c>
    </row>
    <row r="4541" spans="1:14" ht="19.5" hidden="1" thickBot="1" x14ac:dyDescent="0.3">
      <c r="A4541" s="712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0"/>
        <v>08,25</v>
      </c>
      <c r="L4541" s="649" t="s">
        <v>266</v>
      </c>
      <c r="M4541" s="649">
        <v>3720.54</v>
      </c>
      <c r="N4541" s="653">
        <v>0.54166666666666663</v>
      </c>
    </row>
    <row r="4542" spans="1:14" ht="19.5" hidden="1" thickBot="1" x14ac:dyDescent="0.3">
      <c r="A4542" s="551">
        <f t="shared" si="131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0"/>
        <v>08,25</v>
      </c>
      <c r="L4542" s="556" t="s">
        <v>266</v>
      </c>
      <c r="M4542" s="556">
        <v>7914.9700000000012</v>
      </c>
      <c r="N4542" s="560">
        <v>0.58333333333333337</v>
      </c>
    </row>
    <row r="4543" spans="1:14" ht="19.5" hidden="1" thickBot="1" x14ac:dyDescent="0.3">
      <c r="A4543" s="711">
        <f t="shared" si="131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0"/>
        <v>08,25</v>
      </c>
      <c r="L4543" s="483" t="s">
        <v>265</v>
      </c>
      <c r="M4543" s="483">
        <v>8602.0299999999988</v>
      </c>
      <c r="N4543" s="486">
        <v>0.375</v>
      </c>
    </row>
    <row r="4544" spans="1:14" ht="19.5" hidden="1" thickBot="1" x14ac:dyDescent="0.3">
      <c r="A4544" s="712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0"/>
        <v>08,25</v>
      </c>
      <c r="L4544" s="649" t="s">
        <v>265</v>
      </c>
      <c r="M4544" s="649">
        <v>8468.6</v>
      </c>
      <c r="N4544" s="653">
        <v>0.375</v>
      </c>
    </row>
    <row r="4545" spans="1:14" ht="19.5" hidden="1" thickBot="1" x14ac:dyDescent="0.3">
      <c r="A4545" s="503">
        <f t="shared" si="131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0"/>
        <v>08,25</v>
      </c>
      <c r="L4545" s="508" t="s">
        <v>265</v>
      </c>
      <c r="M4545" s="508">
        <v>17689.82</v>
      </c>
      <c r="N4545" s="512">
        <v>0.41666666666666669</v>
      </c>
    </row>
    <row r="4546" spans="1:14" ht="19.5" hidden="1" thickBot="1" x14ac:dyDescent="0.3">
      <c r="A4546" s="513">
        <f t="shared" si="131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0"/>
        <v>08,25</v>
      </c>
      <c r="L4546" s="518" t="s">
        <v>265</v>
      </c>
      <c r="M4546" s="518">
        <v>17772.489999999998</v>
      </c>
      <c r="N4546" s="522">
        <v>0.375</v>
      </c>
    </row>
    <row r="4547" spans="1:14" ht="19.5" hidden="1" thickBot="1" x14ac:dyDescent="0.3">
      <c r="A4547" s="551">
        <f t="shared" si="131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0"/>
        <v>08,25</v>
      </c>
      <c r="L4547" s="556" t="s">
        <v>265</v>
      </c>
      <c r="M4547" s="556">
        <v>12900.679999999998</v>
      </c>
      <c r="N4547" s="560">
        <v>0.41666666666666669</v>
      </c>
    </row>
    <row r="4548" spans="1:14" ht="19.5" hidden="1" thickBot="1" x14ac:dyDescent="0.3">
      <c r="A4548" s="711">
        <f t="shared" si="131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0"/>
        <v>08,25</v>
      </c>
      <c r="L4548" s="483" t="s">
        <v>265</v>
      </c>
      <c r="M4548" s="483">
        <v>16144.87</v>
      </c>
      <c r="N4548" s="486">
        <v>0.375</v>
      </c>
    </row>
    <row r="4549" spans="1:14" ht="19.5" hidden="1" thickBot="1" x14ac:dyDescent="0.3">
      <c r="A4549" s="712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0"/>
        <v>08,25</v>
      </c>
      <c r="L4549" s="649" t="s">
        <v>266</v>
      </c>
      <c r="M4549" s="649">
        <v>1616.1000000000001</v>
      </c>
      <c r="N4549" s="653">
        <v>0.375</v>
      </c>
    </row>
    <row r="4550" spans="1:14" ht="19.5" hidden="1" thickBot="1" x14ac:dyDescent="0.3">
      <c r="A4550" s="714">
        <f t="shared" si="131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0"/>
        <v>08,25</v>
      </c>
      <c r="L4550" s="535" t="s">
        <v>28</v>
      </c>
      <c r="M4550" s="535">
        <v>1722.48</v>
      </c>
      <c r="N4550" s="539">
        <v>0.41666666666666669</v>
      </c>
    </row>
    <row r="4551" spans="1:14" ht="19.5" hidden="1" thickBot="1" x14ac:dyDescent="0.3">
      <c r="A4551" s="715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0"/>
        <v>08,25</v>
      </c>
      <c r="L4551" s="640" t="s">
        <v>28</v>
      </c>
      <c r="M4551" s="640">
        <v>15446.43</v>
      </c>
      <c r="N4551" s="644">
        <v>0.41666666666666669</v>
      </c>
    </row>
    <row r="4552" spans="1:14" ht="19.5" hidden="1" thickBot="1" x14ac:dyDescent="0.3">
      <c r="A4552" s="711">
        <f t="shared" si="131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0"/>
        <v>08,25</v>
      </c>
      <c r="L4552" s="483" t="s">
        <v>28</v>
      </c>
      <c r="M4552" s="483">
        <v>10864.54</v>
      </c>
      <c r="N4552" s="486">
        <v>0.45833333333333331</v>
      </c>
    </row>
    <row r="4553" spans="1:14" ht="19.5" hidden="1" thickBot="1" x14ac:dyDescent="0.3">
      <c r="A4553" s="712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0"/>
        <v>08,25</v>
      </c>
      <c r="L4553" s="649" t="s">
        <v>28</v>
      </c>
      <c r="M4553" s="649">
        <v>6358.62</v>
      </c>
      <c r="N4553" s="653">
        <v>0.45833333333333331</v>
      </c>
    </row>
    <row r="4554" spans="1:14" ht="19.5" hidden="1" thickBot="1" x14ac:dyDescent="0.3">
      <c r="A4554" s="714">
        <f t="shared" si="131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0"/>
        <v>08,25</v>
      </c>
      <c r="L4554" s="535" t="s">
        <v>28</v>
      </c>
      <c r="M4554" s="535">
        <v>3614.42</v>
      </c>
      <c r="N4554" s="539">
        <v>0.5</v>
      </c>
    </row>
    <row r="4555" spans="1:14" ht="19.5" hidden="1" thickBot="1" x14ac:dyDescent="0.3">
      <c r="A4555" s="715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0"/>
        <v>08,25</v>
      </c>
      <c r="L4555" s="640" t="s">
        <v>28</v>
      </c>
      <c r="M4555" s="640">
        <v>13592.220000000001</v>
      </c>
      <c r="N4555" s="644">
        <v>0.5</v>
      </c>
    </row>
    <row r="4556" spans="1:14" ht="38.25" hidden="1" thickBot="1" x14ac:dyDescent="0.3">
      <c r="A4556" s="513">
        <f t="shared" si="131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0"/>
        <v>08,25</v>
      </c>
      <c r="L4556" s="518" t="s">
        <v>266</v>
      </c>
      <c r="M4556" s="518">
        <v>15978.419999999998</v>
      </c>
      <c r="N4556" s="522">
        <v>0.54166666666666663</v>
      </c>
    </row>
    <row r="4557" spans="1:14" ht="19.5" hidden="1" thickBot="1" x14ac:dyDescent="0.3">
      <c r="A4557" s="551">
        <f t="shared" si="131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0"/>
        <v>08,25</v>
      </c>
      <c r="L4557" s="556" t="s">
        <v>265</v>
      </c>
      <c r="M4557" s="556">
        <v>13310.08</v>
      </c>
      <c r="N4557" s="560">
        <v>0.375</v>
      </c>
    </row>
    <row r="4558" spans="1:14" ht="19.5" hidden="1" thickBot="1" x14ac:dyDescent="0.3">
      <c r="A4558" s="513">
        <f t="shared" si="131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0"/>
        <v>08,25</v>
      </c>
      <c r="L4558" s="518" t="s">
        <v>28</v>
      </c>
      <c r="M4558" s="518">
        <v>10089.120000000001</v>
      </c>
      <c r="N4558" s="522">
        <v>0.41666666666666669</v>
      </c>
    </row>
    <row r="4559" spans="1:14" ht="19.5" hidden="1" thickBot="1" x14ac:dyDescent="0.3">
      <c r="A4559" s="503">
        <f t="shared" si="131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0"/>
        <v>08,25</v>
      </c>
      <c r="L4559" s="508" t="s">
        <v>265</v>
      </c>
      <c r="M4559" s="508">
        <v>17664.53</v>
      </c>
      <c r="N4559" s="512">
        <v>0.375</v>
      </c>
    </row>
    <row r="4560" spans="1:14" ht="19.5" hidden="1" thickBot="1" x14ac:dyDescent="0.3">
      <c r="A4560" s="711">
        <f t="shared" si="131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0"/>
        <v>08,25</v>
      </c>
      <c r="L4560" s="483" t="s">
        <v>28</v>
      </c>
      <c r="M4560" s="483">
        <v>8616.1600000000017</v>
      </c>
      <c r="N4560" s="486">
        <v>0.41666666666666669</v>
      </c>
    </row>
    <row r="4561" spans="1:14" ht="19.5" hidden="1" thickBot="1" x14ac:dyDescent="0.3">
      <c r="A4561" s="713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0"/>
        <v>08,25</v>
      </c>
      <c r="L4561" s="527" t="s">
        <v>28</v>
      </c>
      <c r="M4561" s="527">
        <v>1915.2400000000005</v>
      </c>
      <c r="N4561" s="530">
        <v>0.41666666666666669</v>
      </c>
    </row>
    <row r="4562" spans="1:14" ht="19.5" hidden="1" thickBot="1" x14ac:dyDescent="0.3">
      <c r="A4562" s="712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0"/>
        <v>08,25</v>
      </c>
      <c r="L4562" s="649" t="s">
        <v>28</v>
      </c>
      <c r="M4562" s="649">
        <v>7037.5199999999995</v>
      </c>
      <c r="N4562" s="653">
        <v>0.41666666666666669</v>
      </c>
    </row>
    <row r="4563" spans="1:14" ht="19.5" hidden="1" thickBot="1" x14ac:dyDescent="0.3">
      <c r="A4563" s="714">
        <f t="shared" ref="A4563" si="132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0"/>
        <v>08,25</v>
      </c>
      <c r="L4563" s="535" t="s">
        <v>266</v>
      </c>
      <c r="M4563" s="535">
        <v>4049.32</v>
      </c>
      <c r="N4563" s="539">
        <v>0.45833333333333331</v>
      </c>
    </row>
    <row r="4564" spans="1:14" ht="19.5" hidden="1" thickBot="1" x14ac:dyDescent="0.3">
      <c r="A4564" s="716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0"/>
        <v>08,25</v>
      </c>
      <c r="L4564" s="567" t="s">
        <v>28</v>
      </c>
      <c r="M4564" s="567">
        <v>2249.29</v>
      </c>
      <c r="N4564" s="571">
        <v>0.45833333333333331</v>
      </c>
    </row>
    <row r="4565" spans="1:14" ht="19.5" hidden="1" thickBot="1" x14ac:dyDescent="0.3">
      <c r="A4565" s="715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0"/>
        <v>08,25</v>
      </c>
      <c r="L4565" s="640" t="s">
        <v>28</v>
      </c>
      <c r="M4565" s="640">
        <v>11162.250000000002</v>
      </c>
      <c r="N4565" s="644">
        <v>0.45833333333333331</v>
      </c>
    </row>
    <row r="4566" spans="1:14" ht="19.5" hidden="1" thickBot="1" x14ac:dyDescent="0.3">
      <c r="A4566" s="513">
        <f t="shared" ref="A4566:A4629" si="133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0"/>
        <v>08,25</v>
      </c>
      <c r="L4566" s="518" t="s">
        <v>265</v>
      </c>
      <c r="M4566" s="518">
        <v>17702.809999999998</v>
      </c>
      <c r="N4566" s="522">
        <v>0.375</v>
      </c>
    </row>
    <row r="4567" spans="1:14" ht="19.5" hidden="1" thickBot="1" x14ac:dyDescent="0.3">
      <c r="A4567" s="714">
        <f t="shared" si="133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0"/>
        <v>08,25</v>
      </c>
      <c r="L4567" s="535" t="s">
        <v>28</v>
      </c>
      <c r="M4567" s="535">
        <v>4908.1200000000008</v>
      </c>
      <c r="N4567" s="539">
        <v>0.41666666666666669</v>
      </c>
    </row>
    <row r="4568" spans="1:14" ht="19.5" hidden="1" thickBot="1" x14ac:dyDescent="0.3">
      <c r="A4568" s="716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0"/>
        <v>08,25</v>
      </c>
      <c r="L4568" s="567" t="s">
        <v>28</v>
      </c>
      <c r="M4568" s="567">
        <v>3594.56</v>
      </c>
      <c r="N4568" s="571">
        <v>0.41666666666666669</v>
      </c>
    </row>
    <row r="4569" spans="1:14" ht="19.5" hidden="1" thickBot="1" x14ac:dyDescent="0.3">
      <c r="A4569" s="715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0"/>
        <v>08,25</v>
      </c>
      <c r="L4569" s="640" t="s">
        <v>28</v>
      </c>
      <c r="M4569" s="640">
        <v>2892.6400000000003</v>
      </c>
      <c r="N4569" s="644">
        <v>0.41666666666666669</v>
      </c>
    </row>
    <row r="4570" spans="1:14" ht="19.5" hidden="1" thickBot="1" x14ac:dyDescent="0.3">
      <c r="A4570" s="711">
        <f t="shared" si="133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0"/>
        <v>08,25</v>
      </c>
      <c r="L4570" s="483" t="s">
        <v>28</v>
      </c>
      <c r="M4570" s="483">
        <v>6987.3600000000006</v>
      </c>
      <c r="N4570" s="486">
        <v>0.45833333333333331</v>
      </c>
    </row>
    <row r="4571" spans="1:14" ht="19.5" hidden="1" thickBot="1" x14ac:dyDescent="0.3">
      <c r="A4571" s="712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0"/>
        <v>08,25</v>
      </c>
      <c r="L4571" s="649" t="s">
        <v>28</v>
      </c>
      <c r="M4571" s="649">
        <v>3242.4</v>
      </c>
      <c r="N4571" s="653">
        <v>0.45833333333333331</v>
      </c>
    </row>
    <row r="4572" spans="1:14" ht="19.5" hidden="1" thickBot="1" x14ac:dyDescent="0.3">
      <c r="A4572" s="714">
        <f t="shared" si="133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0"/>
        <v>08,25</v>
      </c>
      <c r="L4572" s="535" t="s">
        <v>28</v>
      </c>
      <c r="M4572" s="535">
        <v>6754.4</v>
      </c>
      <c r="N4572" s="539">
        <v>0.5</v>
      </c>
    </row>
    <row r="4573" spans="1:14" ht="19.5" hidden="1" thickBot="1" x14ac:dyDescent="0.3">
      <c r="A4573" s="716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0"/>
        <v>08,25</v>
      </c>
      <c r="L4573" s="567" t="s">
        <v>28</v>
      </c>
      <c r="M4573" s="567">
        <v>3986.4800000000005</v>
      </c>
      <c r="N4573" s="571">
        <v>0.5</v>
      </c>
    </row>
    <row r="4574" spans="1:14" ht="19.5" hidden="1" thickBot="1" x14ac:dyDescent="0.3">
      <c r="A4574" s="715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0"/>
        <v>08,25</v>
      </c>
      <c r="L4574" s="640" t="s">
        <v>28</v>
      </c>
      <c r="M4574" s="640">
        <v>957.6</v>
      </c>
      <c r="N4574" s="644">
        <v>0.5</v>
      </c>
    </row>
    <row r="4575" spans="1:14" ht="19.5" hidden="1" thickBot="1" x14ac:dyDescent="0.3">
      <c r="A4575" s="513">
        <f t="shared" si="133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0"/>
        <v>08,25</v>
      </c>
      <c r="L4575" s="518" t="s">
        <v>266</v>
      </c>
      <c r="M4575" s="518">
        <v>15537.090000000004</v>
      </c>
      <c r="N4575" s="522">
        <v>0.5</v>
      </c>
    </row>
    <row r="4576" spans="1:14" ht="19.5" hidden="1" thickBot="1" x14ac:dyDescent="0.3">
      <c r="A4576" s="503">
        <f t="shared" si="133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0"/>
        <v>08,25</v>
      </c>
      <c r="L4576" s="508" t="s">
        <v>266</v>
      </c>
      <c r="M4576" s="508">
        <v>17847.610000000004</v>
      </c>
      <c r="N4576" s="512">
        <v>0.41666666666666669</v>
      </c>
    </row>
    <row r="4577" spans="1:14" ht="38.25" hidden="1" thickBot="1" x14ac:dyDescent="0.3">
      <c r="A4577" s="572">
        <f t="shared" si="133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0"/>
        <v>08,25</v>
      </c>
      <c r="L4577" s="577" t="s">
        <v>28</v>
      </c>
      <c r="M4577" s="577">
        <v>16435.140000000003</v>
      </c>
      <c r="N4577" s="581">
        <v>0.45833333333333331</v>
      </c>
    </row>
    <row r="4578" spans="1:14" ht="19.5" hidden="1" thickBot="1" x14ac:dyDescent="0.3">
      <c r="A4578" s="503">
        <f t="shared" si="133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0"/>
        <v>08,25</v>
      </c>
      <c r="L4578" s="508" t="s">
        <v>266</v>
      </c>
      <c r="M4578" s="508">
        <v>18344.38</v>
      </c>
      <c r="N4578" s="512">
        <v>0.375</v>
      </c>
    </row>
    <row r="4579" spans="1:14" ht="27.75" hidden="1" customHeight="1" x14ac:dyDescent="0.25">
      <c r="A4579" s="711">
        <f t="shared" si="133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720" t="s">
        <v>1007</v>
      </c>
      <c r="H4579" s="483" t="s">
        <v>1006</v>
      </c>
      <c r="I4579" s="484" t="s">
        <v>1009</v>
      </c>
      <c r="J4579" s="485"/>
      <c r="K4579" s="483" t="str">
        <f t="shared" si="130"/>
        <v>08,25</v>
      </c>
      <c r="L4579" s="483" t="s">
        <v>266</v>
      </c>
      <c r="M4579" s="483">
        <v>2862.1000000000004</v>
      </c>
      <c r="N4579" s="486">
        <v>0.41666666666666669</v>
      </c>
    </row>
    <row r="4580" spans="1:14" ht="27.75" hidden="1" customHeight="1" x14ac:dyDescent="0.25">
      <c r="A4580" s="713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722"/>
      <c r="H4580" s="527" t="s">
        <v>1006</v>
      </c>
      <c r="I4580" s="528" t="s">
        <v>1009</v>
      </c>
      <c r="J4580" s="529"/>
      <c r="K4580" s="527" t="str">
        <f t="shared" si="130"/>
        <v>08,25</v>
      </c>
      <c r="L4580" s="527" t="s">
        <v>266</v>
      </c>
      <c r="M4580" s="527">
        <v>10252.57</v>
      </c>
      <c r="N4580" s="530">
        <v>0.41666666666666669</v>
      </c>
    </row>
    <row r="4581" spans="1:14" ht="27.75" hidden="1" customHeight="1" thickBot="1" x14ac:dyDescent="0.3">
      <c r="A4581" s="712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721"/>
      <c r="H4581" s="649" t="s">
        <v>1006</v>
      </c>
      <c r="I4581" s="651" t="s">
        <v>1009</v>
      </c>
      <c r="J4581" s="652"/>
      <c r="K4581" s="649" t="str">
        <f t="shared" si="130"/>
        <v>08,25</v>
      </c>
      <c r="L4581" s="649" t="s">
        <v>266</v>
      </c>
      <c r="M4581" s="649">
        <v>3830.1500000000005</v>
      </c>
      <c r="N4581" s="653">
        <v>0.41666666666666669</v>
      </c>
    </row>
    <row r="4582" spans="1:14" ht="19.5" hidden="1" thickBot="1" x14ac:dyDescent="0.3">
      <c r="A4582" s="714">
        <f t="shared" si="133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0"/>
        <v>08,25</v>
      </c>
      <c r="L4582" s="535" t="s">
        <v>266</v>
      </c>
      <c r="M4582" s="535">
        <v>6010.84</v>
      </c>
      <c r="N4582" s="539">
        <v>0.45833333333333331</v>
      </c>
    </row>
    <row r="4583" spans="1:14" ht="19.5" hidden="1" thickBot="1" x14ac:dyDescent="0.3">
      <c r="A4583" s="716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0"/>
        <v>08,25</v>
      </c>
      <c r="L4583" s="567" t="s">
        <v>266</v>
      </c>
      <c r="M4583" s="567">
        <v>6081.42</v>
      </c>
      <c r="N4583" s="571">
        <v>0.45833333333333331</v>
      </c>
    </row>
    <row r="4584" spans="1:14" ht="19.5" hidden="1" thickBot="1" x14ac:dyDescent="0.3">
      <c r="A4584" s="715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0"/>
        <v>08,25</v>
      </c>
      <c r="L4584" s="640" t="s">
        <v>266</v>
      </c>
      <c r="M4584" s="640">
        <v>5783.2600000000011</v>
      </c>
      <c r="N4584" s="644">
        <v>0.45833333333333331</v>
      </c>
    </row>
    <row r="4585" spans="1:14" ht="94.5" hidden="1" thickBot="1" x14ac:dyDescent="0.3">
      <c r="A4585" s="572">
        <f t="shared" si="133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0"/>
        <v>08,25</v>
      </c>
      <c r="L4585" s="577" t="s">
        <v>266</v>
      </c>
      <c r="M4585" s="577">
        <v>7059.78</v>
      </c>
      <c r="N4585" s="581">
        <v>0.5</v>
      </c>
    </row>
    <row r="4586" spans="1:14" ht="19.5" hidden="1" thickBot="1" x14ac:dyDescent="0.3">
      <c r="A4586" s="714">
        <f t="shared" si="133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0"/>
        <v>08,25</v>
      </c>
      <c r="L4586" s="535" t="s">
        <v>265</v>
      </c>
      <c r="M4586" s="535">
        <v>14773.32</v>
      </c>
      <c r="N4586" s="539">
        <v>0.375</v>
      </c>
    </row>
    <row r="4587" spans="1:14" ht="19.5" hidden="1" thickBot="1" x14ac:dyDescent="0.3">
      <c r="A4587" s="715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0"/>
        <v>08,25</v>
      </c>
      <c r="L4587" s="640" t="s">
        <v>265</v>
      </c>
      <c r="M4587" s="640">
        <v>2542.4</v>
      </c>
      <c r="N4587" s="644">
        <v>0.375</v>
      </c>
    </row>
    <row r="4588" spans="1:14" ht="19.5" hidden="1" thickBot="1" x14ac:dyDescent="0.3">
      <c r="A4588" s="513">
        <f t="shared" si="133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0"/>
        <v>08,25</v>
      </c>
      <c r="L4588" s="518" t="s">
        <v>265</v>
      </c>
      <c r="M4588" s="518">
        <v>17734.650000000001</v>
      </c>
      <c r="N4588" s="522">
        <v>0.41666666666666669</v>
      </c>
    </row>
    <row r="4589" spans="1:14" ht="19.5" hidden="1" thickBot="1" x14ac:dyDescent="0.3">
      <c r="A4589" s="503">
        <f t="shared" si="133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0"/>
        <v>08,25</v>
      </c>
      <c r="L4589" s="508" t="s">
        <v>265</v>
      </c>
      <c r="M4589" s="508">
        <v>17736.939999999999</v>
      </c>
      <c r="N4589" s="512">
        <v>0.375</v>
      </c>
    </row>
    <row r="4590" spans="1:14" ht="19.5" hidden="1" thickBot="1" x14ac:dyDescent="0.3">
      <c r="A4590" s="572">
        <f t="shared" si="133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0"/>
        <v>08,25</v>
      </c>
      <c r="L4590" s="577" t="s">
        <v>265</v>
      </c>
      <c r="M4590" s="577">
        <v>12531.680000000002</v>
      </c>
      <c r="N4590" s="581">
        <v>0.375</v>
      </c>
    </row>
    <row r="4591" spans="1:14" ht="19.5" hidden="1" thickBot="1" x14ac:dyDescent="0.3">
      <c r="A4591" s="714">
        <f t="shared" si="133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0"/>
        <v>08,25</v>
      </c>
      <c r="L4591" s="535" t="s">
        <v>265</v>
      </c>
      <c r="M4591" s="535">
        <v>16310.27</v>
      </c>
      <c r="N4591" s="539">
        <v>0.375</v>
      </c>
    </row>
    <row r="4592" spans="1:14" ht="19.5" hidden="1" thickBot="1" x14ac:dyDescent="0.3">
      <c r="A4592" s="715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0"/>
        <v>08,25</v>
      </c>
      <c r="L4592" s="640" t="s">
        <v>266</v>
      </c>
      <c r="M4592" s="640">
        <v>1335.78</v>
      </c>
      <c r="N4592" s="644">
        <v>0.375</v>
      </c>
    </row>
    <row r="4593" spans="1:14" ht="19.5" hidden="1" thickBot="1" x14ac:dyDescent="0.3">
      <c r="A4593" s="711">
        <f t="shared" si="133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0"/>
        <v>08,25</v>
      </c>
      <c r="L4593" s="483" t="s">
        <v>28</v>
      </c>
      <c r="M4593" s="483">
        <v>3451.5</v>
      </c>
      <c r="N4593" s="486">
        <v>0.41666666666666669</v>
      </c>
    </row>
    <row r="4594" spans="1:14" ht="19.5" hidden="1" thickBot="1" x14ac:dyDescent="0.3">
      <c r="A4594" s="713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0"/>
        <v>08,25</v>
      </c>
      <c r="L4594" s="527" t="s">
        <v>28</v>
      </c>
      <c r="M4594" s="527">
        <v>3090.22</v>
      </c>
      <c r="N4594" s="530">
        <v>0.41666666666666669</v>
      </c>
    </row>
    <row r="4595" spans="1:14" ht="19.5" hidden="1" thickBot="1" x14ac:dyDescent="0.3">
      <c r="A4595" s="712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0"/>
        <v>08,25</v>
      </c>
      <c r="L4595" s="649" t="s">
        <v>28</v>
      </c>
      <c r="M4595" s="649">
        <v>11342.520000000002</v>
      </c>
      <c r="N4595" s="653">
        <v>0.41666666666666669</v>
      </c>
    </row>
    <row r="4596" spans="1:14" ht="19.5" hidden="1" thickBot="1" x14ac:dyDescent="0.3">
      <c r="A4596" s="503">
        <f t="shared" si="133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0"/>
        <v>08,25</v>
      </c>
      <c r="L4596" s="508" t="s">
        <v>28</v>
      </c>
      <c r="M4596" s="508">
        <v>17786.2</v>
      </c>
      <c r="N4596" s="512">
        <v>0.45833333333333331</v>
      </c>
    </row>
    <row r="4597" spans="1:14" ht="19.5" hidden="1" thickBot="1" x14ac:dyDescent="0.3">
      <c r="A4597" s="711">
        <f t="shared" si="133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0"/>
        <v>08,25</v>
      </c>
      <c r="L4597" s="483" t="s">
        <v>28</v>
      </c>
      <c r="M4597" s="483">
        <v>15583.159999999998</v>
      </c>
      <c r="N4597" s="486">
        <v>0.5</v>
      </c>
    </row>
    <row r="4598" spans="1:14" ht="19.5" hidden="1" thickBot="1" x14ac:dyDescent="0.3">
      <c r="A4598" s="712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0"/>
        <v>08,25</v>
      </c>
      <c r="L4598" s="649" t="s">
        <v>28</v>
      </c>
      <c r="M4598" s="649">
        <v>2152.7400000000002</v>
      </c>
      <c r="N4598" s="653">
        <v>0.5</v>
      </c>
    </row>
    <row r="4599" spans="1:14" ht="19.5" hidden="1" thickBot="1" x14ac:dyDescent="0.3">
      <c r="A4599" s="503">
        <f t="shared" si="133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0"/>
        <v>08,25</v>
      </c>
      <c r="L4599" s="508" t="s">
        <v>266</v>
      </c>
      <c r="M4599" s="508">
        <v>11706</v>
      </c>
      <c r="N4599" s="512">
        <v>0.41666666666666669</v>
      </c>
    </row>
    <row r="4600" spans="1:14" ht="19.5" hidden="1" thickBot="1" x14ac:dyDescent="0.3">
      <c r="A4600" s="513">
        <f t="shared" si="133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0"/>
        <v>08,25</v>
      </c>
      <c r="L4600" s="518" t="s">
        <v>265</v>
      </c>
      <c r="M4600" s="518">
        <v>12553.439999999999</v>
      </c>
      <c r="N4600" s="522">
        <v>0.375</v>
      </c>
    </row>
    <row r="4601" spans="1:14" ht="19.5" hidden="1" thickBot="1" x14ac:dyDescent="0.3">
      <c r="A4601" s="714">
        <f t="shared" si="133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0"/>
        <v>08,25</v>
      </c>
      <c r="L4601" s="535" t="s">
        <v>266</v>
      </c>
      <c r="M4601" s="535">
        <v>5736.88</v>
      </c>
      <c r="N4601" s="539">
        <v>0.45833333333333331</v>
      </c>
    </row>
    <row r="4602" spans="1:14" ht="19.5" hidden="1" thickBot="1" x14ac:dyDescent="0.3">
      <c r="A4602" s="716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0"/>
        <v>08,25</v>
      </c>
      <c r="L4602" s="594" t="s">
        <v>266</v>
      </c>
      <c r="M4602" s="594">
        <v>2663.32</v>
      </c>
      <c r="N4602" s="598">
        <v>0.45833333333333331</v>
      </c>
    </row>
    <row r="4603" spans="1:14" ht="19.5" hidden="1" thickBot="1" x14ac:dyDescent="0.3">
      <c r="A4603" s="513">
        <f t="shared" si="133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0"/>
        <v>08,25</v>
      </c>
      <c r="L4603" s="518" t="s">
        <v>28</v>
      </c>
      <c r="M4603" s="518">
        <v>10725.119999999999</v>
      </c>
      <c r="N4603" s="522">
        <v>0.41666666666666669</v>
      </c>
    </row>
    <row r="4604" spans="1:14" ht="19.5" hidden="1" thickBot="1" x14ac:dyDescent="0.3">
      <c r="A4604" s="503">
        <f t="shared" si="133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0"/>
        <v>08,25</v>
      </c>
      <c r="L4604" s="508" t="s">
        <v>265</v>
      </c>
      <c r="M4604" s="508">
        <v>17638.159999999996</v>
      </c>
      <c r="N4604" s="512">
        <v>0.375</v>
      </c>
    </row>
    <row r="4605" spans="1:14" ht="19.5" hidden="1" thickBot="1" x14ac:dyDescent="0.3">
      <c r="A4605" s="711">
        <f t="shared" si="133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0"/>
        <v>08,25</v>
      </c>
      <c r="L4605" s="483" t="s">
        <v>28</v>
      </c>
      <c r="M4605" s="483">
        <v>1989.4400000000003</v>
      </c>
      <c r="N4605" s="486">
        <v>0.41666666666666669</v>
      </c>
    </row>
    <row r="4606" spans="1:14" ht="19.5" hidden="1" thickBot="1" x14ac:dyDescent="0.3">
      <c r="A4606" s="713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0"/>
        <v>08,25</v>
      </c>
      <c r="L4606" s="527" t="s">
        <v>28</v>
      </c>
      <c r="M4606" s="527">
        <v>6503.7</v>
      </c>
      <c r="N4606" s="530">
        <v>0.41666666666666669</v>
      </c>
    </row>
    <row r="4607" spans="1:14" ht="19.5" hidden="1" thickBot="1" x14ac:dyDescent="0.3">
      <c r="A4607" s="713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0"/>
        <v>08,25</v>
      </c>
      <c r="L4607" s="527" t="s">
        <v>28</v>
      </c>
      <c r="M4607" s="527">
        <v>2560.0399999999995</v>
      </c>
      <c r="N4607" s="530">
        <v>0.41666666666666669</v>
      </c>
    </row>
    <row r="4608" spans="1:14" ht="19.5" hidden="1" thickBot="1" x14ac:dyDescent="0.3">
      <c r="A4608" s="712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0"/>
        <v>08,25</v>
      </c>
      <c r="L4608" s="649" t="s">
        <v>28</v>
      </c>
      <c r="M4608" s="649">
        <v>6647.2199999999993</v>
      </c>
      <c r="N4608" s="653">
        <v>0.41666666666666669</v>
      </c>
    </row>
    <row r="4609" spans="1:14" ht="19.5" hidden="1" thickBot="1" x14ac:dyDescent="0.3">
      <c r="A4609" s="503">
        <f t="shared" si="133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0"/>
        <v>08,25</v>
      </c>
      <c r="L4609" s="508" t="s">
        <v>266</v>
      </c>
      <c r="M4609" s="508">
        <v>15837.120000000003</v>
      </c>
      <c r="N4609" s="512">
        <v>0.45833333333333331</v>
      </c>
    </row>
    <row r="4610" spans="1:14" ht="19.5" hidden="1" thickBot="1" x14ac:dyDescent="0.3">
      <c r="A4610" s="711">
        <f t="shared" si="133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0"/>
        <v>08,25</v>
      </c>
      <c r="L4610" s="483" t="s">
        <v>28</v>
      </c>
      <c r="M4610" s="483">
        <v>14720.079999999998</v>
      </c>
      <c r="N4610" s="486">
        <v>0.5</v>
      </c>
    </row>
    <row r="4611" spans="1:14" ht="19.5" hidden="1" thickBot="1" x14ac:dyDescent="0.3">
      <c r="A4611" s="712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0"/>
        <v>08,25</v>
      </c>
      <c r="L4611" s="649" t="s">
        <v>28</v>
      </c>
      <c r="M4611" s="649">
        <v>2984.46</v>
      </c>
      <c r="N4611" s="653">
        <v>0.5</v>
      </c>
    </row>
    <row r="4612" spans="1:14" ht="19.5" hidden="1" thickBot="1" x14ac:dyDescent="0.3">
      <c r="A4612" s="503">
        <f t="shared" si="133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0"/>
        <v>08,25</v>
      </c>
      <c r="L4612" s="508" t="s">
        <v>28</v>
      </c>
      <c r="M4612" s="508">
        <v>17665.390000000003</v>
      </c>
      <c r="N4612" s="512">
        <v>0.54166666666666663</v>
      </c>
    </row>
    <row r="4613" spans="1:14" ht="19.5" hidden="1" thickBot="1" x14ac:dyDescent="0.3">
      <c r="A4613" s="513">
        <f t="shared" si="133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0"/>
        <v>08,25</v>
      </c>
      <c r="L4613" s="518" t="s">
        <v>265</v>
      </c>
      <c r="M4613" s="518">
        <v>17688.61</v>
      </c>
      <c r="N4613" s="522">
        <v>0.375</v>
      </c>
    </row>
    <row r="4614" spans="1:14" ht="19.5" hidden="1" thickBot="1" x14ac:dyDescent="0.3">
      <c r="A4614" s="503">
        <f t="shared" si="133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0"/>
        <v>08,25</v>
      </c>
      <c r="L4614" s="508" t="s">
        <v>265</v>
      </c>
      <c r="M4614" s="508">
        <v>12772.760000000002</v>
      </c>
      <c r="N4614" s="512">
        <v>0.375</v>
      </c>
    </row>
    <row r="4615" spans="1:14" ht="28.5" hidden="1" customHeight="1" x14ac:dyDescent="0.25">
      <c r="A4615" s="711">
        <f t="shared" si="133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720" t="s">
        <v>1014</v>
      </c>
      <c r="H4615" s="483" t="s">
        <v>1012</v>
      </c>
      <c r="I4615" s="484" t="s">
        <v>1013</v>
      </c>
      <c r="J4615" s="485"/>
      <c r="K4615" s="483" t="str">
        <f t="shared" si="130"/>
        <v>08,25</v>
      </c>
      <c r="L4615" s="483" t="s">
        <v>28</v>
      </c>
      <c r="M4615" s="483">
        <v>8203.2000000000007</v>
      </c>
      <c r="N4615" s="486">
        <v>0.41666666666666669</v>
      </c>
    </row>
    <row r="4616" spans="1:14" ht="28.5" hidden="1" customHeight="1" thickBot="1" x14ac:dyDescent="0.3">
      <c r="A4616" s="712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721"/>
      <c r="H4616" s="649" t="s">
        <v>1012</v>
      </c>
      <c r="I4616" s="651" t="s">
        <v>1013</v>
      </c>
      <c r="J4616" s="652"/>
      <c r="K4616" s="649" t="str">
        <f t="shared" si="130"/>
        <v>08,25</v>
      </c>
      <c r="L4616" s="649" t="s">
        <v>28</v>
      </c>
      <c r="M4616" s="649">
        <v>1625.3999999999999</v>
      </c>
      <c r="N4616" s="653">
        <v>0.41666666666666669</v>
      </c>
    </row>
    <row r="4617" spans="1:14" ht="19.5" hidden="1" thickBot="1" x14ac:dyDescent="0.3">
      <c r="A4617" s="714">
        <f t="shared" si="133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0"/>
        <v>08,25</v>
      </c>
      <c r="L4617" s="535" t="s">
        <v>28</v>
      </c>
      <c r="M4617" s="535">
        <v>9773.2800000000007</v>
      </c>
      <c r="N4617" s="539">
        <v>0.45833333333333331</v>
      </c>
    </row>
    <row r="4618" spans="1:14" ht="19.5" hidden="1" thickBot="1" x14ac:dyDescent="0.3">
      <c r="A4618" s="715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0"/>
        <v>08,25</v>
      </c>
      <c r="L4618" s="640" t="s">
        <v>28</v>
      </c>
      <c r="M4618" s="640">
        <v>2905.3999999999996</v>
      </c>
      <c r="N4618" s="644">
        <v>0.45833333333333331</v>
      </c>
    </row>
    <row r="4619" spans="1:14" ht="19.5" hidden="1" thickBot="1" x14ac:dyDescent="0.3">
      <c r="A4619" s="513">
        <f t="shared" si="133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0"/>
        <v>08,25</v>
      </c>
      <c r="L4619" s="518" t="s">
        <v>28</v>
      </c>
      <c r="M4619" s="518">
        <v>9423.5600000000013</v>
      </c>
      <c r="N4619" s="522">
        <v>0.5</v>
      </c>
    </row>
    <row r="4620" spans="1:14" ht="19.5" hidden="1" thickBot="1" x14ac:dyDescent="0.3">
      <c r="A4620" s="503">
        <f t="shared" si="133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0"/>
        <v>08,25</v>
      </c>
      <c r="L4620" s="508" t="s">
        <v>28</v>
      </c>
      <c r="M4620" s="508">
        <v>11568.28</v>
      </c>
      <c r="N4620" s="512">
        <v>0.54166666666666663</v>
      </c>
    </row>
    <row r="4621" spans="1:14" ht="38.25" hidden="1" thickBot="1" x14ac:dyDescent="0.3">
      <c r="A4621" s="513">
        <f t="shared" si="133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0"/>
        <v>08,25</v>
      </c>
      <c r="L4621" s="518" t="s">
        <v>28</v>
      </c>
      <c r="M4621" s="518">
        <v>17971.62</v>
      </c>
      <c r="N4621" s="522">
        <v>0.41666666666666669</v>
      </c>
    </row>
    <row r="4622" spans="1:14" ht="19.5" hidden="1" thickBot="1" x14ac:dyDescent="0.3">
      <c r="A4622" s="714">
        <f t="shared" si="133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0"/>
        <v>08,25</v>
      </c>
      <c r="L4622" s="535" t="s">
        <v>266</v>
      </c>
      <c r="M4622" s="535">
        <v>10655.03</v>
      </c>
      <c r="N4622" s="539">
        <v>0.5</v>
      </c>
    </row>
    <row r="4623" spans="1:14" ht="19.5" hidden="1" thickBot="1" x14ac:dyDescent="0.3">
      <c r="A4623" s="716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0"/>
        <v>08,25</v>
      </c>
      <c r="L4623" s="594" t="s">
        <v>266</v>
      </c>
      <c r="M4623" s="594">
        <v>3170.78</v>
      </c>
      <c r="N4623" s="598">
        <v>0.5</v>
      </c>
    </row>
    <row r="4624" spans="1:14" ht="19.5" hidden="1" thickBot="1" x14ac:dyDescent="0.3">
      <c r="A4624" s="513">
        <f t="shared" si="133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0"/>
        <v>08,25</v>
      </c>
      <c r="L4624" s="518" t="s">
        <v>266</v>
      </c>
      <c r="M4624" s="518">
        <v>18080.64</v>
      </c>
      <c r="N4624" s="522">
        <v>0.41666666666666669</v>
      </c>
    </row>
    <row r="4625" spans="1:14" ht="19.5" hidden="1" thickBot="1" x14ac:dyDescent="0.3">
      <c r="A4625" s="503">
        <f t="shared" si="133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0"/>
        <v>08,25</v>
      </c>
      <c r="L4625" s="508" t="s">
        <v>266</v>
      </c>
      <c r="M4625" s="508">
        <v>18189.699999999997</v>
      </c>
      <c r="N4625" s="512">
        <v>0.45833333333333331</v>
      </c>
    </row>
    <row r="4626" spans="1:14" ht="19.5" hidden="1" thickBot="1" x14ac:dyDescent="0.3">
      <c r="A4626" s="513">
        <f t="shared" si="133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0"/>
        <v>08,25</v>
      </c>
      <c r="L4626" s="518" t="s">
        <v>266</v>
      </c>
      <c r="M4626" s="518">
        <v>17983.8</v>
      </c>
      <c r="N4626" s="522">
        <v>0.5</v>
      </c>
    </row>
    <row r="4627" spans="1:14" ht="19.5" hidden="1" thickBot="1" x14ac:dyDescent="0.3">
      <c r="A4627" s="714">
        <f t="shared" si="133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0"/>
        <v>08,25</v>
      </c>
      <c r="L4627" s="535" t="s">
        <v>266</v>
      </c>
      <c r="M4627" s="535">
        <v>2995.86</v>
      </c>
      <c r="N4627" s="539">
        <v>0.54166666666666663</v>
      </c>
    </row>
    <row r="4628" spans="1:14" ht="19.5" hidden="1" thickBot="1" x14ac:dyDescent="0.3">
      <c r="A4628" s="715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0"/>
        <v>08,25</v>
      </c>
      <c r="L4628" s="640" t="s">
        <v>266</v>
      </c>
      <c r="M4628" s="640">
        <v>14899.92</v>
      </c>
      <c r="N4628" s="644">
        <v>0.54166666666666663</v>
      </c>
    </row>
    <row r="4629" spans="1:14" ht="19.5" hidden="1" thickBot="1" x14ac:dyDescent="0.3">
      <c r="A4629" s="711">
        <f t="shared" si="133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0"/>
        <v>08,25</v>
      </c>
      <c r="L4629" s="483" t="s">
        <v>266</v>
      </c>
      <c r="M4629" s="483">
        <v>5305.0599999999995</v>
      </c>
      <c r="N4629" s="486">
        <v>0.58333333333333337</v>
      </c>
    </row>
    <row r="4630" spans="1:14" ht="19.5" hidden="1" thickBot="1" x14ac:dyDescent="0.3">
      <c r="A4630" s="713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0"/>
        <v>08,25</v>
      </c>
      <c r="L4630" s="527" t="s">
        <v>266</v>
      </c>
      <c r="M4630" s="527">
        <v>5842.079999999999</v>
      </c>
      <c r="N4630" s="530">
        <v>0.58333333333333337</v>
      </c>
    </row>
    <row r="4631" spans="1:14" ht="19.5" hidden="1" thickBot="1" x14ac:dyDescent="0.3">
      <c r="A4631" s="713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0"/>
        <v>08,25</v>
      </c>
      <c r="L4631" s="527" t="s">
        <v>266</v>
      </c>
      <c r="M4631" s="527">
        <v>4067.54</v>
      </c>
      <c r="N4631" s="530">
        <v>0.58333333333333337</v>
      </c>
    </row>
    <row r="4632" spans="1:14" ht="19.5" hidden="1" thickBot="1" x14ac:dyDescent="0.3">
      <c r="A4632" s="712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0"/>
        <v>08,25</v>
      </c>
      <c r="L4632" s="649" t="s">
        <v>266</v>
      </c>
      <c r="M4632" s="649">
        <v>1993.5</v>
      </c>
      <c r="N4632" s="653">
        <v>0.58333333333333337</v>
      </c>
    </row>
    <row r="4633" spans="1:14" ht="19.5" hidden="1" thickBot="1" x14ac:dyDescent="0.3">
      <c r="A4633" s="714">
        <f t="shared" ref="A4633:A4695" si="134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0"/>
        <v>08,25</v>
      </c>
      <c r="L4633" s="535" t="s">
        <v>266</v>
      </c>
      <c r="M4633" s="535">
        <v>6039.0800000000017</v>
      </c>
      <c r="N4633" s="539">
        <v>0.625</v>
      </c>
    </row>
    <row r="4634" spans="1:14" ht="19.5" hidden="1" thickBot="1" x14ac:dyDescent="0.3">
      <c r="A4634" s="716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0"/>
        <v>08,25</v>
      </c>
      <c r="L4634" s="594" t="s">
        <v>266</v>
      </c>
      <c r="M4634" s="594">
        <v>2004.6</v>
      </c>
      <c r="N4634" s="598">
        <v>0.625</v>
      </c>
    </row>
    <row r="4635" spans="1:14" ht="19.5" hidden="1" thickBot="1" x14ac:dyDescent="0.3">
      <c r="A4635" s="711">
        <f t="shared" si="134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0"/>
        <v>08,25</v>
      </c>
      <c r="L4635" s="483" t="s">
        <v>265</v>
      </c>
      <c r="M4635" s="483">
        <v>11208.08</v>
      </c>
      <c r="N4635" s="486">
        <v>0.375</v>
      </c>
    </row>
    <row r="4636" spans="1:14" ht="19.5" hidden="1" thickBot="1" x14ac:dyDescent="0.3">
      <c r="A4636" s="712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0"/>
        <v>08,25</v>
      </c>
      <c r="L4636" s="649" t="s">
        <v>265</v>
      </c>
      <c r="M4636" s="649">
        <v>6150.5400000000009</v>
      </c>
      <c r="N4636" s="653">
        <v>0.375</v>
      </c>
    </row>
    <row r="4637" spans="1:14" ht="19.5" hidden="1" thickBot="1" x14ac:dyDescent="0.3">
      <c r="A4637" s="503">
        <f t="shared" si="134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0"/>
        <v>08,25</v>
      </c>
      <c r="L4637" s="508" t="s">
        <v>265</v>
      </c>
      <c r="M4637" s="508">
        <v>17663.52</v>
      </c>
      <c r="N4637" s="512">
        <v>0.375</v>
      </c>
    </row>
    <row r="4638" spans="1:14" ht="19.5" hidden="1" thickBot="1" x14ac:dyDescent="0.3">
      <c r="A4638" s="513">
        <f t="shared" si="134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0"/>
        <v>08,25</v>
      </c>
      <c r="L4638" s="518" t="s">
        <v>265</v>
      </c>
      <c r="M4638" s="518">
        <v>17677.82</v>
      </c>
      <c r="N4638" s="522">
        <v>0.39583333333333331</v>
      </c>
    </row>
    <row r="4639" spans="1:14" ht="19.5" hidden="1" thickBot="1" x14ac:dyDescent="0.3">
      <c r="A4639" s="551">
        <f t="shared" si="134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0"/>
        <v>08,25</v>
      </c>
      <c r="L4639" s="556" t="s">
        <v>265</v>
      </c>
      <c r="M4639" s="556">
        <v>11021.679999999998</v>
      </c>
      <c r="N4639" s="560">
        <v>0.375</v>
      </c>
    </row>
    <row r="4640" spans="1:14" ht="57" hidden="1" thickBot="1" x14ac:dyDescent="0.3">
      <c r="A4640" s="711">
        <f t="shared" si="134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0"/>
        <v>08,25</v>
      </c>
      <c r="L4640" s="483" t="s">
        <v>28</v>
      </c>
      <c r="M4640" s="483">
        <v>1392.96</v>
      </c>
      <c r="N4640" s="486">
        <v>0.41666666666666669</v>
      </c>
    </row>
    <row r="4641" spans="1:14" ht="19.5" hidden="1" thickBot="1" x14ac:dyDescent="0.3">
      <c r="A4641" s="712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0"/>
        <v>08,25</v>
      </c>
      <c r="L4641" s="649" t="s">
        <v>28</v>
      </c>
      <c r="M4641" s="649">
        <v>16150.359999999999</v>
      </c>
      <c r="N4641" s="653">
        <v>0.41666666666666669</v>
      </c>
    </row>
    <row r="4642" spans="1:14" ht="19.5" hidden="1" thickBot="1" x14ac:dyDescent="0.3">
      <c r="A4642" s="503">
        <f t="shared" si="134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0"/>
        <v>08,25</v>
      </c>
      <c r="L4642" s="508" t="s">
        <v>28</v>
      </c>
      <c r="M4642" s="508">
        <v>17279.229999999996</v>
      </c>
      <c r="N4642" s="512">
        <v>0.45833333333333331</v>
      </c>
    </row>
    <row r="4643" spans="1:14" ht="19.5" hidden="1" thickBot="1" x14ac:dyDescent="0.3">
      <c r="A4643" s="711">
        <f t="shared" si="134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0"/>
        <v>08,25</v>
      </c>
      <c r="L4643" s="483" t="s">
        <v>28</v>
      </c>
      <c r="M4643" s="483">
        <v>3973.7200000000003</v>
      </c>
      <c r="N4643" s="486">
        <v>0.5</v>
      </c>
    </row>
    <row r="4644" spans="1:14" ht="19.5" hidden="1" thickBot="1" x14ac:dyDescent="0.3">
      <c r="A4644" s="713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0"/>
        <v>08,25</v>
      </c>
      <c r="L4644" s="527" t="s">
        <v>28</v>
      </c>
      <c r="M4644" s="527">
        <v>1830.9</v>
      </c>
      <c r="N4644" s="530">
        <v>0.5</v>
      </c>
    </row>
    <row r="4645" spans="1:14" ht="19.5" hidden="1" thickBot="1" x14ac:dyDescent="0.3">
      <c r="A4645" s="712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0"/>
        <v>08,25</v>
      </c>
      <c r="L4645" s="649" t="s">
        <v>28</v>
      </c>
      <c r="M4645" s="649">
        <v>12125.399999999998</v>
      </c>
      <c r="N4645" s="653">
        <v>0.5</v>
      </c>
    </row>
    <row r="4646" spans="1:14" ht="19.5" hidden="1" thickBot="1" x14ac:dyDescent="0.3">
      <c r="A4646" s="714">
        <f t="shared" si="134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0"/>
        <v>08,25</v>
      </c>
      <c r="L4646" s="535" t="s">
        <v>28</v>
      </c>
      <c r="M4646" s="535">
        <v>1524.3100000000004</v>
      </c>
      <c r="N4646" s="539">
        <v>0.54166666666666663</v>
      </c>
    </row>
    <row r="4647" spans="1:14" ht="19.5" hidden="1" thickBot="1" x14ac:dyDescent="0.3">
      <c r="A4647" s="716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0"/>
        <v>08,25</v>
      </c>
      <c r="L4647" s="567" t="s">
        <v>28</v>
      </c>
      <c r="M4647" s="567">
        <v>3989.7</v>
      </c>
      <c r="N4647" s="571">
        <v>0.54166666666666663</v>
      </c>
    </row>
    <row r="4648" spans="1:14" ht="19.5" hidden="1" thickBot="1" x14ac:dyDescent="0.3">
      <c r="A4648" s="715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0"/>
        <v>08,25</v>
      </c>
      <c r="L4648" s="640" t="s">
        <v>28</v>
      </c>
      <c r="M4648" s="640">
        <v>12405.9</v>
      </c>
      <c r="N4648" s="644">
        <v>0.54166666666666663</v>
      </c>
    </row>
    <row r="4649" spans="1:14" ht="19.5" hidden="1" thickBot="1" x14ac:dyDescent="0.3">
      <c r="A4649" s="711">
        <f t="shared" si="134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0"/>
        <v>08,25</v>
      </c>
      <c r="L4649" s="483" t="s">
        <v>265</v>
      </c>
      <c r="M4649" s="483">
        <v>14803.18</v>
      </c>
      <c r="N4649" s="486">
        <v>0.375</v>
      </c>
    </row>
    <row r="4650" spans="1:14" ht="19.5" hidden="1" thickBot="1" x14ac:dyDescent="0.3">
      <c r="A4650" s="712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0"/>
        <v>08,25</v>
      </c>
      <c r="L4650" s="649" t="s">
        <v>266</v>
      </c>
      <c r="M4650" s="649">
        <v>2607.5400000000004</v>
      </c>
      <c r="N4650" s="653">
        <v>0.375</v>
      </c>
    </row>
    <row r="4651" spans="1:14" ht="19.5" hidden="1" thickBot="1" x14ac:dyDescent="0.3">
      <c r="A4651" s="551">
        <f t="shared" si="134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0"/>
        <v>08,25</v>
      </c>
      <c r="L4651" s="556" t="s">
        <v>265</v>
      </c>
      <c r="M4651" s="556">
        <v>11901.359999999997</v>
      </c>
      <c r="N4651" s="560">
        <v>0.375</v>
      </c>
    </row>
    <row r="4652" spans="1:14" ht="19.5" hidden="1" thickBot="1" x14ac:dyDescent="0.3">
      <c r="A4652" s="513">
        <f t="shared" si="134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0"/>
        <v>08,25</v>
      </c>
      <c r="L4652" s="518" t="s">
        <v>265</v>
      </c>
      <c r="M4652" s="518">
        <v>17217.87</v>
      </c>
      <c r="N4652" s="522">
        <v>0.375</v>
      </c>
    </row>
    <row r="4653" spans="1:14" ht="19.5" hidden="1" thickBot="1" x14ac:dyDescent="0.3">
      <c r="A4653" s="714">
        <f t="shared" si="134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0"/>
        <v>08,25</v>
      </c>
      <c r="L4653" s="535" t="s">
        <v>28</v>
      </c>
      <c r="M4653" s="535">
        <v>3388.85</v>
      </c>
      <c r="N4653" s="539">
        <v>0.41666666666666669</v>
      </c>
    </row>
    <row r="4654" spans="1:14" ht="19.5" hidden="1" thickBot="1" x14ac:dyDescent="0.3">
      <c r="A4654" s="716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0"/>
        <v>08,25</v>
      </c>
      <c r="L4654" s="567" t="s">
        <v>28</v>
      </c>
      <c r="M4654" s="567">
        <v>5740.68</v>
      </c>
      <c r="N4654" s="571">
        <v>0.41666666666666669</v>
      </c>
    </row>
    <row r="4655" spans="1:14" ht="19.5" hidden="1" thickBot="1" x14ac:dyDescent="0.3">
      <c r="A4655" s="715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0"/>
        <v>08,25</v>
      </c>
      <c r="L4655" s="640" t="s">
        <v>28</v>
      </c>
      <c r="M4655" s="640">
        <v>8541.9599999999991</v>
      </c>
      <c r="N4655" s="644">
        <v>0.41666666666666669</v>
      </c>
    </row>
    <row r="4656" spans="1:14" ht="19.5" hidden="1" thickBot="1" x14ac:dyDescent="0.3">
      <c r="A4656" s="711">
        <f t="shared" si="134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0"/>
        <v>08,25</v>
      </c>
      <c r="L4656" s="483" t="s">
        <v>28</v>
      </c>
      <c r="M4656" s="483">
        <v>7105.34</v>
      </c>
      <c r="N4656" s="486">
        <v>0.45833333333333331</v>
      </c>
    </row>
    <row r="4657" spans="1:14" ht="19.5" hidden="1" thickBot="1" x14ac:dyDescent="0.3">
      <c r="A4657" s="712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0"/>
        <v>08,25</v>
      </c>
      <c r="L4657" s="649" t="s">
        <v>28</v>
      </c>
      <c r="M4657" s="649">
        <v>10783.47</v>
      </c>
      <c r="N4657" s="653">
        <v>0.45833333333333331</v>
      </c>
    </row>
    <row r="4658" spans="1:14" ht="38.25" hidden="1" thickBot="1" x14ac:dyDescent="0.3">
      <c r="A4658" s="503">
        <f t="shared" si="134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0"/>
        <v>08,25</v>
      </c>
      <c r="L4658" s="508" t="s">
        <v>266</v>
      </c>
      <c r="M4658" s="508">
        <v>16025.52</v>
      </c>
      <c r="N4658" s="512">
        <v>0.41666666666666669</v>
      </c>
    </row>
    <row r="4659" spans="1:14" ht="19.5" hidden="1" thickBot="1" x14ac:dyDescent="0.3">
      <c r="A4659" s="513">
        <f t="shared" si="134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0"/>
        <v>08,25</v>
      </c>
      <c r="L4659" s="518" t="s">
        <v>265</v>
      </c>
      <c r="M4659" s="518">
        <v>17208.659999999996</v>
      </c>
      <c r="N4659" s="522">
        <v>0.375</v>
      </c>
    </row>
    <row r="4660" spans="1:14" ht="19.5" hidden="1" thickBot="1" x14ac:dyDescent="0.3">
      <c r="A4660" s="503">
        <f t="shared" si="134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0"/>
        <v>08,25</v>
      </c>
      <c r="L4660" s="508" t="s">
        <v>265</v>
      </c>
      <c r="M4660" s="508">
        <v>11716.64</v>
      </c>
      <c r="N4660" s="512">
        <v>0.375</v>
      </c>
    </row>
    <row r="4661" spans="1:14" ht="60.75" hidden="1" customHeight="1" thickBot="1" x14ac:dyDescent="0.3">
      <c r="A4661" s="513">
        <f t="shared" si="134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0"/>
        <v>08,25</v>
      </c>
      <c r="L4661" s="518" t="s">
        <v>28</v>
      </c>
      <c r="M4661" s="518">
        <v>9336.64</v>
      </c>
      <c r="N4661" s="522">
        <v>0.41666666666666669</v>
      </c>
    </row>
    <row r="4662" spans="1:14" ht="19.5" hidden="1" thickBot="1" x14ac:dyDescent="0.3">
      <c r="A4662" s="714">
        <f t="shared" si="134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0"/>
        <v>08,25</v>
      </c>
      <c r="L4662" s="535" t="s">
        <v>28</v>
      </c>
      <c r="M4662" s="535">
        <v>4376.3999999999996</v>
      </c>
      <c r="N4662" s="539">
        <v>0.45833333333333331</v>
      </c>
    </row>
    <row r="4663" spans="1:14" ht="19.5" hidden="1" thickBot="1" x14ac:dyDescent="0.3">
      <c r="A4663" s="715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0"/>
        <v>08,25</v>
      </c>
      <c r="L4663" s="640" t="s">
        <v>28</v>
      </c>
      <c r="M4663" s="640">
        <v>6103.2000000000007</v>
      </c>
      <c r="N4663" s="644">
        <v>0.45833333333333331</v>
      </c>
    </row>
    <row r="4664" spans="1:14" ht="19.5" hidden="1" thickBot="1" x14ac:dyDescent="0.3">
      <c r="A4664" s="711">
        <f t="shared" si="134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0"/>
        <v>08,25</v>
      </c>
      <c r="L4664" s="483" t="s">
        <v>28</v>
      </c>
      <c r="M4664" s="483">
        <v>4754.16</v>
      </c>
      <c r="N4664" s="486">
        <v>0.5</v>
      </c>
    </row>
    <row r="4665" spans="1:14" ht="19.5" hidden="1" thickBot="1" x14ac:dyDescent="0.3">
      <c r="A4665" s="712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0"/>
        <v>08,25</v>
      </c>
      <c r="L4665" s="649" t="s">
        <v>28</v>
      </c>
      <c r="M4665" s="649">
        <v>6848.12</v>
      </c>
      <c r="N4665" s="653">
        <v>0.5</v>
      </c>
    </row>
    <row r="4666" spans="1:14" ht="19.5" hidden="1" thickBot="1" x14ac:dyDescent="0.3">
      <c r="A4666" s="503">
        <f t="shared" si="134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0"/>
        <v>08,25</v>
      </c>
      <c r="L4666" s="508" t="s">
        <v>266</v>
      </c>
      <c r="M4666" s="508">
        <v>15290.04</v>
      </c>
      <c r="N4666" s="512">
        <v>0.5</v>
      </c>
    </row>
    <row r="4667" spans="1:14" ht="38.25" hidden="1" thickBot="1" x14ac:dyDescent="0.3">
      <c r="A4667" s="513">
        <f t="shared" si="134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0"/>
        <v>08,25</v>
      </c>
      <c r="L4667" s="518" t="s">
        <v>28</v>
      </c>
      <c r="M4667" s="518">
        <v>16071.720000000001</v>
      </c>
      <c r="N4667" s="522">
        <v>0.41666666666666669</v>
      </c>
    </row>
    <row r="4668" spans="1:14" ht="57" hidden="1" thickBot="1" x14ac:dyDescent="0.3">
      <c r="A4668" s="662">
        <f t="shared" si="134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</row>
    <row r="4669" spans="1:14" ht="19.5" hidden="1" thickBot="1" x14ac:dyDescent="0.3">
      <c r="A4669" s="572">
        <f t="shared" si="134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0"/>
        <v>08,25</v>
      </c>
      <c r="L4669" s="577" t="s">
        <v>266</v>
      </c>
      <c r="M4669" s="577">
        <v>18060.900000000001</v>
      </c>
      <c r="N4669" s="581">
        <v>0.375</v>
      </c>
    </row>
    <row r="4670" spans="1:14" ht="19.5" hidden="1" thickBot="1" x14ac:dyDescent="0.3">
      <c r="A4670" s="503">
        <f t="shared" si="134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0"/>
        <v>08,25</v>
      </c>
      <c r="L4670" s="508" t="s">
        <v>266</v>
      </c>
      <c r="M4670" s="508">
        <v>18132.62</v>
      </c>
      <c r="N4670" s="512">
        <v>0.41666666666666669</v>
      </c>
    </row>
    <row r="4671" spans="1:14" ht="19.5" hidden="1" thickBot="1" x14ac:dyDescent="0.3">
      <c r="A4671" s="672">
        <f t="shared" si="134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0"/>
        <v>08,25</v>
      </c>
      <c r="L4671" s="499" t="s">
        <v>266</v>
      </c>
      <c r="M4671" s="499">
        <v>18045.060000000001</v>
      </c>
      <c r="N4671" s="502">
        <v>0.45833333333333331</v>
      </c>
    </row>
    <row r="4672" spans="1:14" ht="19.5" hidden="1" thickBot="1" x14ac:dyDescent="0.3">
      <c r="A4672" s="503">
        <f t="shared" si="134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0"/>
        <v>08,25</v>
      </c>
      <c r="L4672" s="508" t="s">
        <v>266</v>
      </c>
      <c r="M4672" s="508">
        <v>18030.599999999999</v>
      </c>
      <c r="N4672" s="512">
        <v>0.5</v>
      </c>
    </row>
    <row r="4673" spans="1:14" ht="19.5" hidden="1" thickBot="1" x14ac:dyDescent="0.3">
      <c r="A4673" s="672">
        <f t="shared" si="134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0"/>
        <v>08,25</v>
      </c>
      <c r="L4673" s="499" t="s">
        <v>28</v>
      </c>
      <c r="M4673" s="499">
        <v>8089.2</v>
      </c>
      <c r="N4673" s="502">
        <v>0.41666666666666669</v>
      </c>
    </row>
    <row r="4674" spans="1:14" ht="19.5" hidden="1" thickBot="1" x14ac:dyDescent="0.3">
      <c r="A4674" s="714">
        <f t="shared" si="134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0"/>
        <v>08,25</v>
      </c>
      <c r="L4674" s="535" t="s">
        <v>266</v>
      </c>
      <c r="M4674" s="535">
        <v>8432.8200000000015</v>
      </c>
      <c r="N4674" s="539">
        <v>0.54166666666666663</v>
      </c>
    </row>
    <row r="4675" spans="1:14" ht="19.5" hidden="1" thickBot="1" x14ac:dyDescent="0.3">
      <c r="A4675" s="716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0"/>
        <v>08,25</v>
      </c>
      <c r="L4675" s="567" t="s">
        <v>266</v>
      </c>
      <c r="M4675" s="567">
        <v>6744.76</v>
      </c>
      <c r="N4675" s="571">
        <v>0.54166666666666663</v>
      </c>
    </row>
    <row r="4676" spans="1:14" ht="19.5" hidden="1" thickBot="1" x14ac:dyDescent="0.3">
      <c r="A4676" s="715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0"/>
        <v>08,25</v>
      </c>
      <c r="L4676" s="640" t="s">
        <v>266</v>
      </c>
      <c r="M4676" s="640">
        <v>2897.34</v>
      </c>
      <c r="N4676" s="644">
        <v>0.54166666666666663</v>
      </c>
    </row>
    <row r="4677" spans="1:14" ht="19.5" hidden="1" thickBot="1" x14ac:dyDescent="0.3">
      <c r="A4677" s="713">
        <f t="shared" si="134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0"/>
        <v>08,25</v>
      </c>
      <c r="L4677" s="527" t="s">
        <v>266</v>
      </c>
      <c r="M4677" s="527">
        <v>1678.6000000000001</v>
      </c>
      <c r="N4677" s="530">
        <v>0.58333333333333337</v>
      </c>
    </row>
    <row r="4678" spans="1:14" ht="19.5" hidden="1" thickBot="1" x14ac:dyDescent="0.3">
      <c r="A4678" s="713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0"/>
        <v>08,25</v>
      </c>
      <c r="L4678" s="499" t="s">
        <v>266</v>
      </c>
      <c r="M4678" s="499">
        <v>14405.599999999997</v>
      </c>
      <c r="N4678" s="502">
        <v>0.58333333333333337</v>
      </c>
    </row>
    <row r="4679" spans="1:14" ht="19.5" hidden="1" thickBot="1" x14ac:dyDescent="0.3">
      <c r="A4679" s="714">
        <f t="shared" si="134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0"/>
        <v>08,25</v>
      </c>
      <c r="L4679" s="535" t="s">
        <v>266</v>
      </c>
      <c r="M4679" s="535">
        <v>2890.38</v>
      </c>
      <c r="N4679" s="539">
        <v>0.625</v>
      </c>
    </row>
    <row r="4680" spans="1:14" ht="19.5" hidden="1" thickBot="1" x14ac:dyDescent="0.3">
      <c r="A4680" s="716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0"/>
        <v>08,25</v>
      </c>
      <c r="L4680" s="594" t="s">
        <v>266</v>
      </c>
      <c r="M4680" s="594">
        <v>13157.4</v>
      </c>
      <c r="N4680" s="598">
        <v>0.625</v>
      </c>
    </row>
    <row r="4681" spans="1:14" ht="19.5" hidden="1" thickBot="1" x14ac:dyDescent="0.3">
      <c r="A4681" s="711">
        <f t="shared" si="134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0"/>
        <v>08,25</v>
      </c>
      <c r="L4681" s="483" t="s">
        <v>265</v>
      </c>
      <c r="M4681" s="483">
        <v>13361.19</v>
      </c>
      <c r="N4681" s="486">
        <v>0.375</v>
      </c>
    </row>
    <row r="4682" spans="1:14" ht="19.5" hidden="1" thickBot="1" x14ac:dyDescent="0.3">
      <c r="A4682" s="712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0"/>
        <v>08,25</v>
      </c>
      <c r="L4682" s="649" t="s">
        <v>265</v>
      </c>
      <c r="M4682" s="649">
        <v>3992</v>
      </c>
      <c r="N4682" s="653">
        <v>0.375</v>
      </c>
    </row>
    <row r="4683" spans="1:14" ht="19.5" hidden="1" thickBot="1" x14ac:dyDescent="0.3">
      <c r="A4683" s="503">
        <f t="shared" si="134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0"/>
        <v>08,25</v>
      </c>
      <c r="L4683" s="508" t="s">
        <v>265</v>
      </c>
      <c r="M4683" s="508">
        <v>17581.969999999998</v>
      </c>
      <c r="N4683" s="512">
        <v>0.375</v>
      </c>
    </row>
    <row r="4684" spans="1:14" ht="19.5" hidden="1" thickBot="1" x14ac:dyDescent="0.3">
      <c r="A4684" s="572">
        <f t="shared" si="134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0"/>
        <v>08,25</v>
      </c>
      <c r="L4684" s="577" t="s">
        <v>265</v>
      </c>
      <c r="M4684" s="577">
        <v>12148.48</v>
      </c>
      <c r="N4684" s="581">
        <v>0.375</v>
      </c>
    </row>
    <row r="4685" spans="1:14" ht="19.5" hidden="1" thickBot="1" x14ac:dyDescent="0.3">
      <c r="A4685" s="503">
        <f t="shared" si="134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0"/>
        <v>09,25</v>
      </c>
      <c r="L4685" s="508" t="s">
        <v>28</v>
      </c>
      <c r="M4685" s="508">
        <v>11242.079999999998</v>
      </c>
      <c r="N4685" s="512">
        <v>0.41666666666666669</v>
      </c>
    </row>
    <row r="4686" spans="1:14" ht="19.5" hidden="1" thickBot="1" x14ac:dyDescent="0.3">
      <c r="A4686" s="513">
        <f t="shared" si="134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0"/>
        <v>08,25</v>
      </c>
      <c r="L4686" s="518" t="s">
        <v>265</v>
      </c>
      <c r="M4686" s="518">
        <v>17196.920000000002</v>
      </c>
      <c r="N4686" s="522">
        <v>0.375</v>
      </c>
    </row>
    <row r="4687" spans="1:14" ht="19.5" hidden="1" thickBot="1" x14ac:dyDescent="0.3">
      <c r="A4687" s="714">
        <f t="shared" si="134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0"/>
        <v>08,25</v>
      </c>
      <c r="L4687" s="535" t="s">
        <v>28</v>
      </c>
      <c r="M4687" s="535">
        <v>239.28</v>
      </c>
      <c r="N4687" s="539">
        <v>0.41666666666666669</v>
      </c>
    </row>
    <row r="4688" spans="1:14" ht="19.5" hidden="1" thickBot="1" x14ac:dyDescent="0.3">
      <c r="A4688" s="716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0"/>
        <v>08,25</v>
      </c>
      <c r="L4688" s="567" t="s">
        <v>28</v>
      </c>
      <c r="M4688" s="567">
        <v>2825.1599999999994</v>
      </c>
      <c r="N4688" s="571">
        <v>0.41666666666666669</v>
      </c>
    </row>
    <row r="4689" spans="1:14" ht="19.5" hidden="1" thickBot="1" x14ac:dyDescent="0.3">
      <c r="A4689" s="716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0"/>
        <v>08,25</v>
      </c>
      <c r="L4689" s="567" t="s">
        <v>28</v>
      </c>
      <c r="M4689" s="567">
        <v>4713.8000000000011</v>
      </c>
      <c r="N4689" s="571">
        <v>0.41666666666666669</v>
      </c>
    </row>
    <row r="4690" spans="1:14" ht="19.5" hidden="1" thickBot="1" x14ac:dyDescent="0.3">
      <c r="A4690" s="715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0"/>
        <v>08,25</v>
      </c>
      <c r="L4690" s="640" t="s">
        <v>28</v>
      </c>
      <c r="M4690" s="640">
        <v>9557.4000000000015</v>
      </c>
      <c r="N4690" s="644">
        <v>0.41666666666666669</v>
      </c>
    </row>
    <row r="4691" spans="1:14" ht="19.5" hidden="1" thickBot="1" x14ac:dyDescent="0.3">
      <c r="A4691" s="711">
        <f t="shared" si="134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0"/>
        <v>08,25</v>
      </c>
      <c r="L4691" s="483" t="s">
        <v>28</v>
      </c>
      <c r="M4691" s="483">
        <v>1661.34</v>
      </c>
      <c r="N4691" s="486">
        <v>0.45833333333333331</v>
      </c>
    </row>
    <row r="4692" spans="1:14" ht="19.5" hidden="1" thickBot="1" x14ac:dyDescent="0.3">
      <c r="A4692" s="712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0"/>
        <v>08,25</v>
      </c>
      <c r="L4692" s="649" t="s">
        <v>28</v>
      </c>
      <c r="M4692" s="649">
        <v>15502.08</v>
      </c>
      <c r="N4692" s="653">
        <v>0.45833333333333331</v>
      </c>
    </row>
    <row r="4693" spans="1:14" ht="19.5" hidden="1" thickBot="1" x14ac:dyDescent="0.3">
      <c r="A4693" s="714">
        <f t="shared" si="134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0"/>
        <v>08,25</v>
      </c>
      <c r="L4693" s="535" t="s">
        <v>28</v>
      </c>
      <c r="M4693" s="535">
        <v>11034.960000000001</v>
      </c>
      <c r="N4693" s="539">
        <v>0.5</v>
      </c>
    </row>
    <row r="4694" spans="1:14" ht="19.5" hidden="1" thickBot="1" x14ac:dyDescent="0.3">
      <c r="A4694" s="715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0"/>
        <v>08,25</v>
      </c>
      <c r="L4694" s="640" t="s">
        <v>28</v>
      </c>
      <c r="M4694" s="640">
        <v>6061.92</v>
      </c>
      <c r="N4694" s="644">
        <v>0.5</v>
      </c>
    </row>
    <row r="4695" spans="1:14" ht="19.5" hidden="1" thickBot="1" x14ac:dyDescent="0.3">
      <c r="A4695" s="711">
        <f t="shared" si="134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0"/>
        <v>08,25</v>
      </c>
      <c r="L4695" s="483" t="s">
        <v>28</v>
      </c>
      <c r="M4695" s="483">
        <v>1665.12</v>
      </c>
      <c r="N4695" s="486">
        <v>0.54166666666666663</v>
      </c>
    </row>
    <row r="4696" spans="1:14" ht="19.5" hidden="1" thickBot="1" x14ac:dyDescent="0.3">
      <c r="A4696" s="712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0"/>
        <v>08,25</v>
      </c>
      <c r="L4696" s="649" t="s">
        <v>28</v>
      </c>
      <c r="M4696" s="649">
        <v>15561.630000000003</v>
      </c>
      <c r="N4696" s="653">
        <v>0.54166666666666663</v>
      </c>
    </row>
    <row r="4697" spans="1:14" ht="19.5" hidden="1" thickBot="1" x14ac:dyDescent="0.3">
      <c r="A4697" s="503">
        <f t="shared" ref="A4697:A4760" si="135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0"/>
        <v>08,25</v>
      </c>
      <c r="L4697" s="508" t="s">
        <v>266</v>
      </c>
      <c r="M4697" s="508">
        <v>18000</v>
      </c>
      <c r="N4697" s="512">
        <v>0.41666666666666669</v>
      </c>
    </row>
    <row r="4698" spans="1:14" ht="19.5" hidden="1" thickBot="1" x14ac:dyDescent="0.3">
      <c r="A4698" s="513">
        <f t="shared" si="135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0"/>
        <v>08,25</v>
      </c>
      <c r="L4698" s="518" t="s">
        <v>265</v>
      </c>
      <c r="M4698" s="518">
        <v>12416.28</v>
      </c>
      <c r="N4698" s="522">
        <v>0.375</v>
      </c>
    </row>
    <row r="4699" spans="1:14" ht="19.5" hidden="1" thickBot="1" x14ac:dyDescent="0.3">
      <c r="A4699" s="551">
        <f t="shared" si="135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0"/>
        <v>08,25</v>
      </c>
      <c r="L4699" s="556" t="s">
        <v>28</v>
      </c>
      <c r="M4699" s="556">
        <v>8618.16</v>
      </c>
      <c r="N4699" s="560">
        <v>0.41666666666666669</v>
      </c>
    </row>
    <row r="4700" spans="1:14" ht="28.5" hidden="1" customHeight="1" x14ac:dyDescent="0.25">
      <c r="A4700" s="711">
        <f t="shared" si="135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720" t="s">
        <v>1030</v>
      </c>
      <c r="H4700" s="483" t="s">
        <v>1028</v>
      </c>
      <c r="I4700" s="484" t="s">
        <v>1028</v>
      </c>
      <c r="J4700" s="485"/>
      <c r="K4700" s="483" t="str">
        <f t="shared" si="130"/>
        <v>08,25</v>
      </c>
      <c r="L4700" s="483" t="s">
        <v>28</v>
      </c>
      <c r="M4700" s="483">
        <v>11973.970000000003</v>
      </c>
      <c r="N4700" s="486">
        <v>0.5</v>
      </c>
    </row>
    <row r="4701" spans="1:14" ht="28.5" hidden="1" customHeight="1" thickBot="1" x14ac:dyDescent="0.3">
      <c r="A4701" s="712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721"/>
      <c r="H4701" s="649" t="s">
        <v>1028</v>
      </c>
      <c r="I4701" s="651" t="s">
        <v>1028</v>
      </c>
      <c r="J4701" s="652"/>
      <c r="K4701" s="649" t="str">
        <f t="shared" si="130"/>
        <v>08,25</v>
      </c>
      <c r="L4701" s="649" t="s">
        <v>28</v>
      </c>
      <c r="M4701" s="649">
        <v>797.28</v>
      </c>
      <c r="N4701" s="653">
        <v>0.5</v>
      </c>
    </row>
    <row r="4702" spans="1:14" ht="19.5" hidden="1" thickBot="1" x14ac:dyDescent="0.3">
      <c r="A4702" s="503">
        <f t="shared" si="135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0"/>
        <v>09,25</v>
      </c>
      <c r="L4702" s="508" t="s">
        <v>265</v>
      </c>
      <c r="M4702" s="508">
        <v>17787.919999999998</v>
      </c>
      <c r="N4702" s="512">
        <v>0.375</v>
      </c>
    </row>
    <row r="4703" spans="1:14" ht="19.5" hidden="1" thickBot="1" x14ac:dyDescent="0.3">
      <c r="A4703" s="711">
        <f t="shared" si="135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0"/>
        <v>09,25</v>
      </c>
      <c r="L4703" s="483" t="s">
        <v>28</v>
      </c>
      <c r="M4703" s="483">
        <v>10569.17</v>
      </c>
      <c r="N4703" s="486">
        <v>0.41666666666666669</v>
      </c>
    </row>
    <row r="4704" spans="1:14" ht="19.5" hidden="1" thickBot="1" x14ac:dyDescent="0.3">
      <c r="A4704" s="713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0"/>
        <v>09,25</v>
      </c>
      <c r="L4704" s="527" t="s">
        <v>28</v>
      </c>
      <c r="M4704" s="527">
        <v>1080.03</v>
      </c>
      <c r="N4704" s="530">
        <v>0.41666666666666669</v>
      </c>
    </row>
    <row r="4705" spans="1:14" ht="19.5" hidden="1" thickBot="1" x14ac:dyDescent="0.3">
      <c r="A4705" s="712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0"/>
        <v>09,25</v>
      </c>
      <c r="L4705" s="649" t="s">
        <v>28</v>
      </c>
      <c r="M4705" s="649">
        <v>6319.5599999999995</v>
      </c>
      <c r="N4705" s="653">
        <v>0.41666666666666669</v>
      </c>
    </row>
    <row r="4706" spans="1:14" ht="19.5" hidden="1" thickBot="1" x14ac:dyDescent="0.3">
      <c r="A4706" s="714">
        <f t="shared" si="135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0"/>
        <v>09,25</v>
      </c>
      <c r="L4706" s="535" t="s">
        <v>28</v>
      </c>
      <c r="M4706" s="535">
        <v>6028.7999999999993</v>
      </c>
      <c r="N4706" s="539">
        <v>0.41666666666666669</v>
      </c>
    </row>
    <row r="4707" spans="1:14" ht="19.5" hidden="1" thickBot="1" x14ac:dyDescent="0.3">
      <c r="A4707" s="716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0"/>
        <v>09,25</v>
      </c>
      <c r="L4707" s="567" t="s">
        <v>28</v>
      </c>
      <c r="M4707" s="567">
        <v>4188.92</v>
      </c>
      <c r="N4707" s="571">
        <v>0.41666666666666669</v>
      </c>
    </row>
    <row r="4708" spans="1:14" ht="19.5" hidden="1" thickBot="1" x14ac:dyDescent="0.3">
      <c r="A4708" s="715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0"/>
        <v>09,25</v>
      </c>
      <c r="L4708" s="640" t="s">
        <v>28</v>
      </c>
      <c r="M4708" s="640">
        <v>2731.1200000000003</v>
      </c>
      <c r="N4708" s="644">
        <v>0.41666666666666669</v>
      </c>
    </row>
    <row r="4709" spans="1:14" ht="19.5" hidden="1" thickBot="1" x14ac:dyDescent="0.3">
      <c r="A4709" s="711">
        <f t="shared" si="135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0"/>
        <v>09,25</v>
      </c>
      <c r="L4709" s="483" t="s">
        <v>28</v>
      </c>
      <c r="M4709" s="483">
        <v>4014.2</v>
      </c>
      <c r="N4709" s="486">
        <v>0.45833333333333331</v>
      </c>
    </row>
    <row r="4710" spans="1:14" ht="19.5" hidden="1" thickBot="1" x14ac:dyDescent="0.3">
      <c r="A4710" s="713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0"/>
        <v>09,25</v>
      </c>
      <c r="L4710" s="527" t="s">
        <v>28</v>
      </c>
      <c r="M4710" s="527">
        <v>2808</v>
      </c>
      <c r="N4710" s="530">
        <v>0.45833333333333331</v>
      </c>
    </row>
    <row r="4711" spans="1:14" ht="19.5" hidden="1" thickBot="1" x14ac:dyDescent="0.3">
      <c r="A4711" s="712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0"/>
        <v>09,25</v>
      </c>
      <c r="L4711" s="649" t="s">
        <v>28</v>
      </c>
      <c r="M4711" s="649">
        <v>5353.4000000000005</v>
      </c>
      <c r="N4711" s="653">
        <v>0.45833333333333331</v>
      </c>
    </row>
    <row r="4712" spans="1:14" ht="19.5" hidden="1" thickBot="1" x14ac:dyDescent="0.3">
      <c r="A4712" s="503">
        <f t="shared" si="135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0"/>
        <v>09,25</v>
      </c>
      <c r="L4712" s="508" t="s">
        <v>266</v>
      </c>
      <c r="M4712" s="508">
        <v>15352.650000000003</v>
      </c>
      <c r="N4712" s="512">
        <v>0.5</v>
      </c>
    </row>
    <row r="4713" spans="1:14" ht="38.25" hidden="1" thickBot="1" x14ac:dyDescent="0.3">
      <c r="A4713" s="513">
        <f t="shared" si="135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0"/>
        <v>09,25</v>
      </c>
      <c r="L4713" s="518" t="s">
        <v>266</v>
      </c>
      <c r="M4713" s="518">
        <v>15881.880000000001</v>
      </c>
      <c r="N4713" s="522">
        <v>0.41666666666666669</v>
      </c>
    </row>
    <row r="4714" spans="1:14" ht="19.5" hidden="1" thickBot="1" x14ac:dyDescent="0.3">
      <c r="A4714" s="714">
        <f t="shared" si="135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0"/>
        <v>09,25</v>
      </c>
      <c r="L4714" s="535" t="s">
        <v>266</v>
      </c>
      <c r="M4714" s="535">
        <v>12896.81</v>
      </c>
      <c r="N4714" s="539">
        <v>0.5</v>
      </c>
    </row>
    <row r="4715" spans="1:14" ht="19.5" hidden="1" thickBot="1" x14ac:dyDescent="0.3">
      <c r="A4715" s="716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0"/>
        <v>09,25</v>
      </c>
      <c r="L4715" s="594" t="s">
        <v>266</v>
      </c>
      <c r="M4715" s="594">
        <v>2076.66</v>
      </c>
      <c r="N4715" s="598">
        <v>0.5</v>
      </c>
    </row>
    <row r="4716" spans="1:14" ht="19.5" hidden="1" thickBot="1" x14ac:dyDescent="0.3">
      <c r="A4716" s="513">
        <f t="shared" si="135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0"/>
        <v>09,25</v>
      </c>
      <c r="L4716" s="518" t="s">
        <v>266</v>
      </c>
      <c r="M4716" s="518">
        <v>18169.879999999997</v>
      </c>
      <c r="N4716" s="522">
        <v>0.41666666666666669</v>
      </c>
    </row>
    <row r="4717" spans="1:14" ht="19.5" hidden="1" thickBot="1" x14ac:dyDescent="0.3">
      <c r="A4717" s="503">
        <f t="shared" si="135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0"/>
        <v>09,25</v>
      </c>
      <c r="L4717" s="508" t="s">
        <v>266</v>
      </c>
      <c r="M4717" s="508">
        <v>18006.62</v>
      </c>
      <c r="N4717" s="512">
        <v>0.45833333333333331</v>
      </c>
    </row>
    <row r="4718" spans="1:14" ht="19.5" hidden="1" thickBot="1" x14ac:dyDescent="0.3">
      <c r="A4718" s="513">
        <f t="shared" si="135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0"/>
        <v>09,25</v>
      </c>
      <c r="L4718" s="518" t="s">
        <v>266</v>
      </c>
      <c r="M4718" s="518">
        <v>5965.7600000000011</v>
      </c>
      <c r="N4718" s="522">
        <v>0.5</v>
      </c>
    </row>
    <row r="4719" spans="1:14" ht="19.5" hidden="1" thickBot="1" x14ac:dyDescent="0.3">
      <c r="A4719" s="714">
        <f t="shared" si="135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0"/>
        <v>09,25</v>
      </c>
      <c r="L4719" s="535" t="s">
        <v>266</v>
      </c>
      <c r="M4719" s="535">
        <v>15189.820000000002</v>
      </c>
      <c r="N4719" s="539">
        <v>0.54166666666666663</v>
      </c>
    </row>
    <row r="4720" spans="1:14" ht="19.5" hidden="1" thickBot="1" x14ac:dyDescent="0.3">
      <c r="A4720" s="715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0"/>
        <v>09,25</v>
      </c>
      <c r="L4720" s="640" t="s">
        <v>266</v>
      </c>
      <c r="M4720" s="640">
        <v>2788.6200000000008</v>
      </c>
      <c r="N4720" s="644">
        <v>0.54166666666666663</v>
      </c>
    </row>
    <row r="4721" spans="1:14" ht="19.5" hidden="1" thickBot="1" x14ac:dyDescent="0.3">
      <c r="A4721" s="711">
        <f t="shared" si="135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0"/>
        <v>09,25</v>
      </c>
      <c r="L4721" s="483" t="s">
        <v>266</v>
      </c>
      <c r="M4721" s="483">
        <v>9782.3199999999979</v>
      </c>
      <c r="N4721" s="486">
        <v>0.58333333333333337</v>
      </c>
    </row>
    <row r="4722" spans="1:14" ht="19.5" hidden="1" thickBot="1" x14ac:dyDescent="0.3">
      <c r="A4722" s="713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0"/>
        <v>09,25</v>
      </c>
      <c r="L4722" s="499" t="s">
        <v>266</v>
      </c>
      <c r="M4722" s="499">
        <v>6286.1399999999994</v>
      </c>
      <c r="N4722" s="502">
        <v>0.58333333333333337</v>
      </c>
    </row>
    <row r="4723" spans="1:14" ht="19.5" hidden="1" thickBot="1" x14ac:dyDescent="0.3">
      <c r="A4723" s="714">
        <f t="shared" si="135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0"/>
        <v>09,25</v>
      </c>
      <c r="L4723" s="535" t="s">
        <v>265</v>
      </c>
      <c r="M4723" s="535">
        <v>13742.220000000001</v>
      </c>
      <c r="N4723" s="539">
        <v>0.375</v>
      </c>
    </row>
    <row r="4724" spans="1:14" ht="19.5" hidden="1" thickBot="1" x14ac:dyDescent="0.3">
      <c r="A4724" s="715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6">RIGHT(I4724,5)</f>
        <v>09,25</v>
      </c>
      <c r="L4724" s="640" t="s">
        <v>265</v>
      </c>
      <c r="M4724" s="640">
        <v>3964.3</v>
      </c>
      <c r="N4724" s="644">
        <v>0.375</v>
      </c>
    </row>
    <row r="4725" spans="1:14" ht="19.5" hidden="1" thickBot="1" x14ac:dyDescent="0.3">
      <c r="A4725" s="513">
        <f t="shared" si="135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6"/>
        <v>09,25</v>
      </c>
      <c r="L4725" s="518" t="s">
        <v>265</v>
      </c>
      <c r="M4725" s="518">
        <v>17713.16</v>
      </c>
      <c r="N4725" s="522">
        <v>0.375</v>
      </c>
    </row>
    <row r="4726" spans="1:14" ht="19.5" hidden="1" thickBot="1" x14ac:dyDescent="0.3">
      <c r="A4726" s="503">
        <f t="shared" si="135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6"/>
        <v>09,25</v>
      </c>
      <c r="L4726" s="508" t="s">
        <v>28</v>
      </c>
      <c r="M4726" s="508">
        <v>17871.499999999996</v>
      </c>
      <c r="N4726" s="512">
        <v>0.41666666666666669</v>
      </c>
    </row>
    <row r="4727" spans="1:14" ht="19.5" hidden="1" thickBot="1" x14ac:dyDescent="0.3">
      <c r="A4727" s="711">
        <f t="shared" si="135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6"/>
        <v>09,25</v>
      </c>
      <c r="L4727" s="483" t="s">
        <v>28</v>
      </c>
      <c r="M4727" s="483">
        <v>1440.1200000000001</v>
      </c>
      <c r="N4727" s="486">
        <v>0.45833333333333331</v>
      </c>
    </row>
    <row r="4728" spans="1:14" ht="19.5" hidden="1" thickBot="1" x14ac:dyDescent="0.3">
      <c r="A4728" s="712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6"/>
        <v>09,25</v>
      </c>
      <c r="L4728" s="649" t="s">
        <v>28</v>
      </c>
      <c r="M4728" s="649">
        <v>16045.37</v>
      </c>
      <c r="N4728" s="653">
        <v>0.45833333333333331</v>
      </c>
    </row>
    <row r="4729" spans="1:14" ht="19.5" hidden="1" thickBot="1" x14ac:dyDescent="0.3">
      <c r="A4729" s="714">
        <f t="shared" si="135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717" t="s">
        <v>1038</v>
      </c>
      <c r="H4729" s="535" t="s">
        <v>1037</v>
      </c>
      <c r="I4729" s="537" t="s">
        <v>1040</v>
      </c>
      <c r="J4729" s="538"/>
      <c r="K4729" s="649" t="str">
        <f t="shared" si="136"/>
        <v>09,25</v>
      </c>
      <c r="L4729" s="535" t="s">
        <v>28</v>
      </c>
      <c r="M4729" s="535">
        <v>321.60000000000002</v>
      </c>
      <c r="N4729" s="539">
        <v>0.5</v>
      </c>
    </row>
    <row r="4730" spans="1:14" ht="19.5" hidden="1" thickBot="1" x14ac:dyDescent="0.3">
      <c r="A4730" s="716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719"/>
      <c r="H4730" s="567" t="s">
        <v>1037</v>
      </c>
      <c r="I4730" s="569" t="s">
        <v>1040</v>
      </c>
      <c r="J4730" s="570"/>
      <c r="K4730" s="649" t="str">
        <f t="shared" si="136"/>
        <v>09,25</v>
      </c>
      <c r="L4730" s="567" t="s">
        <v>28</v>
      </c>
      <c r="M4730" s="567">
        <v>5083.29</v>
      </c>
      <c r="N4730" s="571">
        <v>0.5</v>
      </c>
    </row>
    <row r="4731" spans="1:14" ht="19.5" hidden="1" thickBot="1" x14ac:dyDescent="0.3">
      <c r="A4731" s="716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719"/>
      <c r="H4731" s="567" t="s">
        <v>1037</v>
      </c>
      <c r="I4731" s="569" t="s">
        <v>1040</v>
      </c>
      <c r="J4731" s="570"/>
      <c r="K4731" s="649" t="str">
        <f t="shared" si="136"/>
        <v>09,25</v>
      </c>
      <c r="L4731" s="567" t="s">
        <v>28</v>
      </c>
      <c r="M4731" s="567">
        <v>2198.4199999999996</v>
      </c>
      <c r="N4731" s="571">
        <v>0.5</v>
      </c>
    </row>
    <row r="4732" spans="1:14" ht="19.5" hidden="1" thickBot="1" x14ac:dyDescent="0.3">
      <c r="A4732" s="715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718"/>
      <c r="H4732" s="640" t="s">
        <v>1037</v>
      </c>
      <c r="I4732" s="642" t="s">
        <v>1040</v>
      </c>
      <c r="J4732" s="643"/>
      <c r="K4732" s="649" t="str">
        <f t="shared" si="136"/>
        <v>09,25</v>
      </c>
      <c r="L4732" s="640" t="s">
        <v>28</v>
      </c>
      <c r="M4732" s="640">
        <v>7182.3</v>
      </c>
      <c r="N4732" s="644">
        <v>0.5</v>
      </c>
    </row>
    <row r="4733" spans="1:14" ht="19.5" hidden="1" thickBot="1" x14ac:dyDescent="0.3">
      <c r="A4733" s="513">
        <f t="shared" si="135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6"/>
        <v>09,25</v>
      </c>
      <c r="L4733" s="518" t="s">
        <v>266</v>
      </c>
      <c r="M4733" s="518">
        <v>18134.519999999997</v>
      </c>
      <c r="N4733" s="522">
        <v>0.41666666666666669</v>
      </c>
    </row>
    <row r="4734" spans="1:14" ht="19.5" hidden="1" thickBot="1" x14ac:dyDescent="0.3">
      <c r="A4734" s="714">
        <f t="shared" si="135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6"/>
        <v>09,25</v>
      </c>
      <c r="L4734" s="535" t="s">
        <v>28</v>
      </c>
      <c r="M4734" s="535">
        <v>7442.0400000000009</v>
      </c>
      <c r="N4734" s="539">
        <v>0.54166666666666663</v>
      </c>
    </row>
    <row r="4735" spans="1:14" ht="19.5" hidden="1" thickBot="1" x14ac:dyDescent="0.3">
      <c r="A4735" s="716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6"/>
        <v>09,25</v>
      </c>
      <c r="L4735" s="567" t="s">
        <v>28</v>
      </c>
      <c r="M4735" s="567">
        <v>2223.6600000000003</v>
      </c>
      <c r="N4735" s="571">
        <v>0.54166666666666663</v>
      </c>
    </row>
    <row r="4736" spans="1:14" ht="19.5" hidden="1" thickBot="1" x14ac:dyDescent="0.3">
      <c r="A4736" s="715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6"/>
        <v>09,25</v>
      </c>
      <c r="L4736" s="640" t="s">
        <v>28</v>
      </c>
      <c r="M4736" s="640">
        <v>7450.0800000000008</v>
      </c>
      <c r="N4736" s="644">
        <v>0.54166666666666663</v>
      </c>
    </row>
    <row r="4737" spans="1:14" ht="19.5" hidden="1" thickBot="1" x14ac:dyDescent="0.3">
      <c r="A4737" s="513">
        <f t="shared" si="135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6"/>
        <v>09,25</v>
      </c>
      <c r="L4737" s="518" t="s">
        <v>265</v>
      </c>
      <c r="M4737" s="518">
        <v>11493.800000000001</v>
      </c>
      <c r="N4737" s="522">
        <v>0.375</v>
      </c>
    </row>
    <row r="4738" spans="1:14" ht="19.5" hidden="1" thickBot="1" x14ac:dyDescent="0.3">
      <c r="A4738" s="714">
        <f t="shared" si="135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717" t="s">
        <v>72</v>
      </c>
      <c r="H4738" s="535" t="s">
        <v>1040</v>
      </c>
      <c r="I4738" s="537" t="s">
        <v>1040</v>
      </c>
      <c r="J4738" s="538"/>
      <c r="K4738" s="649" t="str">
        <f t="shared" si="136"/>
        <v>09,25</v>
      </c>
      <c r="L4738" s="535" t="s">
        <v>265</v>
      </c>
      <c r="M4738" s="535">
        <v>10441.119999999999</v>
      </c>
      <c r="N4738" s="539">
        <v>0.33333333333333331</v>
      </c>
    </row>
    <row r="4739" spans="1:14" ht="19.5" hidden="1" thickBot="1" x14ac:dyDescent="0.3">
      <c r="A4739" s="715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718"/>
      <c r="H4739" s="640" t="s">
        <v>1040</v>
      </c>
      <c r="I4739" s="642" t="s">
        <v>1040</v>
      </c>
      <c r="J4739" s="643"/>
      <c r="K4739" s="649" t="str">
        <f t="shared" si="136"/>
        <v>09,25</v>
      </c>
      <c r="L4739" s="640" t="s">
        <v>265</v>
      </c>
      <c r="M4739" s="640">
        <v>3015</v>
      </c>
      <c r="N4739" s="644">
        <v>0.41666666666666669</v>
      </c>
    </row>
    <row r="4740" spans="1:14" ht="19.5" hidden="1" thickBot="1" x14ac:dyDescent="0.3">
      <c r="A4740" s="711">
        <f t="shared" si="135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6"/>
        <v>09,25</v>
      </c>
      <c r="L4740" s="483" t="s">
        <v>265</v>
      </c>
      <c r="M4740" s="483">
        <v>16260</v>
      </c>
      <c r="N4740" s="486">
        <v>0.375</v>
      </c>
    </row>
    <row r="4741" spans="1:14" ht="19.5" hidden="1" thickBot="1" x14ac:dyDescent="0.3">
      <c r="A4741" s="713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6"/>
        <v>09,25</v>
      </c>
      <c r="L4741" s="499" t="s">
        <v>266</v>
      </c>
      <c r="M4741" s="499">
        <v>1265.46</v>
      </c>
      <c r="N4741" s="502">
        <v>0.375</v>
      </c>
    </row>
    <row r="4742" spans="1:14" ht="19.5" hidden="1" thickBot="1" x14ac:dyDescent="0.3">
      <c r="A4742" s="503">
        <f t="shared" si="135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6"/>
        <v>09,25</v>
      </c>
      <c r="L4742" s="508" t="s">
        <v>28</v>
      </c>
      <c r="M4742" s="508">
        <v>9214.92</v>
      </c>
      <c r="N4742" s="512">
        <v>0.5</v>
      </c>
    </row>
    <row r="4743" spans="1:14" ht="19.5" hidden="1" thickBot="1" x14ac:dyDescent="0.3">
      <c r="A4743" s="513">
        <f t="shared" si="135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6"/>
        <v>09,25</v>
      </c>
      <c r="L4743" s="518" t="s">
        <v>265</v>
      </c>
      <c r="M4743" s="518">
        <v>17633.150000000005</v>
      </c>
      <c r="N4743" s="522">
        <v>0.375</v>
      </c>
    </row>
    <row r="4744" spans="1:14" ht="19.5" hidden="1" thickBot="1" x14ac:dyDescent="0.3">
      <c r="A4744" s="503">
        <f t="shared" si="135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6"/>
        <v>09,25</v>
      </c>
      <c r="L4744" s="508" t="s">
        <v>265</v>
      </c>
      <c r="M4744" s="508">
        <v>17732.57</v>
      </c>
      <c r="N4744" s="512">
        <v>0.375</v>
      </c>
    </row>
    <row r="4745" spans="1:14" ht="19.5" hidden="1" thickBot="1" x14ac:dyDescent="0.3">
      <c r="A4745" s="711">
        <f t="shared" si="135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6"/>
        <v>09,25</v>
      </c>
      <c r="L4745" s="483" t="s">
        <v>28</v>
      </c>
      <c r="M4745" s="483">
        <v>6047.11</v>
      </c>
      <c r="N4745" s="486">
        <v>0.41666666666666669</v>
      </c>
    </row>
    <row r="4746" spans="1:14" ht="19.5" hidden="1" thickBot="1" x14ac:dyDescent="0.3">
      <c r="A4746" s="713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6"/>
        <v>09,25</v>
      </c>
      <c r="L4746" s="527" t="s">
        <v>28</v>
      </c>
      <c r="M4746" s="527">
        <v>6267.4800000000005</v>
      </c>
      <c r="N4746" s="530">
        <v>0.41666666666666669</v>
      </c>
    </row>
    <row r="4747" spans="1:14" ht="19.5" hidden="1" thickBot="1" x14ac:dyDescent="0.3">
      <c r="A4747" s="712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6"/>
        <v>09,25</v>
      </c>
      <c r="L4747" s="649" t="s">
        <v>28</v>
      </c>
      <c r="M4747" s="649">
        <v>5566.2</v>
      </c>
      <c r="N4747" s="653">
        <v>0.41666666666666669</v>
      </c>
    </row>
    <row r="4748" spans="1:14" ht="19.5" hidden="1" thickBot="1" x14ac:dyDescent="0.3">
      <c r="A4748" s="714">
        <f t="shared" si="135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6"/>
        <v>09,25</v>
      </c>
      <c r="L4748" s="535" t="s">
        <v>28</v>
      </c>
      <c r="M4748" s="535">
        <v>7706.4999999999991</v>
      </c>
      <c r="N4748" s="539">
        <v>0.45833333333333331</v>
      </c>
    </row>
    <row r="4749" spans="1:14" ht="19.5" hidden="1" thickBot="1" x14ac:dyDescent="0.3">
      <c r="A4749" s="716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6"/>
        <v>09,25</v>
      </c>
      <c r="L4749" s="567" t="s">
        <v>28</v>
      </c>
      <c r="M4749" s="567">
        <v>3647.5000000000005</v>
      </c>
      <c r="N4749" s="571">
        <v>0.45833333333333331</v>
      </c>
    </row>
    <row r="4750" spans="1:14" ht="19.5" hidden="1" thickBot="1" x14ac:dyDescent="0.3">
      <c r="A4750" s="715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6"/>
        <v>09,25</v>
      </c>
      <c r="L4750" s="640" t="s">
        <v>28</v>
      </c>
      <c r="M4750" s="640">
        <v>6564.9599999999991</v>
      </c>
      <c r="N4750" s="644">
        <v>0.45833333333333331</v>
      </c>
    </row>
    <row r="4751" spans="1:14" ht="27.75" hidden="1" customHeight="1" thickBot="1" x14ac:dyDescent="0.3">
      <c r="A4751" s="711">
        <f t="shared" si="135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720" t="s">
        <v>1043</v>
      </c>
      <c r="H4751" s="483" t="s">
        <v>1041</v>
      </c>
      <c r="I4751" s="484" t="s">
        <v>1041</v>
      </c>
      <c r="J4751" s="485"/>
      <c r="K4751" s="649" t="str">
        <f t="shared" si="136"/>
        <v>09,25</v>
      </c>
      <c r="L4751" s="483" t="s">
        <v>28</v>
      </c>
      <c r="M4751" s="483">
        <v>4910.04</v>
      </c>
      <c r="N4751" s="486">
        <v>0.41666666666666669</v>
      </c>
    </row>
    <row r="4752" spans="1:14" ht="27.75" hidden="1" customHeight="1" thickBot="1" x14ac:dyDescent="0.3">
      <c r="A4752" s="712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721"/>
      <c r="H4752" s="649" t="s">
        <v>1041</v>
      </c>
      <c r="I4752" s="651" t="s">
        <v>1041</v>
      </c>
      <c r="J4752" s="652"/>
      <c r="K4752" s="649" t="str">
        <f t="shared" si="136"/>
        <v>09,25</v>
      </c>
      <c r="L4752" s="649" t="s">
        <v>28</v>
      </c>
      <c r="M4752" s="649">
        <v>5317.079999999999</v>
      </c>
      <c r="N4752" s="653">
        <v>0.41666666666666669</v>
      </c>
    </row>
    <row r="4753" spans="1:14" ht="19.5" hidden="1" thickBot="1" x14ac:dyDescent="0.3">
      <c r="A4753" s="503">
        <f t="shared" si="135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6"/>
        <v>09,25</v>
      </c>
      <c r="L4753" s="508" t="s">
        <v>28</v>
      </c>
      <c r="M4753" s="508">
        <v>11814.839999999998</v>
      </c>
      <c r="N4753" s="512">
        <v>0.45833333333333331</v>
      </c>
    </row>
    <row r="4754" spans="1:14" ht="19.5" hidden="1" thickBot="1" x14ac:dyDescent="0.3">
      <c r="A4754" s="711">
        <f t="shared" si="135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6"/>
        <v>09,25</v>
      </c>
      <c r="L4754" s="483" t="s">
        <v>28</v>
      </c>
      <c r="M4754" s="483">
        <v>8605.1200000000008</v>
      </c>
      <c r="N4754" s="486">
        <v>0.5</v>
      </c>
    </row>
    <row r="4755" spans="1:14" ht="19.5" hidden="1" thickBot="1" x14ac:dyDescent="0.3">
      <c r="A4755" s="712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6"/>
        <v>09,25</v>
      </c>
      <c r="L4755" s="649" t="s">
        <v>28</v>
      </c>
      <c r="M4755" s="649">
        <v>3216</v>
      </c>
      <c r="N4755" s="653">
        <v>0.5</v>
      </c>
    </row>
    <row r="4756" spans="1:14" ht="19.5" hidden="1" thickBot="1" x14ac:dyDescent="0.3">
      <c r="A4756" s="714">
        <f t="shared" si="135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6"/>
        <v>09,25</v>
      </c>
      <c r="L4756" s="535" t="s">
        <v>28</v>
      </c>
      <c r="M4756" s="535">
        <v>7322.8000000000011</v>
      </c>
      <c r="N4756" s="539">
        <v>0.54166666666666663</v>
      </c>
    </row>
    <row r="4757" spans="1:14" ht="19.5" hidden="1" thickBot="1" x14ac:dyDescent="0.3">
      <c r="A4757" s="716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6"/>
        <v>09,25</v>
      </c>
      <c r="L4757" s="594" t="s">
        <v>28</v>
      </c>
      <c r="M4757" s="594">
        <v>5707.2000000000007</v>
      </c>
      <c r="N4757" s="598">
        <v>0.54166666666666663</v>
      </c>
    </row>
    <row r="4758" spans="1:14" ht="19.5" hidden="1" thickBot="1" x14ac:dyDescent="0.3">
      <c r="A4758" s="513">
        <f t="shared" si="135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6"/>
        <v>09,25</v>
      </c>
      <c r="L4758" s="518" t="s">
        <v>266</v>
      </c>
      <c r="M4758" s="518">
        <v>17823.300000000003</v>
      </c>
      <c r="N4758" s="522">
        <v>0.375</v>
      </c>
    </row>
    <row r="4759" spans="1:14" ht="19.5" hidden="1" thickBot="1" x14ac:dyDescent="0.3">
      <c r="A4759" s="503">
        <f t="shared" si="135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6"/>
        <v>09,25</v>
      </c>
      <c r="L4759" s="508" t="s">
        <v>266</v>
      </c>
      <c r="M4759" s="508">
        <v>18005.179999999997</v>
      </c>
      <c r="N4759" s="512">
        <v>0.41666666666666669</v>
      </c>
    </row>
    <row r="4760" spans="1:14" ht="19.5" hidden="1" thickBot="1" x14ac:dyDescent="0.3">
      <c r="A4760" s="513">
        <f t="shared" si="135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6"/>
        <v>09,25</v>
      </c>
      <c r="L4760" s="518" t="s">
        <v>266</v>
      </c>
      <c r="M4760" s="518">
        <v>18016.400000000001</v>
      </c>
      <c r="N4760" s="522">
        <v>0.45833333333333331</v>
      </c>
    </row>
    <row r="4761" spans="1:14" ht="19.5" hidden="1" thickBot="1" x14ac:dyDescent="0.3">
      <c r="A4761" s="714">
        <f t="shared" ref="A4761:A4824" si="137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6"/>
        <v>09,25</v>
      </c>
      <c r="L4761" s="535" t="s">
        <v>266</v>
      </c>
      <c r="M4761" s="535">
        <v>1797.1000000000001</v>
      </c>
      <c r="N4761" s="539">
        <v>0.5</v>
      </c>
    </row>
    <row r="4762" spans="1:14" ht="19.5" hidden="1" thickBot="1" x14ac:dyDescent="0.3">
      <c r="A4762" s="716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6"/>
        <v>09,25</v>
      </c>
      <c r="L4762" s="567" t="s">
        <v>266</v>
      </c>
      <c r="M4762" s="567">
        <v>5328.119999999999</v>
      </c>
      <c r="N4762" s="571">
        <v>0.5</v>
      </c>
    </row>
    <row r="4763" spans="1:14" ht="19.5" hidden="1" thickBot="1" x14ac:dyDescent="0.3">
      <c r="A4763" s="716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6"/>
        <v>09,25</v>
      </c>
      <c r="L4763" s="567" t="s">
        <v>266</v>
      </c>
      <c r="M4763" s="567">
        <v>8908.2499999999982</v>
      </c>
      <c r="N4763" s="571">
        <v>0.5</v>
      </c>
    </row>
    <row r="4764" spans="1:14" ht="19.5" hidden="1" thickBot="1" x14ac:dyDescent="0.3">
      <c r="A4764" s="715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6"/>
        <v>09,25</v>
      </c>
      <c r="L4764" s="640" t="s">
        <v>266</v>
      </c>
      <c r="M4764" s="640">
        <v>1303.02</v>
      </c>
      <c r="N4764" s="644">
        <v>0.5</v>
      </c>
    </row>
    <row r="4765" spans="1:14" ht="19.5" hidden="1" thickBot="1" x14ac:dyDescent="0.3">
      <c r="A4765" s="711">
        <f t="shared" si="137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720" t="s">
        <v>467</v>
      </c>
      <c r="H4765" s="483" t="s">
        <v>1046</v>
      </c>
      <c r="I4765" s="484" t="s">
        <v>1046</v>
      </c>
      <c r="J4765" s="485"/>
      <c r="K4765" s="483" t="str">
        <f t="shared" si="136"/>
        <v>09,25</v>
      </c>
      <c r="L4765" s="483" t="s">
        <v>266</v>
      </c>
      <c r="M4765" s="483">
        <v>4001.92</v>
      </c>
      <c r="N4765" s="486">
        <v>0.54166666666666663</v>
      </c>
    </row>
    <row r="4766" spans="1:14" ht="19.5" hidden="1" thickBot="1" x14ac:dyDescent="0.3">
      <c r="A4766" s="713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722"/>
      <c r="H4766" s="499" t="s">
        <v>1046</v>
      </c>
      <c r="I4766" s="500" t="s">
        <v>1046</v>
      </c>
      <c r="J4766" s="501"/>
      <c r="K4766" s="499" t="str">
        <f t="shared" si="136"/>
        <v>09,25</v>
      </c>
      <c r="L4766" s="499" t="s">
        <v>266</v>
      </c>
      <c r="M4766" s="499">
        <v>3299.4</v>
      </c>
      <c r="N4766" s="502">
        <v>0.54166666666666663</v>
      </c>
    </row>
    <row r="4767" spans="1:14" ht="19.5" hidden="1" thickBot="1" x14ac:dyDescent="0.3">
      <c r="A4767" s="714">
        <f t="shared" si="137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6"/>
        <v>09,25</v>
      </c>
      <c r="L4767" s="535" t="s">
        <v>265</v>
      </c>
      <c r="M4767" s="535">
        <v>11660.760000000002</v>
      </c>
      <c r="N4767" s="539">
        <v>0.375</v>
      </c>
    </row>
    <row r="4768" spans="1:14" ht="19.5" hidden="1" thickBot="1" x14ac:dyDescent="0.3">
      <c r="A4768" s="715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6"/>
        <v>09,25</v>
      </c>
      <c r="L4768" s="640" t="s">
        <v>265</v>
      </c>
      <c r="M4768" s="640">
        <v>5924.3700000000008</v>
      </c>
      <c r="N4768" s="644">
        <v>0.375</v>
      </c>
    </row>
    <row r="4769" spans="1:14" ht="19.5" hidden="1" thickBot="1" x14ac:dyDescent="0.3">
      <c r="A4769" s="513">
        <f t="shared" si="137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6"/>
        <v>09,25</v>
      </c>
      <c r="L4769" s="518" t="s">
        <v>265</v>
      </c>
      <c r="M4769" s="518">
        <v>17630.919999999998</v>
      </c>
      <c r="N4769" s="522">
        <v>0.375</v>
      </c>
    </row>
    <row r="4770" spans="1:14" ht="19.5" hidden="1" thickBot="1" x14ac:dyDescent="0.3">
      <c r="A4770" s="714">
        <f t="shared" si="137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6"/>
        <v>09,25</v>
      </c>
      <c r="L4770" s="535" t="s">
        <v>28</v>
      </c>
      <c r="M4770" s="535">
        <v>1389.0000000000002</v>
      </c>
      <c r="N4770" s="539">
        <v>0.41666666666666669</v>
      </c>
    </row>
    <row r="4771" spans="1:14" ht="19.5" hidden="1" thickBot="1" x14ac:dyDescent="0.3">
      <c r="A4771" s="715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6"/>
        <v>09,25</v>
      </c>
      <c r="L4771" s="640" t="s">
        <v>28</v>
      </c>
      <c r="M4771" s="640">
        <v>15837.669999999998</v>
      </c>
      <c r="N4771" s="644">
        <v>0.41666666666666669</v>
      </c>
    </row>
    <row r="4772" spans="1:14" ht="19.5" hidden="1" thickBot="1" x14ac:dyDescent="0.3">
      <c r="A4772" s="711">
        <f t="shared" si="137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6"/>
        <v>09,25</v>
      </c>
      <c r="L4772" s="483" t="s">
        <v>28</v>
      </c>
      <c r="M4772" s="483">
        <v>5844.2400000000007</v>
      </c>
      <c r="N4772" s="486">
        <v>0.45833333333333331</v>
      </c>
    </row>
    <row r="4773" spans="1:14" ht="19.5" hidden="1" thickBot="1" x14ac:dyDescent="0.3">
      <c r="A4773" s="712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6"/>
        <v>09,25</v>
      </c>
      <c r="L4773" s="649" t="s">
        <v>28</v>
      </c>
      <c r="M4773" s="649">
        <v>11535.18</v>
      </c>
      <c r="N4773" s="653">
        <v>0.45833333333333331</v>
      </c>
    </row>
    <row r="4774" spans="1:14" ht="19.5" hidden="1" thickBot="1" x14ac:dyDescent="0.3">
      <c r="A4774" s="714">
        <f t="shared" si="137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6"/>
        <v>09,25</v>
      </c>
      <c r="L4774" s="535" t="s">
        <v>28</v>
      </c>
      <c r="M4774" s="535">
        <v>10078.86</v>
      </c>
      <c r="N4774" s="539">
        <v>0.5</v>
      </c>
    </row>
    <row r="4775" spans="1:14" ht="19.5" hidden="1" thickBot="1" x14ac:dyDescent="0.3">
      <c r="A4775" s="715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6"/>
        <v>09,25</v>
      </c>
      <c r="L4775" s="640" t="s">
        <v>28</v>
      </c>
      <c r="M4775" s="640">
        <v>7207.4999999999991</v>
      </c>
      <c r="N4775" s="644">
        <v>0.5</v>
      </c>
    </row>
    <row r="4776" spans="1:14" ht="28.5" hidden="1" customHeight="1" x14ac:dyDescent="0.25">
      <c r="A4776" s="711">
        <f t="shared" si="137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720" t="s">
        <v>1050</v>
      </c>
      <c r="H4776" s="483" t="s">
        <v>1049</v>
      </c>
      <c r="I4776" s="484" t="s">
        <v>1049</v>
      </c>
      <c r="J4776" s="485"/>
      <c r="K4776" s="483" t="str">
        <f t="shared" si="136"/>
        <v>09,25</v>
      </c>
      <c r="L4776" s="483" t="s">
        <v>28</v>
      </c>
      <c r="M4776" s="483">
        <v>2403.7799999999997</v>
      </c>
      <c r="N4776" s="486">
        <v>0.54166666666666663</v>
      </c>
    </row>
    <row r="4777" spans="1:14" ht="28.5" hidden="1" customHeight="1" thickBot="1" x14ac:dyDescent="0.3">
      <c r="A4777" s="712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721"/>
      <c r="H4777" s="649" t="s">
        <v>1049</v>
      </c>
      <c r="I4777" s="651" t="s">
        <v>1049</v>
      </c>
      <c r="J4777" s="652"/>
      <c r="K4777" s="649" t="str">
        <f t="shared" si="136"/>
        <v>09,25</v>
      </c>
      <c r="L4777" s="649" t="s">
        <v>28</v>
      </c>
      <c r="M4777" s="649">
        <v>10963.33</v>
      </c>
      <c r="N4777" s="653">
        <v>0.54166666666666663</v>
      </c>
    </row>
    <row r="4778" spans="1:14" ht="19.5" hidden="1" thickBot="1" x14ac:dyDescent="0.3">
      <c r="A4778" s="503">
        <f t="shared" si="137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6"/>
        <v>09,25</v>
      </c>
      <c r="L4778" s="508" t="s">
        <v>265</v>
      </c>
      <c r="M4778" s="508">
        <v>12126.04</v>
      </c>
      <c r="N4778" s="512">
        <v>0.375</v>
      </c>
    </row>
    <row r="4779" spans="1:14" ht="19.5" hidden="1" thickBot="1" x14ac:dyDescent="0.3">
      <c r="A4779" s="513">
        <f t="shared" si="137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6"/>
        <v>09,25</v>
      </c>
      <c r="L4779" s="518" t="s">
        <v>266</v>
      </c>
      <c r="M4779" s="518">
        <v>9741.2000000000007</v>
      </c>
      <c r="N4779" s="522">
        <v>0.41666666666666669</v>
      </c>
    </row>
    <row r="4780" spans="1:14" ht="19.5" hidden="1" thickBot="1" x14ac:dyDescent="0.3">
      <c r="A4780" s="503">
        <f t="shared" si="137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6"/>
        <v>09,25</v>
      </c>
      <c r="L4780" s="508" t="s">
        <v>265</v>
      </c>
      <c r="M4780" s="508">
        <v>17470.25</v>
      </c>
      <c r="N4780" s="512">
        <v>0.375</v>
      </c>
    </row>
    <row r="4781" spans="1:14" ht="19.5" hidden="1" thickBot="1" x14ac:dyDescent="0.3">
      <c r="A4781" s="572">
        <f t="shared" si="137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6"/>
        <v>09,25</v>
      </c>
      <c r="L4781" s="577" t="s">
        <v>265</v>
      </c>
      <c r="M4781" s="577">
        <v>12584.960000000001</v>
      </c>
      <c r="N4781" s="581">
        <v>0.375</v>
      </c>
    </row>
    <row r="4782" spans="1:14" ht="19.5" hidden="1" thickBot="1" x14ac:dyDescent="0.3">
      <c r="A4782" s="503">
        <f t="shared" si="137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6"/>
        <v>09,25</v>
      </c>
      <c r="L4782" s="508" t="s">
        <v>28</v>
      </c>
      <c r="M4782" s="508">
        <v>9184.7999999999993</v>
      </c>
      <c r="N4782" s="512">
        <v>0.41666666666666669</v>
      </c>
    </row>
    <row r="4783" spans="1:14" ht="19.5" hidden="1" thickBot="1" x14ac:dyDescent="0.3">
      <c r="A4783" s="513">
        <f t="shared" si="137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6"/>
        <v>09,25</v>
      </c>
      <c r="L4783" s="518" t="s">
        <v>266</v>
      </c>
      <c r="M4783" s="518">
        <v>17970</v>
      </c>
      <c r="N4783" s="522">
        <v>0.41666666666666669</v>
      </c>
    </row>
    <row r="4784" spans="1:14" ht="19.5" hidden="1" thickBot="1" x14ac:dyDescent="0.3">
      <c r="A4784" s="503">
        <f t="shared" si="137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6"/>
        <v>09,25</v>
      </c>
      <c r="L4784" s="508" t="s">
        <v>265</v>
      </c>
      <c r="M4784" s="508">
        <v>17536.719999999998</v>
      </c>
      <c r="N4784" s="512">
        <v>0.375</v>
      </c>
    </row>
    <row r="4785" spans="1:14" ht="19.5" hidden="1" thickBot="1" x14ac:dyDescent="0.3">
      <c r="A4785" s="711">
        <f t="shared" si="137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6"/>
        <v>09,25</v>
      </c>
      <c r="L4785" s="483" t="s">
        <v>28</v>
      </c>
      <c r="M4785" s="483">
        <v>2418.5099999999998</v>
      </c>
      <c r="N4785" s="486">
        <v>0.41666666666666669</v>
      </c>
    </row>
    <row r="4786" spans="1:14" ht="19.5" hidden="1" thickBot="1" x14ac:dyDescent="0.3">
      <c r="A4786" s="713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6"/>
        <v>09,25</v>
      </c>
      <c r="L4786" s="527" t="s">
        <v>28</v>
      </c>
      <c r="M4786" s="527">
        <v>9171.0899999999983</v>
      </c>
      <c r="N4786" s="530">
        <v>0.41666666666666669</v>
      </c>
    </row>
    <row r="4787" spans="1:14" ht="19.5" hidden="1" thickBot="1" x14ac:dyDescent="0.3">
      <c r="A4787" s="712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6"/>
        <v>09,25</v>
      </c>
      <c r="L4787" s="649" t="s">
        <v>28</v>
      </c>
      <c r="M4787" s="649">
        <v>6041.7</v>
      </c>
      <c r="N4787" s="653">
        <v>0.41666666666666669</v>
      </c>
    </row>
    <row r="4788" spans="1:14" ht="19.5" hidden="1" thickBot="1" x14ac:dyDescent="0.3">
      <c r="A4788" s="714">
        <f t="shared" si="137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6"/>
        <v>09,25</v>
      </c>
      <c r="L4788" s="535" t="s">
        <v>266</v>
      </c>
      <c r="M4788" s="535">
        <v>4051.7200000000003</v>
      </c>
      <c r="N4788" s="539">
        <v>0.45833333333333331</v>
      </c>
    </row>
    <row r="4789" spans="1:14" ht="19.5" hidden="1" thickBot="1" x14ac:dyDescent="0.3">
      <c r="A4789" s="716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6"/>
        <v>09,25</v>
      </c>
      <c r="L4789" s="567" t="s">
        <v>28</v>
      </c>
      <c r="M4789" s="567">
        <v>10361.009999999998</v>
      </c>
      <c r="N4789" s="571">
        <v>0.45833333333333331</v>
      </c>
    </row>
    <row r="4790" spans="1:14" ht="19.5" hidden="1" thickBot="1" x14ac:dyDescent="0.3">
      <c r="A4790" s="715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6"/>
        <v>09,25</v>
      </c>
      <c r="L4790" s="640" t="s">
        <v>28</v>
      </c>
      <c r="M4790" s="640">
        <v>3105.2200000000003</v>
      </c>
      <c r="N4790" s="644">
        <v>0.45833333333333331</v>
      </c>
    </row>
    <row r="4791" spans="1:14" ht="60" hidden="1" customHeight="1" thickBot="1" x14ac:dyDescent="0.3">
      <c r="A4791" s="513">
        <f t="shared" si="137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6"/>
        <v>09,25</v>
      </c>
      <c r="L4791" s="518" t="s">
        <v>28</v>
      </c>
      <c r="M4791" s="518">
        <v>8547.84</v>
      </c>
      <c r="N4791" s="522">
        <v>0.375</v>
      </c>
    </row>
    <row r="4792" spans="1:14" ht="33" hidden="1" customHeight="1" x14ac:dyDescent="0.25">
      <c r="A4792" s="714">
        <f t="shared" si="137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717" t="s">
        <v>1054</v>
      </c>
      <c r="H4792" s="535" t="s">
        <v>1052</v>
      </c>
      <c r="I4792" s="537" t="s">
        <v>1055</v>
      </c>
      <c r="J4792" s="538"/>
      <c r="K4792" s="535" t="str">
        <f t="shared" si="136"/>
        <v>09,25</v>
      </c>
      <c r="L4792" s="535" t="s">
        <v>28</v>
      </c>
      <c r="M4792" s="535">
        <v>7059.88</v>
      </c>
      <c r="N4792" s="539">
        <v>0.41666666666666669</v>
      </c>
    </row>
    <row r="4793" spans="1:14" ht="33" hidden="1" customHeight="1" thickBot="1" x14ac:dyDescent="0.3">
      <c r="A4793" s="715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718"/>
      <c r="H4793" s="640" t="s">
        <v>1052</v>
      </c>
      <c r="I4793" s="642" t="s">
        <v>1055</v>
      </c>
      <c r="J4793" s="643"/>
      <c r="K4793" s="640" t="str">
        <f t="shared" si="136"/>
        <v>09,25</v>
      </c>
      <c r="L4793" s="640" t="s">
        <v>28</v>
      </c>
      <c r="M4793" s="640">
        <v>3640.8</v>
      </c>
      <c r="N4793" s="644">
        <v>0.41666666666666669</v>
      </c>
    </row>
    <row r="4794" spans="1:14" ht="19.5" hidden="1" thickBot="1" x14ac:dyDescent="0.3">
      <c r="A4794" s="711">
        <f t="shared" si="137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6"/>
        <v>09,25</v>
      </c>
      <c r="L4794" s="483" t="s">
        <v>28</v>
      </c>
      <c r="M4794" s="483">
        <v>6644</v>
      </c>
      <c r="N4794" s="486">
        <v>0.45833333333333331</v>
      </c>
    </row>
    <row r="4795" spans="1:14" ht="19.5" hidden="1" thickBot="1" x14ac:dyDescent="0.3">
      <c r="A4795" s="712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6"/>
        <v>09,25</v>
      </c>
      <c r="L4795" s="649" t="s">
        <v>28</v>
      </c>
      <c r="M4795" s="649">
        <v>5949.04</v>
      </c>
      <c r="N4795" s="653">
        <v>0.45833333333333331</v>
      </c>
    </row>
    <row r="4796" spans="1:14" ht="19.5" hidden="1" thickBot="1" x14ac:dyDescent="0.3">
      <c r="A4796" s="503">
        <f t="shared" si="137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6"/>
        <v>09,25</v>
      </c>
      <c r="L4796" s="508" t="s">
        <v>265</v>
      </c>
      <c r="M4796" s="508">
        <v>17544.96</v>
      </c>
      <c r="N4796" s="512">
        <v>0.375</v>
      </c>
    </row>
    <row r="4797" spans="1:14" ht="19.5" hidden="1" thickBot="1" x14ac:dyDescent="0.3">
      <c r="A4797" s="572">
        <f t="shared" si="137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6"/>
        <v>09,25</v>
      </c>
      <c r="L4797" s="577" t="s">
        <v>266</v>
      </c>
      <c r="M4797" s="577">
        <v>14443.2</v>
      </c>
      <c r="N4797" s="581">
        <v>0.5</v>
      </c>
    </row>
    <row r="4798" spans="1:14" ht="19.5" hidden="1" thickBot="1" x14ac:dyDescent="0.3">
      <c r="A4798" s="503">
        <f t="shared" si="137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6"/>
        <v>09,25</v>
      </c>
      <c r="L4798" s="508" t="s">
        <v>266</v>
      </c>
      <c r="M4798" s="508">
        <v>17858.82</v>
      </c>
      <c r="N4798" s="512">
        <v>0.41666666666666669</v>
      </c>
    </row>
    <row r="4799" spans="1:14" ht="19.5" hidden="1" thickBot="1" x14ac:dyDescent="0.3">
      <c r="A4799" s="711">
        <f t="shared" si="137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6"/>
        <v>09,25</v>
      </c>
      <c r="L4799" s="483" t="s">
        <v>266</v>
      </c>
      <c r="M4799" s="483">
        <v>9976.52</v>
      </c>
      <c r="N4799" s="486">
        <v>0.5</v>
      </c>
    </row>
    <row r="4800" spans="1:14" ht="19.5" hidden="1" thickBot="1" x14ac:dyDescent="0.3">
      <c r="A4800" s="713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6"/>
        <v>09,25</v>
      </c>
      <c r="L4800" s="499" t="s">
        <v>266</v>
      </c>
      <c r="M4800" s="499">
        <v>3072.1000000000004</v>
      </c>
      <c r="N4800" s="502">
        <v>0.5</v>
      </c>
    </row>
    <row r="4801" spans="1:14" ht="38.25" hidden="1" thickBot="1" x14ac:dyDescent="0.3">
      <c r="A4801" s="503">
        <f t="shared" si="137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6"/>
        <v>09,25</v>
      </c>
      <c r="L4801" s="508" t="s">
        <v>266</v>
      </c>
      <c r="M4801" s="508">
        <v>14779.380000000001</v>
      </c>
      <c r="N4801" s="512">
        <v>0.375</v>
      </c>
    </row>
    <row r="4802" spans="1:14" ht="38.25" hidden="1" thickBot="1" x14ac:dyDescent="0.3">
      <c r="A4802" s="513">
        <f t="shared" si="137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6"/>
        <v>09,25</v>
      </c>
      <c r="L4802" s="518" t="s">
        <v>266</v>
      </c>
      <c r="M4802" s="518">
        <v>15027.720000000001</v>
      </c>
      <c r="N4802" s="522">
        <v>0.39583333333333331</v>
      </c>
    </row>
    <row r="4803" spans="1:14" ht="19.5" hidden="1" thickBot="1" x14ac:dyDescent="0.3">
      <c r="A4803" s="503">
        <f t="shared" si="137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6"/>
        <v>09,25</v>
      </c>
      <c r="L4803" s="508" t="s">
        <v>266</v>
      </c>
      <c r="M4803" s="508">
        <v>18265.919999999998</v>
      </c>
      <c r="N4803" s="512">
        <v>0.41666666666666669</v>
      </c>
    </row>
    <row r="4804" spans="1:14" ht="19.5" hidden="1" thickBot="1" x14ac:dyDescent="0.3">
      <c r="A4804" s="513">
        <f t="shared" si="137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6"/>
        <v>09,25</v>
      </c>
      <c r="L4804" s="518" t="s">
        <v>266</v>
      </c>
      <c r="M4804" s="518">
        <v>18099.2</v>
      </c>
      <c r="N4804" s="522">
        <v>0.45833333333333331</v>
      </c>
    </row>
    <row r="4805" spans="1:14" ht="19.5" hidden="1" thickBot="1" x14ac:dyDescent="0.3">
      <c r="A4805" s="503">
        <f t="shared" si="137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6"/>
        <v>09,25</v>
      </c>
      <c r="L4805" s="508" t="s">
        <v>266</v>
      </c>
      <c r="M4805" s="508">
        <v>18101.399999999998</v>
      </c>
      <c r="N4805" s="512">
        <v>0.5</v>
      </c>
    </row>
    <row r="4806" spans="1:14" ht="19.5" hidden="1" thickBot="1" x14ac:dyDescent="0.3">
      <c r="A4806" s="711">
        <f t="shared" si="137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6"/>
        <v>09,25</v>
      </c>
      <c r="L4806" s="483" t="s">
        <v>266</v>
      </c>
      <c r="M4806" s="483">
        <v>594.61999999999989</v>
      </c>
      <c r="N4806" s="486">
        <v>0.54166666666666663</v>
      </c>
    </row>
    <row r="4807" spans="1:14" ht="19.5" hidden="1" thickBot="1" x14ac:dyDescent="0.3">
      <c r="A4807" s="712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6"/>
        <v>09,25</v>
      </c>
      <c r="L4807" s="649" t="s">
        <v>266</v>
      </c>
      <c r="M4807" s="649">
        <v>16651.39</v>
      </c>
      <c r="N4807" s="653">
        <v>0.54166666666666663</v>
      </c>
    </row>
    <row r="4808" spans="1:14" ht="19.5" hidden="1" thickBot="1" x14ac:dyDescent="0.3">
      <c r="A4808" s="714">
        <f t="shared" si="137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6"/>
        <v>09,25</v>
      </c>
      <c r="L4808" s="535" t="s">
        <v>266</v>
      </c>
      <c r="M4808" s="535">
        <v>7830.2200000000012</v>
      </c>
      <c r="N4808" s="539">
        <v>0.58333333333333337</v>
      </c>
    </row>
    <row r="4809" spans="1:14" ht="19.5" hidden="1" thickBot="1" x14ac:dyDescent="0.3">
      <c r="A4809" s="716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6"/>
        <v>09,25</v>
      </c>
      <c r="L4809" s="567" t="s">
        <v>266</v>
      </c>
      <c r="M4809" s="567">
        <v>3692.7</v>
      </c>
      <c r="N4809" s="571">
        <v>0.58333333333333337</v>
      </c>
    </row>
    <row r="4810" spans="1:14" ht="19.5" hidden="1" thickBot="1" x14ac:dyDescent="0.3">
      <c r="A4810" s="716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6"/>
        <v>09,25</v>
      </c>
      <c r="L4810" s="567" t="s">
        <v>266</v>
      </c>
      <c r="M4810" s="567">
        <v>5091.66</v>
      </c>
      <c r="N4810" s="571">
        <v>0.58333333333333337</v>
      </c>
    </row>
    <row r="4811" spans="1:14" ht="19.5" hidden="1" thickBot="1" x14ac:dyDescent="0.3">
      <c r="A4811" s="716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6"/>
        <v>09,25</v>
      </c>
      <c r="L4811" s="594" t="s">
        <v>266</v>
      </c>
      <c r="M4811" s="594">
        <v>1006.1999999999999</v>
      </c>
      <c r="N4811" s="598">
        <v>0.58333333333333337</v>
      </c>
    </row>
    <row r="4812" spans="1:14" ht="19.5" hidden="1" thickBot="1" x14ac:dyDescent="0.3">
      <c r="A4812" s="711">
        <f t="shared" si="137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6"/>
        <v>09,25</v>
      </c>
      <c r="L4812" s="483" t="s">
        <v>265</v>
      </c>
      <c r="M4812" s="483">
        <v>13108.020000000002</v>
      </c>
      <c r="N4812" s="486">
        <v>0.375</v>
      </c>
    </row>
    <row r="4813" spans="1:14" ht="19.5" hidden="1" thickBot="1" x14ac:dyDescent="0.3">
      <c r="A4813" s="712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6"/>
        <v>09,25</v>
      </c>
      <c r="L4813" s="649" t="s">
        <v>265</v>
      </c>
      <c r="M4813" s="649">
        <v>4114.26</v>
      </c>
      <c r="N4813" s="653">
        <v>0.375</v>
      </c>
    </row>
    <row r="4814" spans="1:14" ht="19.5" hidden="1" thickBot="1" x14ac:dyDescent="0.3">
      <c r="A4814" s="503">
        <f t="shared" si="137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6"/>
        <v>09,25</v>
      </c>
      <c r="L4814" s="508" t="s">
        <v>266</v>
      </c>
      <c r="M4814" s="508">
        <v>18091.980000000003</v>
      </c>
      <c r="N4814" s="512">
        <v>0.41666666666666669</v>
      </c>
    </row>
    <row r="4815" spans="1:14" ht="19.5" hidden="1" thickBot="1" x14ac:dyDescent="0.3">
      <c r="A4815" s="513">
        <f t="shared" si="137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6"/>
        <v>09,25</v>
      </c>
      <c r="L4815" s="518" t="s">
        <v>265</v>
      </c>
      <c r="M4815" s="518">
        <v>17646.160000000003</v>
      </c>
      <c r="N4815" s="522">
        <v>0.375</v>
      </c>
    </row>
    <row r="4816" spans="1:14" ht="19.5" hidden="1" thickBot="1" x14ac:dyDescent="0.3">
      <c r="A4816" s="714">
        <f t="shared" si="137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6"/>
        <v>09,25</v>
      </c>
      <c r="L4816" s="535" t="s">
        <v>28</v>
      </c>
      <c r="M4816" s="535">
        <v>1734.84</v>
      </c>
      <c r="N4816" s="539">
        <v>0.41666666666666669</v>
      </c>
    </row>
    <row r="4817" spans="1:14" ht="19.5" hidden="1" thickBot="1" x14ac:dyDescent="0.3">
      <c r="A4817" s="715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6"/>
        <v>09,25</v>
      </c>
      <c r="L4817" s="640" t="s">
        <v>28</v>
      </c>
      <c r="M4817" s="640">
        <v>15871.61</v>
      </c>
      <c r="N4817" s="644">
        <v>0.41666666666666669</v>
      </c>
    </row>
    <row r="4818" spans="1:14" ht="19.5" hidden="1" thickBot="1" x14ac:dyDescent="0.3">
      <c r="A4818" s="711">
        <f t="shared" si="137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6"/>
        <v>09,25</v>
      </c>
      <c r="L4818" s="483" t="s">
        <v>28</v>
      </c>
      <c r="M4818" s="483">
        <v>2824.68</v>
      </c>
      <c r="N4818" s="486">
        <v>0.45833333333333331</v>
      </c>
    </row>
    <row r="4819" spans="1:14" ht="19.5" hidden="1" thickBot="1" x14ac:dyDescent="0.3">
      <c r="A4819" s="712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6"/>
        <v>09,25</v>
      </c>
      <c r="L4819" s="649" t="s">
        <v>28</v>
      </c>
      <c r="M4819" s="649">
        <v>14781.06</v>
      </c>
      <c r="N4819" s="653">
        <v>0.45833333333333331</v>
      </c>
    </row>
    <row r="4820" spans="1:14" ht="19.5" hidden="1" thickBot="1" x14ac:dyDescent="0.3">
      <c r="A4820" s="714">
        <f t="shared" si="137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717" t="s">
        <v>1060</v>
      </c>
      <c r="H4820" s="535" t="s">
        <v>1059</v>
      </c>
      <c r="I4820" s="537" t="s">
        <v>1059</v>
      </c>
      <c r="J4820" s="538"/>
      <c r="K4820" s="535" t="str">
        <f t="shared" si="136"/>
        <v>09,25</v>
      </c>
      <c r="L4820" s="535" t="s">
        <v>28</v>
      </c>
      <c r="M4820" s="535">
        <v>4348.18</v>
      </c>
      <c r="N4820" s="539">
        <v>0.5</v>
      </c>
    </row>
    <row r="4821" spans="1:14" ht="19.5" hidden="1" thickBot="1" x14ac:dyDescent="0.3">
      <c r="A4821" s="716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719"/>
      <c r="H4821" s="567" t="s">
        <v>1059</v>
      </c>
      <c r="I4821" s="569" t="s">
        <v>1059</v>
      </c>
      <c r="J4821" s="570" t="s">
        <v>986</v>
      </c>
      <c r="K4821" s="567" t="str">
        <f t="shared" si="136"/>
        <v>09,25</v>
      </c>
      <c r="L4821" s="567" t="s">
        <v>28</v>
      </c>
      <c r="M4821" s="567">
        <v>3332.7400000000007</v>
      </c>
      <c r="N4821" s="571">
        <v>0.5</v>
      </c>
    </row>
    <row r="4822" spans="1:14" ht="19.5" hidden="1" thickBot="1" x14ac:dyDescent="0.3">
      <c r="A4822" s="715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718"/>
      <c r="H4822" s="640" t="s">
        <v>1059</v>
      </c>
      <c r="I4822" s="642" t="s">
        <v>1059</v>
      </c>
      <c r="J4822" s="643"/>
      <c r="K4822" s="640" t="str">
        <f t="shared" si="136"/>
        <v>09,25</v>
      </c>
      <c r="L4822" s="640" t="s">
        <v>28</v>
      </c>
      <c r="M4822" s="640">
        <v>6994.6799999999994</v>
      </c>
      <c r="N4822" s="644">
        <v>0.5</v>
      </c>
    </row>
    <row r="4823" spans="1:14" ht="19.5" hidden="1" thickBot="1" x14ac:dyDescent="0.3">
      <c r="A4823" s="513">
        <f t="shared" si="137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6"/>
        <v>09,25</v>
      </c>
      <c r="L4823" s="518" t="s">
        <v>265</v>
      </c>
      <c r="M4823" s="518">
        <v>12038.400000000001</v>
      </c>
      <c r="N4823" s="522">
        <v>0.375</v>
      </c>
    </row>
    <row r="4824" spans="1:14" ht="19.5" hidden="1" thickBot="1" x14ac:dyDescent="0.3">
      <c r="A4824" s="551">
        <f t="shared" si="137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6"/>
        <v>09,25</v>
      </c>
      <c r="L4824" s="556" t="s">
        <v>28</v>
      </c>
      <c r="M4824" s="556">
        <v>9916.8000000000011</v>
      </c>
      <c r="N4824" s="560">
        <v>0.5</v>
      </c>
    </row>
    <row r="4825" spans="1:14" ht="19.5" hidden="1" thickBot="1" x14ac:dyDescent="0.3">
      <c r="A4825" s="711">
        <f t="shared" ref="A4825:A4887" si="138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6"/>
        <v>09,25</v>
      </c>
      <c r="L4825" s="483" t="s">
        <v>28</v>
      </c>
      <c r="M4825" s="483">
        <v>15915.400000000001</v>
      </c>
      <c r="N4825" s="486">
        <v>0.54166666666666663</v>
      </c>
    </row>
    <row r="4826" spans="1:14" ht="57" hidden="1" thickBot="1" x14ac:dyDescent="0.3">
      <c r="A4826" s="712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6"/>
        <v>09,25</v>
      </c>
      <c r="L4826" s="649" t="s">
        <v>28</v>
      </c>
      <c r="M4826" s="649">
        <v>1400.1599999999999</v>
      </c>
      <c r="N4826" s="653">
        <v>0.54166666666666663</v>
      </c>
    </row>
    <row r="4827" spans="1:14" ht="19.5" hidden="1" thickBot="1" x14ac:dyDescent="0.3">
      <c r="A4827" s="503">
        <f t="shared" si="138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6"/>
        <v>09,25</v>
      </c>
      <c r="L4827" s="508" t="s">
        <v>265</v>
      </c>
      <c r="M4827" s="508">
        <v>17513.120000000003</v>
      </c>
      <c r="N4827" s="512">
        <v>0.375</v>
      </c>
    </row>
    <row r="4828" spans="1:14" ht="19.5" hidden="1" thickBot="1" x14ac:dyDescent="0.3">
      <c r="A4828" s="572">
        <f t="shared" si="138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6"/>
        <v>09,25</v>
      </c>
      <c r="L4828" s="577" t="s">
        <v>265</v>
      </c>
      <c r="M4828" s="577">
        <v>12459.160000000002</v>
      </c>
      <c r="N4828" s="581">
        <v>0.375</v>
      </c>
    </row>
    <row r="4829" spans="1:14" ht="19.5" hidden="1" thickBot="1" x14ac:dyDescent="0.3">
      <c r="A4829" s="503">
        <f t="shared" si="138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6"/>
        <v>09,25</v>
      </c>
      <c r="L4829" s="508" t="s">
        <v>28</v>
      </c>
      <c r="M4829" s="508">
        <v>9752.8799999999992</v>
      </c>
      <c r="N4829" s="512">
        <v>0.41666666666666669</v>
      </c>
    </row>
    <row r="4830" spans="1:14" ht="19.5" hidden="1" thickBot="1" x14ac:dyDescent="0.3">
      <c r="A4830" s="711">
        <f t="shared" si="138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720" t="s">
        <v>72</v>
      </c>
      <c r="H4830" s="483" t="s">
        <v>1062</v>
      </c>
      <c r="I4830" s="484" t="s">
        <v>1062</v>
      </c>
      <c r="J4830" s="485"/>
      <c r="K4830" s="483" t="str">
        <f t="shared" si="136"/>
        <v>09,25</v>
      </c>
      <c r="L4830" s="483" t="s">
        <v>265</v>
      </c>
      <c r="M4830" s="483">
        <v>8216.9600000000009</v>
      </c>
      <c r="N4830" s="486">
        <v>0.375</v>
      </c>
    </row>
    <row r="4831" spans="1:14" ht="19.5" hidden="1" thickBot="1" x14ac:dyDescent="0.3">
      <c r="A4831" s="712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721"/>
      <c r="H4831" s="649" t="s">
        <v>1062</v>
      </c>
      <c r="I4831" s="651" t="s">
        <v>1062</v>
      </c>
      <c r="J4831" s="652"/>
      <c r="K4831" s="649" t="str">
        <f t="shared" si="136"/>
        <v>09,25</v>
      </c>
      <c r="L4831" s="649" t="s">
        <v>265</v>
      </c>
      <c r="M4831" s="649">
        <v>5790.78</v>
      </c>
      <c r="N4831" s="653">
        <v>0.375</v>
      </c>
    </row>
    <row r="4832" spans="1:14" ht="19.5" hidden="1" thickBot="1" x14ac:dyDescent="0.3">
      <c r="A4832" s="714">
        <f t="shared" si="138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6"/>
        <v>09,25</v>
      </c>
      <c r="L4832" s="535" t="s">
        <v>28</v>
      </c>
      <c r="M4832" s="535">
        <v>9517.57</v>
      </c>
      <c r="N4832" s="539">
        <v>0.41666666666666669</v>
      </c>
    </row>
    <row r="4833" spans="1:14" ht="19.5" hidden="1" thickBot="1" x14ac:dyDescent="0.3">
      <c r="A4833" s="715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6"/>
        <v>09,25</v>
      </c>
      <c r="L4833" s="640" t="s">
        <v>28</v>
      </c>
      <c r="M4833" s="640">
        <v>7823.88</v>
      </c>
      <c r="N4833" s="644">
        <v>0.41666666666666669</v>
      </c>
    </row>
    <row r="4834" spans="1:14" ht="19.5" hidden="1" thickBot="1" x14ac:dyDescent="0.3">
      <c r="A4834" s="711">
        <f t="shared" si="138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6"/>
        <v>09,25</v>
      </c>
      <c r="L4834" s="483" t="s">
        <v>266</v>
      </c>
      <c r="M4834" s="483">
        <v>3760.8199999999997</v>
      </c>
      <c r="N4834" s="486">
        <v>0.45833333333333331</v>
      </c>
    </row>
    <row r="4835" spans="1:14" ht="19.5" hidden="1" thickBot="1" x14ac:dyDescent="0.3">
      <c r="A4835" s="713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6"/>
        <v>09,25</v>
      </c>
      <c r="L4835" s="527" t="s">
        <v>28</v>
      </c>
      <c r="M4835" s="527">
        <v>3769.1099999999997</v>
      </c>
      <c r="N4835" s="530">
        <v>0.45833333333333331</v>
      </c>
    </row>
    <row r="4836" spans="1:14" ht="19.5" hidden="1" thickBot="1" x14ac:dyDescent="0.3">
      <c r="A4836" s="713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6"/>
        <v>09,25</v>
      </c>
      <c r="L4836" s="527" t="s">
        <v>28</v>
      </c>
      <c r="M4836" s="527">
        <v>4958.6400000000003</v>
      </c>
      <c r="N4836" s="530">
        <v>0.45833333333333331</v>
      </c>
    </row>
    <row r="4837" spans="1:14" ht="19.5" hidden="1" thickBot="1" x14ac:dyDescent="0.3">
      <c r="A4837" s="712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6"/>
        <v>09,25</v>
      </c>
      <c r="L4837" s="649" t="s">
        <v>28</v>
      </c>
      <c r="M4837" s="649">
        <v>4967</v>
      </c>
      <c r="N4837" s="653">
        <v>0.45833333333333331</v>
      </c>
    </row>
    <row r="4838" spans="1:14" ht="29.25" hidden="1" customHeight="1" x14ac:dyDescent="0.25">
      <c r="A4838" s="714">
        <f t="shared" si="138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717" t="s">
        <v>1063</v>
      </c>
      <c r="H4838" s="535" t="s">
        <v>1062</v>
      </c>
      <c r="I4838" s="537" t="s">
        <v>1064</v>
      </c>
      <c r="J4838" s="538"/>
      <c r="K4838" s="535" t="str">
        <f t="shared" si="136"/>
        <v>09,25</v>
      </c>
      <c r="L4838" s="535" t="s">
        <v>28</v>
      </c>
      <c r="M4838" s="535">
        <v>10921.36</v>
      </c>
      <c r="N4838" s="539">
        <v>0.5</v>
      </c>
    </row>
    <row r="4839" spans="1:14" ht="29.25" hidden="1" customHeight="1" thickBot="1" x14ac:dyDescent="0.3">
      <c r="A4839" s="715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718"/>
      <c r="H4839" s="640" t="s">
        <v>1062</v>
      </c>
      <c r="I4839" s="642" t="s">
        <v>1064</v>
      </c>
      <c r="J4839" s="643"/>
      <c r="K4839" s="640" t="str">
        <f t="shared" si="136"/>
        <v>09,25</v>
      </c>
      <c r="L4839" s="640" t="s">
        <v>28</v>
      </c>
      <c r="M4839" s="640">
        <v>2670.6600000000003</v>
      </c>
      <c r="N4839" s="644">
        <v>0.5</v>
      </c>
    </row>
    <row r="4840" spans="1:14" ht="19.5" hidden="1" thickBot="1" x14ac:dyDescent="0.3">
      <c r="A4840" s="711">
        <f t="shared" si="138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6"/>
        <v>09,25</v>
      </c>
      <c r="L4840" s="483" t="s">
        <v>265</v>
      </c>
      <c r="M4840" s="483">
        <v>15173.48</v>
      </c>
      <c r="N4840" s="486">
        <v>0.375</v>
      </c>
    </row>
    <row r="4841" spans="1:14" ht="19.5" hidden="1" thickBot="1" x14ac:dyDescent="0.3">
      <c r="A4841" s="712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6"/>
        <v>09,25</v>
      </c>
      <c r="L4841" s="649" t="s">
        <v>266</v>
      </c>
      <c r="M4841" s="649">
        <v>2483.2200000000003</v>
      </c>
      <c r="N4841" s="653">
        <v>0.375</v>
      </c>
    </row>
    <row r="4842" spans="1:14" ht="19.5" hidden="1" thickBot="1" x14ac:dyDescent="0.3">
      <c r="A4842" s="714">
        <f t="shared" si="138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6"/>
        <v>09,25</v>
      </c>
      <c r="L4842" s="535" t="s">
        <v>28</v>
      </c>
      <c r="M4842" s="535">
        <v>7195.2</v>
      </c>
      <c r="N4842" s="539">
        <v>0.41666666666666669</v>
      </c>
    </row>
    <row r="4843" spans="1:14" ht="19.5" hidden="1" thickBot="1" x14ac:dyDescent="0.3">
      <c r="A4843" s="715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6"/>
        <v>09,25</v>
      </c>
      <c r="L4843" s="640" t="s">
        <v>28</v>
      </c>
      <c r="M4843" s="640">
        <v>5784.0400000000009</v>
      </c>
      <c r="N4843" s="644">
        <v>0.41666666666666669</v>
      </c>
    </row>
    <row r="4844" spans="1:14" ht="19.5" hidden="1" thickBot="1" x14ac:dyDescent="0.3">
      <c r="A4844" s="711">
        <f t="shared" si="138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6"/>
        <v>09,25</v>
      </c>
      <c r="L4844" s="483" t="s">
        <v>28</v>
      </c>
      <c r="M4844" s="483">
        <v>5833.28</v>
      </c>
      <c r="N4844" s="486">
        <v>0.45833333333333331</v>
      </c>
    </row>
    <row r="4845" spans="1:14" ht="19.5" hidden="1" thickBot="1" x14ac:dyDescent="0.3">
      <c r="A4845" s="712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6"/>
        <v>09,25</v>
      </c>
      <c r="L4845" s="649" t="s">
        <v>28</v>
      </c>
      <c r="M4845" s="649">
        <v>4903.2</v>
      </c>
      <c r="N4845" s="653">
        <v>0.45833333333333331</v>
      </c>
    </row>
    <row r="4846" spans="1:14" ht="19.5" hidden="1" thickBot="1" x14ac:dyDescent="0.3">
      <c r="A4846" s="714">
        <f t="shared" si="138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6"/>
        <v>09,25</v>
      </c>
      <c r="L4846" s="535" t="s">
        <v>28</v>
      </c>
      <c r="M4846" s="535">
        <v>6729.2800000000007</v>
      </c>
      <c r="N4846" s="539">
        <v>0.5</v>
      </c>
    </row>
    <row r="4847" spans="1:14" ht="19.5" hidden="1" thickBot="1" x14ac:dyDescent="0.3">
      <c r="A4847" s="716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6"/>
        <v>09,25</v>
      </c>
      <c r="L4847" s="594" t="s">
        <v>28</v>
      </c>
      <c r="M4847" s="594">
        <v>4377.16</v>
      </c>
      <c r="N4847" s="598">
        <v>0.5</v>
      </c>
    </row>
    <row r="4848" spans="1:14" ht="19.5" hidden="1" thickBot="1" x14ac:dyDescent="0.3">
      <c r="A4848" s="513">
        <f t="shared" si="138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6"/>
        <v>09,25</v>
      </c>
      <c r="L4848" s="518" t="s">
        <v>266</v>
      </c>
      <c r="M4848" s="518">
        <v>14163.82</v>
      </c>
      <c r="N4848" s="522">
        <v>0.41666666666666669</v>
      </c>
    </row>
    <row r="4849" spans="1:14" ht="19.5" hidden="1" thickBot="1" x14ac:dyDescent="0.3">
      <c r="A4849" s="503">
        <f t="shared" si="138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6"/>
        <v>09,25</v>
      </c>
      <c r="L4849" s="508" t="s">
        <v>266</v>
      </c>
      <c r="M4849" s="508">
        <v>18029.82</v>
      </c>
      <c r="N4849" s="512">
        <v>0.45833333333333331</v>
      </c>
    </row>
    <row r="4850" spans="1:14" ht="38.25" hidden="1" thickBot="1" x14ac:dyDescent="0.3">
      <c r="A4850" s="572">
        <f t="shared" si="138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6"/>
        <v>09,25</v>
      </c>
      <c r="L4850" s="577" t="s">
        <v>266</v>
      </c>
      <c r="M4850" s="577">
        <v>17952.36</v>
      </c>
      <c r="N4850" s="581">
        <v>0.5</v>
      </c>
    </row>
    <row r="4851" spans="1:14" ht="19.5" hidden="1" thickBot="1" x14ac:dyDescent="0.3">
      <c r="A4851" s="503">
        <f t="shared" si="138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6"/>
        <v>09,25</v>
      </c>
      <c r="L4851" s="508" t="s">
        <v>266</v>
      </c>
      <c r="M4851" s="508">
        <v>18107.38</v>
      </c>
      <c r="N4851" s="512">
        <v>0.41666666666666669</v>
      </c>
    </row>
    <row r="4852" spans="1:14" ht="19.5" hidden="1" thickBot="1" x14ac:dyDescent="0.3">
      <c r="A4852" s="513">
        <f t="shared" si="138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6"/>
        <v>09,25</v>
      </c>
      <c r="L4852" s="518" t="s">
        <v>266</v>
      </c>
      <c r="M4852" s="518">
        <v>18107.38</v>
      </c>
      <c r="N4852" s="522">
        <v>0.45833333333333331</v>
      </c>
    </row>
    <row r="4853" spans="1:14" ht="19.5" hidden="1" thickBot="1" x14ac:dyDescent="0.3">
      <c r="A4853" s="503">
        <f t="shared" si="138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6"/>
        <v>09,25</v>
      </c>
      <c r="L4853" s="508" t="s">
        <v>266</v>
      </c>
      <c r="M4853" s="508">
        <v>18119.52</v>
      </c>
      <c r="N4853" s="512">
        <v>0.5</v>
      </c>
    </row>
    <row r="4854" spans="1:14" ht="19.5" hidden="1" thickBot="1" x14ac:dyDescent="0.3">
      <c r="A4854" s="711">
        <f t="shared" si="138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720" t="s">
        <v>467</v>
      </c>
      <c r="H4854" s="483" t="s">
        <v>1066</v>
      </c>
      <c r="I4854" s="484" t="s">
        <v>1067</v>
      </c>
      <c r="J4854" s="485"/>
      <c r="K4854" s="483" t="str">
        <f t="shared" si="136"/>
        <v>09,25</v>
      </c>
      <c r="L4854" s="483" t="s">
        <v>266</v>
      </c>
      <c r="M4854" s="483">
        <v>4899.0800000000008</v>
      </c>
      <c r="N4854" s="486">
        <v>0.54166666666666663</v>
      </c>
    </row>
    <row r="4855" spans="1:14" ht="19.5" hidden="1" thickBot="1" x14ac:dyDescent="0.3">
      <c r="A4855" s="712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721"/>
      <c r="H4855" s="649" t="s">
        <v>1066</v>
      </c>
      <c r="I4855" s="651" t="s">
        <v>1067</v>
      </c>
      <c r="J4855" s="652"/>
      <c r="K4855" s="649" t="str">
        <f t="shared" si="136"/>
        <v>09,25</v>
      </c>
      <c r="L4855" s="649" t="s">
        <v>266</v>
      </c>
      <c r="M4855" s="649">
        <v>3502.2</v>
      </c>
      <c r="N4855" s="653">
        <v>0.54166666666666663</v>
      </c>
    </row>
    <row r="4856" spans="1:14" ht="19.5" hidden="1" thickBot="1" x14ac:dyDescent="0.3">
      <c r="A4856" s="714">
        <f t="shared" si="138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6"/>
        <v>09,25</v>
      </c>
      <c r="L4856" s="535" t="s">
        <v>266</v>
      </c>
      <c r="M4856" s="535">
        <v>5685.88</v>
      </c>
      <c r="N4856" s="539">
        <v>0.58333333333333337</v>
      </c>
    </row>
    <row r="4857" spans="1:14" ht="19.5" hidden="1" thickBot="1" x14ac:dyDescent="0.3">
      <c r="A4857" s="716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6"/>
        <v>09,25</v>
      </c>
      <c r="L4857" s="567" t="s">
        <v>266</v>
      </c>
      <c r="M4857" s="567">
        <v>499.49999999999994</v>
      </c>
      <c r="N4857" s="571">
        <v>0.58333333333333337</v>
      </c>
    </row>
    <row r="4858" spans="1:14" ht="19.5" hidden="1" thickBot="1" x14ac:dyDescent="0.3">
      <c r="A4858" s="716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6"/>
        <v>09,25</v>
      </c>
      <c r="L4858" s="594" t="s">
        <v>266</v>
      </c>
      <c r="M4858" s="594">
        <v>10814.03</v>
      </c>
      <c r="N4858" s="598">
        <v>0.58333333333333337</v>
      </c>
    </row>
    <row r="4859" spans="1:14" ht="19.5" hidden="1" thickBot="1" x14ac:dyDescent="0.3">
      <c r="A4859" s="711">
        <f t="shared" si="138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6"/>
        <v>09,25</v>
      </c>
      <c r="L4859" s="483" t="s">
        <v>265</v>
      </c>
      <c r="M4859" s="483">
        <v>11968.160000000002</v>
      </c>
      <c r="N4859" s="486">
        <v>0.375</v>
      </c>
    </row>
    <row r="4860" spans="1:14" ht="19.5" hidden="1" thickBot="1" x14ac:dyDescent="0.3">
      <c r="A4860" s="712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6"/>
        <v>09,25</v>
      </c>
      <c r="L4860" s="649" t="s">
        <v>265</v>
      </c>
      <c r="M4860" s="649">
        <v>5186.5400000000009</v>
      </c>
      <c r="N4860" s="653">
        <v>0.375</v>
      </c>
    </row>
    <row r="4861" spans="1:14" ht="19.5" hidden="1" thickBot="1" x14ac:dyDescent="0.3">
      <c r="A4861" s="503">
        <f t="shared" si="138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6"/>
        <v>09,25</v>
      </c>
      <c r="L4861" s="508" t="s">
        <v>265</v>
      </c>
      <c r="M4861" s="508">
        <v>17533.86</v>
      </c>
      <c r="N4861" s="512">
        <v>0.41666666666666669</v>
      </c>
    </row>
    <row r="4862" spans="1:14" ht="19.5" hidden="1" thickBot="1" x14ac:dyDescent="0.3">
      <c r="A4862" s="513">
        <f t="shared" si="138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6"/>
        <v>09,25</v>
      </c>
      <c r="L4862" s="518" t="s">
        <v>266</v>
      </c>
      <c r="M4862" s="518">
        <v>17755.419999999998</v>
      </c>
      <c r="N4862" s="522">
        <v>0.45833333333333331</v>
      </c>
    </row>
    <row r="4863" spans="1:14" ht="19.5" hidden="1" thickBot="1" x14ac:dyDescent="0.3">
      <c r="A4863" s="503">
        <f t="shared" si="138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6"/>
        <v>09,25</v>
      </c>
      <c r="L4863" s="508" t="s">
        <v>265</v>
      </c>
      <c r="M4863" s="508">
        <v>17746.68</v>
      </c>
      <c r="N4863" s="512">
        <v>0.375</v>
      </c>
    </row>
    <row r="4864" spans="1:14" ht="19.5" hidden="1" thickBot="1" x14ac:dyDescent="0.3">
      <c r="A4864" s="513">
        <f t="shared" si="138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6"/>
        <v>09,25</v>
      </c>
      <c r="L4864" s="518" t="s">
        <v>265</v>
      </c>
      <c r="M4864" s="518">
        <v>13105.76</v>
      </c>
      <c r="N4864" s="522">
        <v>0.375</v>
      </c>
    </row>
    <row r="4865" spans="1:14" ht="19.5" hidden="1" thickBot="1" x14ac:dyDescent="0.3">
      <c r="A4865" s="503">
        <f t="shared" si="138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6"/>
        <v>09,25</v>
      </c>
      <c r="L4865" s="508" t="s">
        <v>28</v>
      </c>
      <c r="M4865" s="508">
        <v>17358.68</v>
      </c>
      <c r="N4865" s="512">
        <v>0.41666666666666669</v>
      </c>
    </row>
    <row r="4866" spans="1:14" ht="29.25" hidden="1" customHeight="1" x14ac:dyDescent="0.25">
      <c r="A4866" s="711">
        <f t="shared" si="138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720" t="s">
        <v>1069</v>
      </c>
      <c r="H4866" s="483" t="s">
        <v>1068</v>
      </c>
      <c r="I4866" s="484" t="s">
        <v>1070</v>
      </c>
      <c r="J4866" s="485"/>
      <c r="K4866" s="483" t="str">
        <f t="shared" si="136"/>
        <v>09,25</v>
      </c>
      <c r="L4866" s="483" t="s">
        <v>28</v>
      </c>
      <c r="M4866" s="483">
        <v>1321.8</v>
      </c>
      <c r="N4866" s="486">
        <v>0.45833333333333331</v>
      </c>
    </row>
    <row r="4867" spans="1:14" ht="29.25" hidden="1" customHeight="1" thickBot="1" x14ac:dyDescent="0.3">
      <c r="A4867" s="712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721"/>
      <c r="H4867" s="649" t="s">
        <v>1068</v>
      </c>
      <c r="I4867" s="651" t="s">
        <v>1070</v>
      </c>
      <c r="J4867" s="652"/>
      <c r="K4867" s="649" t="str">
        <f t="shared" si="136"/>
        <v>09,25</v>
      </c>
      <c r="L4867" s="649" t="s">
        <v>28</v>
      </c>
      <c r="M4867" s="649">
        <v>11973.279999999999</v>
      </c>
      <c r="N4867" s="653">
        <v>0.45833333333333331</v>
      </c>
    </row>
    <row r="4868" spans="1:14" ht="19.5" hidden="1" thickBot="1" x14ac:dyDescent="0.3">
      <c r="A4868" s="714">
        <f t="shared" si="138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6"/>
        <v>09,25</v>
      </c>
      <c r="L4868" s="535" t="s">
        <v>28</v>
      </c>
      <c r="M4868" s="535">
        <v>388.79999999999995</v>
      </c>
      <c r="N4868" s="539">
        <v>0.5</v>
      </c>
    </row>
    <row r="4869" spans="1:14" ht="19.5" hidden="1" thickBot="1" x14ac:dyDescent="0.3">
      <c r="A4869" s="716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6"/>
        <v>09,25</v>
      </c>
      <c r="L4869" s="567" t="s">
        <v>28</v>
      </c>
      <c r="M4869" s="567">
        <v>5862.67</v>
      </c>
      <c r="N4869" s="571">
        <v>0.5</v>
      </c>
    </row>
    <row r="4870" spans="1:14" ht="19.5" hidden="1" thickBot="1" x14ac:dyDescent="0.3">
      <c r="A4870" s="716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6"/>
        <v>09,25</v>
      </c>
      <c r="L4870" s="567" t="s">
        <v>28</v>
      </c>
      <c r="M4870" s="567">
        <v>5572.5099999999993</v>
      </c>
      <c r="N4870" s="571">
        <v>0.5</v>
      </c>
    </row>
    <row r="4871" spans="1:14" ht="19.5" hidden="1" thickBot="1" x14ac:dyDescent="0.3">
      <c r="A4871" s="715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6"/>
        <v>09,25</v>
      </c>
      <c r="L4871" s="640" t="s">
        <v>28</v>
      </c>
      <c r="M4871" s="640">
        <v>5506.8000000000011</v>
      </c>
      <c r="N4871" s="644">
        <v>0.5</v>
      </c>
    </row>
    <row r="4872" spans="1:14" ht="19.5" hidden="1" thickBot="1" x14ac:dyDescent="0.3">
      <c r="A4872" s="711">
        <f t="shared" si="138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6"/>
        <v>09,25</v>
      </c>
      <c r="L4872" s="483" t="s">
        <v>265</v>
      </c>
      <c r="M4872" s="483">
        <v>16209.080000000002</v>
      </c>
      <c r="N4872" s="486">
        <v>0.375</v>
      </c>
    </row>
    <row r="4873" spans="1:14" ht="19.5" hidden="1" thickBot="1" x14ac:dyDescent="0.3">
      <c r="A4873" s="712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6"/>
        <v>09,25</v>
      </c>
      <c r="L4873" s="649" t="s">
        <v>266</v>
      </c>
      <c r="M4873" s="649">
        <v>1018.9799999999999</v>
      </c>
      <c r="N4873" s="653">
        <v>0.375</v>
      </c>
    </row>
    <row r="4874" spans="1:14" ht="19.5" hidden="1" thickBot="1" x14ac:dyDescent="0.3">
      <c r="A4874" s="551">
        <f t="shared" si="138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6"/>
        <v>09,25</v>
      </c>
      <c r="L4874" s="556" t="s">
        <v>265</v>
      </c>
      <c r="M4874" s="556">
        <v>13743.160000000002</v>
      </c>
      <c r="N4874" s="560">
        <v>0.375</v>
      </c>
    </row>
    <row r="4875" spans="1:14" ht="19.5" hidden="1" thickBot="1" x14ac:dyDescent="0.3">
      <c r="A4875" s="513">
        <f t="shared" si="138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6"/>
        <v>09,25</v>
      </c>
      <c r="L4875" s="518" t="s">
        <v>28</v>
      </c>
      <c r="M4875" s="518">
        <v>8421.9599999999991</v>
      </c>
      <c r="N4875" s="522">
        <v>0.41666666666666669</v>
      </c>
    </row>
    <row r="4876" spans="1:14" ht="19.5" hidden="1" thickBot="1" x14ac:dyDescent="0.3">
      <c r="A4876" s="503">
        <f t="shared" si="138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6"/>
        <v>09,25</v>
      </c>
      <c r="L4876" s="508" t="s">
        <v>265</v>
      </c>
      <c r="M4876" s="508">
        <v>17714.16</v>
      </c>
      <c r="N4876" s="512">
        <v>0.375</v>
      </c>
    </row>
    <row r="4877" spans="1:14" ht="75.75" hidden="1" thickBot="1" x14ac:dyDescent="0.3">
      <c r="A4877" s="513">
        <f t="shared" si="138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6"/>
        <v>09,25</v>
      </c>
      <c r="L4877" s="518" t="s">
        <v>28</v>
      </c>
      <c r="M4877" s="518">
        <v>13943.29</v>
      </c>
      <c r="N4877" s="522">
        <v>0.41666666666666669</v>
      </c>
    </row>
    <row r="4878" spans="1:14" ht="19.5" hidden="1" thickBot="1" x14ac:dyDescent="0.3">
      <c r="A4878" s="714">
        <f t="shared" si="138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6"/>
        <v>09,25</v>
      </c>
      <c r="L4878" s="535" t="s">
        <v>266</v>
      </c>
      <c r="M4878" s="535">
        <v>3901.8199999999997</v>
      </c>
      <c r="N4878" s="539">
        <v>0.41666666666666669</v>
      </c>
    </row>
    <row r="4879" spans="1:14" ht="19.5" hidden="1" thickBot="1" x14ac:dyDescent="0.3">
      <c r="A4879" s="716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6"/>
        <v>09,25</v>
      </c>
      <c r="L4879" s="567" t="s">
        <v>28</v>
      </c>
      <c r="M4879" s="567">
        <v>12910.009999999998</v>
      </c>
      <c r="N4879" s="571">
        <v>0.41666666666666669</v>
      </c>
    </row>
    <row r="4880" spans="1:14" ht="19.5" hidden="1" thickBot="1" x14ac:dyDescent="0.3">
      <c r="A4880" s="715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6"/>
        <v>09,25</v>
      </c>
      <c r="L4880" s="640" t="s">
        <v>28</v>
      </c>
      <c r="M4880" s="640">
        <v>915.96</v>
      </c>
      <c r="N4880" s="644">
        <v>0.41666666666666669</v>
      </c>
    </row>
    <row r="4881" spans="1:14" ht="19.5" hidden="1" thickBot="1" x14ac:dyDescent="0.3">
      <c r="A4881" s="711">
        <f t="shared" si="138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6"/>
        <v>09,25</v>
      </c>
      <c r="L4881" s="483" t="s">
        <v>28</v>
      </c>
      <c r="M4881" s="483">
        <v>3840.68</v>
      </c>
      <c r="N4881" s="486">
        <v>0.45833333333333331</v>
      </c>
    </row>
    <row r="4882" spans="1:14" ht="19.5" hidden="1" thickBot="1" x14ac:dyDescent="0.3">
      <c r="A4882" s="713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6"/>
        <v>09,25</v>
      </c>
      <c r="L4882" s="527" t="s">
        <v>28</v>
      </c>
      <c r="M4882" s="527">
        <v>2956.7999999999997</v>
      </c>
      <c r="N4882" s="530">
        <v>0.45833333333333331</v>
      </c>
    </row>
    <row r="4883" spans="1:14" ht="19.5" hidden="1" thickBot="1" x14ac:dyDescent="0.3">
      <c r="A4883" s="713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6"/>
        <v>09,25</v>
      </c>
      <c r="L4883" s="527" t="s">
        <v>28</v>
      </c>
      <c r="M4883" s="527">
        <v>2784.6200000000003</v>
      </c>
      <c r="N4883" s="530">
        <v>0.45833333333333331</v>
      </c>
    </row>
    <row r="4884" spans="1:14" ht="19.5" hidden="1" thickBot="1" x14ac:dyDescent="0.3">
      <c r="A4884" s="712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6"/>
        <v>09,25</v>
      </c>
      <c r="L4884" s="649" t="s">
        <v>28</v>
      </c>
      <c r="M4884" s="649">
        <v>8411.76</v>
      </c>
      <c r="N4884" s="653">
        <v>0.45833333333333331</v>
      </c>
    </row>
    <row r="4885" spans="1:14" ht="19.5" hidden="1" thickBot="1" x14ac:dyDescent="0.3">
      <c r="A4885" s="503">
        <f t="shared" si="138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6"/>
        <v>09,25</v>
      </c>
      <c r="L4885" s="508" t="s">
        <v>266</v>
      </c>
      <c r="M4885" s="508">
        <v>18135.660000000003</v>
      </c>
      <c r="N4885" s="512">
        <v>0.45833333333333331</v>
      </c>
    </row>
    <row r="4886" spans="1:14" ht="19.5" hidden="1" thickBot="1" x14ac:dyDescent="0.3">
      <c r="A4886" s="513">
        <f t="shared" si="138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6"/>
        <v>09,25</v>
      </c>
      <c r="L4886" s="518" t="s">
        <v>266</v>
      </c>
      <c r="M4886" s="518">
        <v>14053.349999999999</v>
      </c>
      <c r="N4886" s="522">
        <v>0.5</v>
      </c>
    </row>
    <row r="4887" spans="1:14" ht="19.5" hidden="1" thickBot="1" x14ac:dyDescent="0.3">
      <c r="A4887" s="714">
        <f t="shared" si="138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6"/>
        <v>09,25</v>
      </c>
      <c r="L4887" s="535" t="s">
        <v>28</v>
      </c>
      <c r="M4887" s="535">
        <v>4868.2799999999988</v>
      </c>
      <c r="N4887" s="539">
        <v>0.41666666666666669</v>
      </c>
    </row>
    <row r="4888" spans="1:14" ht="19.5" hidden="1" thickBot="1" x14ac:dyDescent="0.3">
      <c r="A4888" s="715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6"/>
        <v>09,25</v>
      </c>
      <c r="L4888" s="640" t="s">
        <v>28</v>
      </c>
      <c r="M4888" s="640">
        <v>5146.6799999999994</v>
      </c>
      <c r="N4888" s="644">
        <v>0.41666666666666669</v>
      </c>
    </row>
    <row r="4889" spans="1:14" ht="19.5" hidden="1" thickBot="1" x14ac:dyDescent="0.3">
      <c r="A4889" s="711">
        <f t="shared" ref="A4889:A4952" si="139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6"/>
        <v>09,25</v>
      </c>
      <c r="L4889" s="483" t="s">
        <v>28</v>
      </c>
      <c r="M4889" s="483">
        <v>8672.52</v>
      </c>
      <c r="N4889" s="486">
        <v>0.45833333333333331</v>
      </c>
    </row>
    <row r="4890" spans="1:14" ht="19.5" hidden="1" thickBot="1" x14ac:dyDescent="0.3">
      <c r="A4890" s="712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6"/>
        <v>09,25</v>
      </c>
      <c r="L4890" s="649" t="s">
        <v>28</v>
      </c>
      <c r="M4890" s="649">
        <v>3298.5600000000004</v>
      </c>
      <c r="N4890" s="653">
        <v>0.45833333333333331</v>
      </c>
    </row>
    <row r="4891" spans="1:14" ht="19.5" hidden="1" thickBot="1" x14ac:dyDescent="0.3">
      <c r="A4891" s="714">
        <f t="shared" si="139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6"/>
        <v>09,25</v>
      </c>
      <c r="L4891" s="535" t="s">
        <v>28</v>
      </c>
      <c r="M4891" s="535">
        <v>5077.4400000000005</v>
      </c>
      <c r="N4891" s="539">
        <v>0.5</v>
      </c>
    </row>
    <row r="4892" spans="1:14" ht="19.5" hidden="1" thickBot="1" x14ac:dyDescent="0.3">
      <c r="A4892" s="715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6"/>
        <v>09,25</v>
      </c>
      <c r="L4892" s="640" t="s">
        <v>28</v>
      </c>
      <c r="M4892" s="640">
        <v>4903.28</v>
      </c>
      <c r="N4892" s="644">
        <v>0.5</v>
      </c>
    </row>
    <row r="4893" spans="1:14" ht="29.25" hidden="1" customHeight="1" x14ac:dyDescent="0.25">
      <c r="A4893" s="711">
        <f t="shared" si="139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720" t="s">
        <v>1073</v>
      </c>
      <c r="H4893" s="483" t="s">
        <v>1071</v>
      </c>
      <c r="I4893" s="484" t="s">
        <v>1071</v>
      </c>
      <c r="J4893" s="485"/>
      <c r="K4893" s="483" t="str">
        <f t="shared" si="136"/>
        <v>09,25</v>
      </c>
      <c r="L4893" s="483" t="s">
        <v>28</v>
      </c>
      <c r="M4893" s="483">
        <v>1344</v>
      </c>
      <c r="N4893" s="486">
        <v>0.54166666666666663</v>
      </c>
    </row>
    <row r="4894" spans="1:14" ht="29.25" hidden="1" customHeight="1" thickBot="1" x14ac:dyDescent="0.3">
      <c r="A4894" s="712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721"/>
      <c r="H4894" s="649" t="s">
        <v>1071</v>
      </c>
      <c r="I4894" s="651" t="s">
        <v>1071</v>
      </c>
      <c r="J4894" s="652"/>
      <c r="K4894" s="649" t="str">
        <f t="shared" si="136"/>
        <v>09,25</v>
      </c>
      <c r="L4894" s="649" t="s">
        <v>28</v>
      </c>
      <c r="M4894" s="649">
        <v>9023.4</v>
      </c>
      <c r="N4894" s="653">
        <v>0.54166666666666663</v>
      </c>
    </row>
    <row r="4895" spans="1:14" ht="38.25" hidden="1" thickBot="1" x14ac:dyDescent="0.3">
      <c r="A4895" s="503">
        <f t="shared" si="139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6"/>
        <v>09,25</v>
      </c>
      <c r="L4895" s="508" t="s">
        <v>28</v>
      </c>
      <c r="M4895" s="508">
        <v>15030</v>
      </c>
      <c r="N4895" s="512">
        <v>0.54166666666666663</v>
      </c>
    </row>
    <row r="4896" spans="1:14" ht="38.25" hidden="1" thickBot="1" x14ac:dyDescent="0.3">
      <c r="A4896" s="513">
        <f t="shared" si="139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6"/>
        <v>10,25</v>
      </c>
      <c r="L4896" s="518" t="s">
        <v>28</v>
      </c>
      <c r="M4896" s="518">
        <v>5597.4000000000005</v>
      </c>
      <c r="N4896" s="522">
        <v>0.41666666666666669</v>
      </c>
    </row>
    <row r="4897" spans="1:14" ht="19.5" hidden="1" thickBot="1" x14ac:dyDescent="0.3">
      <c r="A4897" s="714">
        <f t="shared" si="139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6"/>
        <v>10,25</v>
      </c>
      <c r="L4897" s="535" t="s">
        <v>266</v>
      </c>
      <c r="M4897" s="535">
        <v>12055.990000000002</v>
      </c>
      <c r="N4897" s="539">
        <v>0.5</v>
      </c>
    </row>
    <row r="4898" spans="1:14" ht="19.5" hidden="1" thickBot="1" x14ac:dyDescent="0.3">
      <c r="A4898" s="716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6"/>
        <v>10,25</v>
      </c>
      <c r="L4898" s="594" t="s">
        <v>266</v>
      </c>
      <c r="M4898" s="594">
        <v>2876.9199999999992</v>
      </c>
      <c r="N4898" s="598">
        <v>0.5</v>
      </c>
    </row>
    <row r="4899" spans="1:14" ht="19.5" hidden="1" thickBot="1" x14ac:dyDescent="0.3">
      <c r="A4899" s="513">
        <f t="shared" si="139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6"/>
        <v>10,25</v>
      </c>
      <c r="L4899" s="518" t="s">
        <v>266</v>
      </c>
      <c r="M4899" s="518">
        <v>18128.09</v>
      </c>
      <c r="N4899" s="522">
        <v>0.41666666666666669</v>
      </c>
    </row>
    <row r="4900" spans="1:14" ht="19.5" hidden="1" thickBot="1" x14ac:dyDescent="0.3">
      <c r="A4900" s="714">
        <f t="shared" si="139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6"/>
        <v>10,25</v>
      </c>
      <c r="L4900" s="535" t="s">
        <v>266</v>
      </c>
      <c r="M4900" s="535">
        <v>417.3</v>
      </c>
      <c r="N4900" s="539">
        <v>0.45833333333333331</v>
      </c>
    </row>
    <row r="4901" spans="1:14" ht="19.5" hidden="1" thickBot="1" x14ac:dyDescent="0.3">
      <c r="A4901" s="716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6"/>
        <v>10,25</v>
      </c>
      <c r="L4901" s="567" t="s">
        <v>266</v>
      </c>
      <c r="M4901" s="567">
        <v>6207.08</v>
      </c>
      <c r="N4901" s="571">
        <v>0.45833333333333331</v>
      </c>
    </row>
    <row r="4902" spans="1:14" ht="19.5" hidden="1" thickBot="1" x14ac:dyDescent="0.3">
      <c r="A4902" s="715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6"/>
        <v>10,25</v>
      </c>
      <c r="L4902" s="640" t="s">
        <v>266</v>
      </c>
      <c r="M4902" s="640">
        <v>9848.2500000000036</v>
      </c>
      <c r="N4902" s="644">
        <v>0.45833333333333331</v>
      </c>
    </row>
    <row r="4903" spans="1:14" ht="30.75" hidden="1" customHeight="1" x14ac:dyDescent="0.25">
      <c r="A4903" s="711">
        <f t="shared" si="139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720" t="s">
        <v>1078</v>
      </c>
      <c r="H4903" s="483" t="s">
        <v>1077</v>
      </c>
      <c r="I4903" s="484" t="s">
        <v>1079</v>
      </c>
      <c r="J4903" s="485"/>
      <c r="K4903" s="483" t="str">
        <f t="shared" si="136"/>
        <v>10,25</v>
      </c>
      <c r="L4903" s="483" t="s">
        <v>266</v>
      </c>
      <c r="M4903" s="483">
        <v>6072.6900000000005</v>
      </c>
      <c r="N4903" s="486">
        <v>0.5</v>
      </c>
    </row>
    <row r="4904" spans="1:14" ht="30.75" hidden="1" customHeight="1" thickBot="1" x14ac:dyDescent="0.3">
      <c r="A4904" s="713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722"/>
      <c r="H4904" s="499" t="s">
        <v>1077</v>
      </c>
      <c r="I4904" s="500" t="s">
        <v>1079</v>
      </c>
      <c r="J4904" s="501"/>
      <c r="K4904" s="499" t="str">
        <f t="shared" si="136"/>
        <v>10,25</v>
      </c>
      <c r="L4904" s="499" t="s">
        <v>266</v>
      </c>
      <c r="M4904" s="499">
        <v>6000</v>
      </c>
      <c r="N4904" s="502">
        <v>0.5</v>
      </c>
    </row>
    <row r="4905" spans="1:14" ht="19.5" hidden="1" thickBot="1" x14ac:dyDescent="0.3">
      <c r="A4905" s="714">
        <f t="shared" si="139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6"/>
        <v>10,25</v>
      </c>
      <c r="L4905" s="535" t="s">
        <v>265</v>
      </c>
      <c r="M4905" s="535">
        <v>12656.48</v>
      </c>
      <c r="N4905" s="539">
        <v>0.375</v>
      </c>
    </row>
    <row r="4906" spans="1:14" ht="19.5" hidden="1" thickBot="1" x14ac:dyDescent="0.3">
      <c r="A4906" s="715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6"/>
        <v>10,25</v>
      </c>
      <c r="L4906" s="640" t="s">
        <v>265</v>
      </c>
      <c r="M4906" s="640">
        <v>4634.0000000000009</v>
      </c>
      <c r="N4906" s="644">
        <v>0.375</v>
      </c>
    </row>
    <row r="4907" spans="1:14" ht="19.5" hidden="1" thickBot="1" x14ac:dyDescent="0.3">
      <c r="A4907" s="513">
        <f t="shared" si="139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6"/>
        <v>10,25</v>
      </c>
      <c r="L4907" s="518" t="s">
        <v>265</v>
      </c>
      <c r="M4907" s="518">
        <v>17660.739999999998</v>
      </c>
      <c r="N4907" s="522">
        <v>0.375</v>
      </c>
    </row>
    <row r="4908" spans="1:14" ht="19.5" hidden="1" thickBot="1" x14ac:dyDescent="0.3">
      <c r="A4908" s="714">
        <f t="shared" si="139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6"/>
        <v>10,25</v>
      </c>
      <c r="L4908" s="535" t="s">
        <v>28</v>
      </c>
      <c r="M4908" s="535">
        <v>1676.82</v>
      </c>
      <c r="N4908" s="539">
        <v>0.41666666666666669</v>
      </c>
    </row>
    <row r="4909" spans="1:14" ht="19.5" hidden="1" thickBot="1" x14ac:dyDescent="0.3">
      <c r="A4909" s="716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6"/>
        <v>10,25</v>
      </c>
      <c r="L4909" s="567" t="s">
        <v>28</v>
      </c>
      <c r="M4909" s="567">
        <v>13987.2</v>
      </c>
      <c r="N4909" s="571">
        <v>0.41666666666666669</v>
      </c>
    </row>
    <row r="4910" spans="1:14" ht="19.5" hidden="1" thickBot="1" x14ac:dyDescent="0.3">
      <c r="A4910" s="715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6"/>
        <v>10,25</v>
      </c>
      <c r="L4910" s="640" t="s">
        <v>28</v>
      </c>
      <c r="M4910" s="640">
        <v>1753.14</v>
      </c>
      <c r="N4910" s="644">
        <v>0.41666666666666669</v>
      </c>
    </row>
    <row r="4911" spans="1:14" ht="19.5" hidden="1" thickBot="1" x14ac:dyDescent="0.3">
      <c r="A4911" s="711">
        <f t="shared" si="139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6"/>
        <v>10,25</v>
      </c>
      <c r="L4911" s="483" t="s">
        <v>28</v>
      </c>
      <c r="M4911" s="483">
        <v>3089.72</v>
      </c>
      <c r="N4911" s="486">
        <v>0.45833333333333331</v>
      </c>
    </row>
    <row r="4912" spans="1:14" ht="19.5" hidden="1" thickBot="1" x14ac:dyDescent="0.3">
      <c r="A4912" s="713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6"/>
        <v>10,25</v>
      </c>
      <c r="L4912" s="527" t="s">
        <v>28</v>
      </c>
      <c r="M4912" s="527">
        <v>11735.16</v>
      </c>
      <c r="N4912" s="530">
        <v>0.45833333333333331</v>
      </c>
    </row>
    <row r="4913" spans="1:14" ht="19.5" hidden="1" thickBot="1" x14ac:dyDescent="0.3">
      <c r="A4913" s="712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6"/>
        <v>10,25</v>
      </c>
      <c r="L4913" s="649" t="s">
        <v>28</v>
      </c>
      <c r="M4913" s="649">
        <v>2641.85</v>
      </c>
      <c r="N4913" s="653">
        <v>0.45833333333333331</v>
      </c>
    </row>
    <row r="4914" spans="1:14" ht="75.75" hidden="1" thickBot="1" x14ac:dyDescent="0.3">
      <c r="A4914" s="503">
        <f t="shared" si="139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6"/>
        <v>10,25</v>
      </c>
      <c r="L4914" s="508" t="s">
        <v>28</v>
      </c>
      <c r="M4914" s="508">
        <v>13186.09</v>
      </c>
      <c r="N4914" s="512">
        <v>0.5</v>
      </c>
    </row>
    <row r="4915" spans="1:14" ht="19.5" hidden="1" thickBot="1" x14ac:dyDescent="0.3">
      <c r="A4915" s="513">
        <f t="shared" si="139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6"/>
        <v>10,25</v>
      </c>
      <c r="L4915" s="518" t="s">
        <v>28</v>
      </c>
      <c r="M4915" s="518">
        <v>16924.019999999997</v>
      </c>
      <c r="N4915" s="522">
        <v>0.54166666666666663</v>
      </c>
    </row>
    <row r="4916" spans="1:14" ht="19.5" hidden="1" thickBot="1" x14ac:dyDescent="0.3">
      <c r="A4916" s="503">
        <f t="shared" si="139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6"/>
        <v>10,25</v>
      </c>
      <c r="L4916" s="508" t="s">
        <v>265</v>
      </c>
      <c r="M4916" s="508">
        <v>12631.479999999998</v>
      </c>
      <c r="N4916" s="512">
        <v>0.375</v>
      </c>
    </row>
    <row r="4917" spans="1:14" ht="19.5" hidden="1" thickBot="1" x14ac:dyDescent="0.3">
      <c r="A4917" s="711">
        <f t="shared" si="139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6"/>
        <v>10,25</v>
      </c>
      <c r="L4917" s="483" t="s">
        <v>265</v>
      </c>
      <c r="M4917" s="483">
        <v>16065.29</v>
      </c>
      <c r="N4917" s="486">
        <v>0.375</v>
      </c>
    </row>
    <row r="4918" spans="1:14" ht="19.5" hidden="1" thickBot="1" x14ac:dyDescent="0.3">
      <c r="A4918" s="712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6"/>
        <v>10,25</v>
      </c>
      <c r="L4918" s="649" t="s">
        <v>266</v>
      </c>
      <c r="M4918" s="649">
        <v>1327.8</v>
      </c>
      <c r="N4918" s="653">
        <v>0.375</v>
      </c>
    </row>
    <row r="4919" spans="1:14" ht="19.5" hidden="1" thickBot="1" x14ac:dyDescent="0.3">
      <c r="A4919" s="551">
        <f t="shared" si="139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6"/>
        <v>10,25</v>
      </c>
      <c r="L4919" s="556" t="s">
        <v>265</v>
      </c>
      <c r="M4919" s="556">
        <v>12296.199999999999</v>
      </c>
      <c r="N4919" s="560">
        <v>0.375</v>
      </c>
    </row>
    <row r="4920" spans="1:14" ht="19.5" hidden="1" thickBot="1" x14ac:dyDescent="0.3">
      <c r="A4920" s="513">
        <f t="shared" si="139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6"/>
        <v>10,25</v>
      </c>
      <c r="L4920" s="518" t="s">
        <v>28</v>
      </c>
      <c r="M4920" s="518">
        <v>9558.7200000000012</v>
      </c>
      <c r="N4920" s="522">
        <v>0.41666666666666669</v>
      </c>
    </row>
    <row r="4921" spans="1:14" ht="19.5" hidden="1" thickBot="1" x14ac:dyDescent="0.3">
      <c r="A4921" s="503">
        <f t="shared" si="139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6"/>
        <v>10,25</v>
      </c>
      <c r="L4921" s="508" t="s">
        <v>266</v>
      </c>
      <c r="M4921" s="508">
        <v>11923.68</v>
      </c>
      <c r="N4921" s="512">
        <v>0.45833333333333331</v>
      </c>
    </row>
    <row r="4922" spans="1:14" ht="75.75" hidden="1" thickBot="1" x14ac:dyDescent="0.3">
      <c r="A4922" s="513">
        <f t="shared" si="139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6"/>
        <v>10,25</v>
      </c>
      <c r="L4922" s="518" t="s">
        <v>28</v>
      </c>
      <c r="M4922" s="518">
        <v>13239.269999999999</v>
      </c>
      <c r="N4922" s="522">
        <v>0.41666666666666669</v>
      </c>
    </row>
    <row r="4923" spans="1:14" ht="19.5" hidden="1" thickBot="1" x14ac:dyDescent="0.3">
      <c r="A4923" s="503">
        <f t="shared" si="139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6"/>
        <v>10,25</v>
      </c>
      <c r="L4923" s="508" t="s">
        <v>265</v>
      </c>
      <c r="M4923" s="508">
        <v>17697.8</v>
      </c>
      <c r="N4923" s="512">
        <v>0.375</v>
      </c>
    </row>
    <row r="4924" spans="1:14" ht="19.5" hidden="1" thickBot="1" x14ac:dyDescent="0.3">
      <c r="A4924" s="711">
        <f t="shared" si="139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6"/>
        <v>10,25</v>
      </c>
      <c r="L4924" s="483" t="s">
        <v>28</v>
      </c>
      <c r="M4924" s="483">
        <v>13461.970000000001</v>
      </c>
      <c r="N4924" s="486">
        <v>0.41666666666666669</v>
      </c>
    </row>
    <row r="4925" spans="1:14" ht="19.5" hidden="1" thickBot="1" x14ac:dyDescent="0.3">
      <c r="A4925" s="712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6"/>
        <v>10,25</v>
      </c>
      <c r="L4925" s="649" t="s">
        <v>266</v>
      </c>
      <c r="M4925" s="649">
        <v>4210.92</v>
      </c>
      <c r="N4925" s="653">
        <v>0.41666666666666669</v>
      </c>
    </row>
    <row r="4926" spans="1:14" ht="19.5" hidden="1" thickBot="1" x14ac:dyDescent="0.3">
      <c r="A4926" s="714">
        <f t="shared" si="139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6"/>
        <v>10,25</v>
      </c>
      <c r="L4926" s="535" t="s">
        <v>28</v>
      </c>
      <c r="M4926" s="535">
        <v>2009.6599999999999</v>
      </c>
      <c r="N4926" s="539">
        <v>0.45833333333333331</v>
      </c>
    </row>
    <row r="4927" spans="1:14" ht="19.5" hidden="1" thickBot="1" x14ac:dyDescent="0.3">
      <c r="A4927" s="716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6"/>
        <v>10,25</v>
      </c>
      <c r="L4927" s="567" t="s">
        <v>28</v>
      </c>
      <c r="M4927" s="567">
        <v>7447.4999999999991</v>
      </c>
      <c r="N4927" s="571">
        <v>0.45833333333333331</v>
      </c>
    </row>
    <row r="4928" spans="1:14" ht="19.5" hidden="1" thickBot="1" x14ac:dyDescent="0.3">
      <c r="A4928" s="716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6"/>
        <v>10,25</v>
      </c>
      <c r="L4928" s="567" t="s">
        <v>28</v>
      </c>
      <c r="M4928" s="567">
        <v>2972.9100000000003</v>
      </c>
      <c r="N4928" s="571">
        <v>0.45833333333333331</v>
      </c>
    </row>
    <row r="4929" spans="1:14" ht="19.5" hidden="1" thickBot="1" x14ac:dyDescent="0.3">
      <c r="A4929" s="715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6"/>
        <v>10,25</v>
      </c>
      <c r="L4929" s="640" t="s">
        <v>28</v>
      </c>
      <c r="M4929" s="640">
        <v>5494.5</v>
      </c>
      <c r="N4929" s="644">
        <v>0.45833333333333331</v>
      </c>
    </row>
    <row r="4930" spans="1:14" ht="19.5" hidden="1" thickBot="1" x14ac:dyDescent="0.3">
      <c r="A4930" s="711">
        <f t="shared" si="139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720" t="s">
        <v>72</v>
      </c>
      <c r="H4930" s="483" t="s">
        <v>1085</v>
      </c>
      <c r="I4930" s="484" t="s">
        <v>1085</v>
      </c>
      <c r="J4930" s="485"/>
      <c r="K4930" s="483" t="str">
        <f t="shared" si="136"/>
        <v>10,25</v>
      </c>
      <c r="L4930" s="483" t="s">
        <v>265</v>
      </c>
      <c r="M4930" s="483">
        <v>5062.92</v>
      </c>
      <c r="N4930" s="486">
        <v>0.33333333333333331</v>
      </c>
    </row>
    <row r="4931" spans="1:14" ht="19.5" hidden="1" thickBot="1" x14ac:dyDescent="0.3">
      <c r="A4931" s="712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721"/>
      <c r="H4931" s="649" t="s">
        <v>1085</v>
      </c>
      <c r="I4931" s="651" t="s">
        <v>1085</v>
      </c>
      <c r="J4931" s="652" t="s">
        <v>986</v>
      </c>
      <c r="K4931" s="649" t="str">
        <f t="shared" si="136"/>
        <v>10,25</v>
      </c>
      <c r="L4931" s="649" t="s">
        <v>265</v>
      </c>
      <c r="M4931" s="649">
        <v>10931.06</v>
      </c>
      <c r="N4931" s="653">
        <v>0.41666666666666669</v>
      </c>
    </row>
    <row r="4932" spans="1:14" ht="19.5" hidden="1" thickBot="1" x14ac:dyDescent="0.3">
      <c r="A4932" s="503">
        <f t="shared" si="139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6"/>
        <v>10,25</v>
      </c>
      <c r="L4932" s="508" t="s">
        <v>266</v>
      </c>
      <c r="M4932" s="508">
        <v>13671.06</v>
      </c>
      <c r="N4932" s="512">
        <v>0.5</v>
      </c>
    </row>
    <row r="4933" spans="1:14" ht="19.5" hidden="1" thickBot="1" x14ac:dyDescent="0.3">
      <c r="A4933" s="711">
        <f t="shared" si="139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6"/>
        <v>10,25</v>
      </c>
      <c r="L4933" s="483" t="s">
        <v>28</v>
      </c>
      <c r="M4933" s="483">
        <v>7698.6</v>
      </c>
      <c r="N4933" s="486">
        <v>0.41666666666666669</v>
      </c>
    </row>
    <row r="4934" spans="1:14" ht="19.5" hidden="1" thickBot="1" x14ac:dyDescent="0.3">
      <c r="A4934" s="712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6"/>
        <v>10,25</v>
      </c>
      <c r="L4934" s="649" t="s">
        <v>28</v>
      </c>
      <c r="M4934" s="649">
        <v>4503.7199999999993</v>
      </c>
      <c r="N4934" s="653">
        <v>0.41666666666666669</v>
      </c>
    </row>
    <row r="4935" spans="1:14" ht="28.5" hidden="1" customHeight="1" x14ac:dyDescent="0.25">
      <c r="A4935" s="714">
        <f t="shared" si="139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717" t="s">
        <v>1073</v>
      </c>
      <c r="H4935" s="535" t="s">
        <v>1083</v>
      </c>
      <c r="I4935" s="537" t="s">
        <v>1085</v>
      </c>
      <c r="J4935" s="538"/>
      <c r="K4935" s="535" t="str">
        <f t="shared" si="136"/>
        <v>10,25</v>
      </c>
      <c r="L4935" s="535" t="s">
        <v>28</v>
      </c>
      <c r="M4935" s="535">
        <v>3534.44</v>
      </c>
      <c r="N4935" s="539">
        <v>0.45833333333333331</v>
      </c>
    </row>
    <row r="4936" spans="1:14" ht="28.5" hidden="1" customHeight="1" thickBot="1" x14ac:dyDescent="0.3">
      <c r="A4936" s="715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718"/>
      <c r="H4936" s="640" t="s">
        <v>1083</v>
      </c>
      <c r="I4936" s="642" t="s">
        <v>1085</v>
      </c>
      <c r="J4936" s="643"/>
      <c r="K4936" s="640" t="str">
        <f t="shared" si="136"/>
        <v>10,25</v>
      </c>
      <c r="L4936" s="640" t="s">
        <v>28</v>
      </c>
      <c r="M4936" s="640">
        <v>7577.4</v>
      </c>
      <c r="N4936" s="644">
        <v>0.45833333333333331</v>
      </c>
    </row>
    <row r="4937" spans="1:14" ht="19.5" hidden="1" thickBot="1" x14ac:dyDescent="0.3">
      <c r="A4937" s="513">
        <f t="shared" si="139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6"/>
        <v>10,25</v>
      </c>
      <c r="L4937" s="518" t="s">
        <v>28</v>
      </c>
      <c r="M4937" s="518">
        <v>9675.52</v>
      </c>
      <c r="N4937" s="522">
        <v>0.5</v>
      </c>
    </row>
    <row r="4938" spans="1:14" ht="38.25" hidden="1" thickBot="1" x14ac:dyDescent="0.3">
      <c r="A4938" s="503">
        <f t="shared" si="139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6"/>
        <v>10,25</v>
      </c>
      <c r="L4938" s="508" t="s">
        <v>266</v>
      </c>
      <c r="M4938" s="508">
        <v>17963.04</v>
      </c>
      <c r="N4938" s="512">
        <v>0.54166666666666663</v>
      </c>
    </row>
    <row r="4939" spans="1:14" ht="19.5" hidden="1" thickBot="1" x14ac:dyDescent="0.3">
      <c r="A4939" s="711">
        <f t="shared" si="139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6"/>
        <v>10,25</v>
      </c>
      <c r="L4939" s="483" t="s">
        <v>266</v>
      </c>
      <c r="M4939" s="483">
        <v>360</v>
      </c>
      <c r="N4939" s="486">
        <v>0.375</v>
      </c>
    </row>
    <row r="4940" spans="1:14" ht="19.5" hidden="1" thickBot="1" x14ac:dyDescent="0.3">
      <c r="A4940" s="713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6"/>
        <v>10,25</v>
      </c>
      <c r="L4940" s="527" t="s">
        <v>266</v>
      </c>
      <c r="M4940" s="527">
        <v>3522.9399999999991</v>
      </c>
      <c r="N4940" s="530">
        <v>0.375</v>
      </c>
    </row>
    <row r="4941" spans="1:14" ht="19.5" hidden="1" thickBot="1" x14ac:dyDescent="0.3">
      <c r="A4941" s="713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6"/>
        <v>10,25</v>
      </c>
      <c r="L4941" s="499" t="s">
        <v>266</v>
      </c>
      <c r="M4941" s="499">
        <v>13011.670000000002</v>
      </c>
      <c r="N4941" s="502">
        <v>0.375</v>
      </c>
    </row>
    <row r="4942" spans="1:14" ht="19.5" hidden="1" thickBot="1" x14ac:dyDescent="0.3">
      <c r="A4942" s="714">
        <f t="shared" si="139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6"/>
        <v>10,25</v>
      </c>
      <c r="L4942" s="535" t="s">
        <v>265</v>
      </c>
      <c r="M4942" s="535">
        <v>12173.54</v>
      </c>
      <c r="N4942" s="539">
        <v>0.375</v>
      </c>
    </row>
    <row r="4943" spans="1:14" ht="19.5" hidden="1" thickBot="1" x14ac:dyDescent="0.3">
      <c r="A4943" s="715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6"/>
        <v>10,25</v>
      </c>
      <c r="L4943" s="640" t="s">
        <v>265</v>
      </c>
      <c r="M4943" s="640">
        <v>5137.1099999999997</v>
      </c>
      <c r="N4943" s="644">
        <v>0.375</v>
      </c>
    </row>
    <row r="4944" spans="1:14" ht="19.5" hidden="1" thickBot="1" x14ac:dyDescent="0.3">
      <c r="A4944" s="513">
        <f t="shared" si="139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6"/>
        <v>10,25</v>
      </c>
      <c r="L4944" s="518" t="s">
        <v>265</v>
      </c>
      <c r="M4944" s="518">
        <v>17723.54</v>
      </c>
      <c r="N4944" s="522">
        <v>0.41666666666666669</v>
      </c>
    </row>
    <row r="4945" spans="1:14" ht="19.5" hidden="1" thickBot="1" x14ac:dyDescent="0.3">
      <c r="A4945" s="503">
        <f t="shared" si="139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6"/>
        <v>10,25</v>
      </c>
      <c r="L4945" s="508" t="s">
        <v>265</v>
      </c>
      <c r="M4945" s="508">
        <v>17652.140000000003</v>
      </c>
      <c r="N4945" s="512">
        <v>0.375</v>
      </c>
    </row>
    <row r="4946" spans="1:14" ht="19.5" hidden="1" thickBot="1" x14ac:dyDescent="0.3">
      <c r="A4946" s="711">
        <f t="shared" si="139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6"/>
        <v>10,25</v>
      </c>
      <c r="L4946" s="483" t="s">
        <v>28</v>
      </c>
      <c r="M4946" s="483">
        <v>1564.6200000000001</v>
      </c>
      <c r="N4946" s="486">
        <v>0.41666666666666669</v>
      </c>
    </row>
    <row r="4947" spans="1:14" ht="19.5" hidden="1" thickBot="1" x14ac:dyDescent="0.3">
      <c r="A4947" s="712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6"/>
        <v>10,25</v>
      </c>
      <c r="L4947" s="649" t="s">
        <v>28</v>
      </c>
      <c r="M4947" s="649">
        <v>16361.17</v>
      </c>
      <c r="N4947" s="653">
        <v>0.41666666666666669</v>
      </c>
    </row>
    <row r="4948" spans="1:14" ht="19.5" hidden="1" thickBot="1" x14ac:dyDescent="0.3">
      <c r="A4948" s="714">
        <f t="shared" si="139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6"/>
        <v>10,25</v>
      </c>
      <c r="L4948" s="535" t="s">
        <v>28</v>
      </c>
      <c r="M4948" s="535">
        <v>4081.3999999999996</v>
      </c>
      <c r="N4948" s="539">
        <v>0.45833333333333331</v>
      </c>
    </row>
    <row r="4949" spans="1:14" ht="19.5" hidden="1" thickBot="1" x14ac:dyDescent="0.3">
      <c r="A4949" s="715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6"/>
        <v>10,25</v>
      </c>
      <c r="L4949" s="640" t="s">
        <v>28</v>
      </c>
      <c r="M4949" s="640">
        <v>13268.400000000001</v>
      </c>
      <c r="N4949" s="644">
        <v>0.45833333333333331</v>
      </c>
    </row>
    <row r="4950" spans="1:14" ht="27.75" hidden="1" customHeight="1" x14ac:dyDescent="0.25">
      <c r="A4950" s="711">
        <f t="shared" si="139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720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6"/>
        <v>10,25</v>
      </c>
      <c r="L4950" s="483" t="s">
        <v>28</v>
      </c>
      <c r="M4950" s="483">
        <v>9472.6600000000017</v>
      </c>
      <c r="N4950" s="486">
        <v>0.5</v>
      </c>
    </row>
    <row r="4951" spans="1:14" ht="27.75" hidden="1" customHeight="1" thickBot="1" x14ac:dyDescent="0.3">
      <c r="A4951" s="712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721"/>
      <c r="H4951" s="649" t="s">
        <v>1089</v>
      </c>
      <c r="I4951" s="651" t="s">
        <v>1089</v>
      </c>
      <c r="J4951" s="652" t="s">
        <v>986</v>
      </c>
      <c r="K4951" s="649" t="str">
        <f t="shared" si="136"/>
        <v>10,25</v>
      </c>
      <c r="L4951" s="649" t="s">
        <v>28</v>
      </c>
      <c r="M4951" s="649">
        <v>4877.4199999999992</v>
      </c>
      <c r="N4951" s="653">
        <v>0.5</v>
      </c>
    </row>
    <row r="4952" spans="1:14" ht="19.5" hidden="1" thickBot="1" x14ac:dyDescent="0.3">
      <c r="A4952" s="503">
        <f t="shared" si="139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6"/>
        <v>10,25</v>
      </c>
      <c r="L4952" s="508" t="s">
        <v>265</v>
      </c>
      <c r="M4952" s="508">
        <v>12236.64</v>
      </c>
      <c r="N4952" s="512">
        <v>0.375</v>
      </c>
    </row>
    <row r="4953" spans="1:14" ht="19.5" hidden="1" thickBot="1" x14ac:dyDescent="0.3">
      <c r="A4953" s="572">
        <f t="shared" ref="A4953:A5016" si="140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6"/>
        <v>10,25</v>
      </c>
      <c r="L4953" s="577" t="s">
        <v>266</v>
      </c>
      <c r="M4953" s="577">
        <v>10086.24</v>
      </c>
      <c r="N4953" s="581">
        <v>0.41666666666666669</v>
      </c>
    </row>
    <row r="4954" spans="1:14" ht="19.5" hidden="1" thickBot="1" x14ac:dyDescent="0.3">
      <c r="A4954" s="714">
        <f t="shared" si="140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6"/>
        <v>10,25</v>
      </c>
      <c r="L4954" s="535" t="s">
        <v>28</v>
      </c>
      <c r="M4954" s="535">
        <v>15246.399999999998</v>
      </c>
      <c r="N4954" s="539">
        <v>0.54166666666666663</v>
      </c>
    </row>
    <row r="4955" spans="1:14" ht="57" hidden="1" thickBot="1" x14ac:dyDescent="0.3">
      <c r="A4955" s="715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6"/>
        <v>10,25</v>
      </c>
      <c r="L4955" s="640" t="s">
        <v>28</v>
      </c>
      <c r="M4955" s="640">
        <v>2162.4</v>
      </c>
      <c r="N4955" s="644">
        <v>0.54166666666666663</v>
      </c>
    </row>
    <row r="4956" spans="1:14" ht="19.5" hidden="1" thickBot="1" x14ac:dyDescent="0.3">
      <c r="A4956" s="711">
        <f t="shared" si="140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6"/>
        <v>10,25</v>
      </c>
      <c r="L4956" s="483" t="s">
        <v>265</v>
      </c>
      <c r="M4956" s="483">
        <v>16931</v>
      </c>
      <c r="N4956" s="486">
        <v>0.375</v>
      </c>
    </row>
    <row r="4957" spans="1:14" ht="19.5" hidden="1" thickBot="1" x14ac:dyDescent="0.3">
      <c r="A4957" s="712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6"/>
        <v>10,25</v>
      </c>
      <c r="L4957" s="649" t="s">
        <v>266</v>
      </c>
      <c r="M4957" s="649">
        <v>604.44000000000005</v>
      </c>
      <c r="N4957" s="653">
        <v>0.375</v>
      </c>
    </row>
    <row r="4958" spans="1:14" ht="19.5" hidden="1" thickBot="1" x14ac:dyDescent="0.3">
      <c r="A4958" s="503">
        <f t="shared" si="140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6"/>
        <v>10,25</v>
      </c>
      <c r="L4958" s="508" t="s">
        <v>265</v>
      </c>
      <c r="M4958" s="508">
        <v>12164.920000000002</v>
      </c>
      <c r="N4958" s="512">
        <v>0.375</v>
      </c>
    </row>
    <row r="4959" spans="1:14" ht="19.5" hidden="1" thickBot="1" x14ac:dyDescent="0.3">
      <c r="A4959" s="572">
        <f t="shared" si="140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6"/>
        <v>10,25</v>
      </c>
      <c r="L4959" s="577" t="s">
        <v>28</v>
      </c>
      <c r="M4959" s="577">
        <v>9302.5199999999986</v>
      </c>
      <c r="N4959" s="581">
        <v>0.41666666666666669</v>
      </c>
    </row>
    <row r="4960" spans="1:14" ht="19.5" hidden="1" thickBot="1" x14ac:dyDescent="0.3">
      <c r="A4960" s="714">
        <f t="shared" si="140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717" t="s">
        <v>72</v>
      </c>
      <c r="H4960" s="535" t="s">
        <v>1092</v>
      </c>
      <c r="I4960" s="537" t="s">
        <v>1092</v>
      </c>
      <c r="J4960" s="538"/>
      <c r="K4960" s="535" t="str">
        <f t="shared" si="136"/>
        <v>10,25</v>
      </c>
      <c r="L4960" s="535" t="s">
        <v>265</v>
      </c>
      <c r="M4960" s="535">
        <v>3420.24</v>
      </c>
      <c r="N4960" s="539">
        <v>0.33333333333333331</v>
      </c>
    </row>
    <row r="4961" spans="1:14" ht="19.5" hidden="1" thickBot="1" x14ac:dyDescent="0.3">
      <c r="A4961" s="715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718"/>
      <c r="H4961" s="640" t="s">
        <v>1092</v>
      </c>
      <c r="I4961" s="642" t="s">
        <v>1092</v>
      </c>
      <c r="J4961" s="643"/>
      <c r="K4961" s="640" t="str">
        <f t="shared" si="136"/>
        <v>10,25</v>
      </c>
      <c r="L4961" s="640" t="s">
        <v>265</v>
      </c>
      <c r="M4961" s="640">
        <v>13040.080000000002</v>
      </c>
      <c r="N4961" s="644">
        <v>0.41666666666666669</v>
      </c>
    </row>
    <row r="4962" spans="1:14" ht="38.25" hidden="1" thickBot="1" x14ac:dyDescent="0.3">
      <c r="A4962" s="513">
        <f t="shared" si="140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6"/>
        <v>10,25</v>
      </c>
      <c r="L4962" s="518" t="s">
        <v>266</v>
      </c>
      <c r="M4962" s="518">
        <v>14013.599999999999</v>
      </c>
      <c r="N4962" s="522">
        <v>0.41666666666666669</v>
      </c>
    </row>
    <row r="4963" spans="1:14" ht="75.75" hidden="1" thickBot="1" x14ac:dyDescent="0.3">
      <c r="A4963" s="503">
        <f t="shared" si="140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6"/>
        <v>10,25</v>
      </c>
      <c r="L4963" s="508" t="s">
        <v>28</v>
      </c>
      <c r="M4963" s="508">
        <v>12128.759999999998</v>
      </c>
      <c r="N4963" s="512">
        <v>0.5</v>
      </c>
    </row>
    <row r="4964" spans="1:14" ht="19.5" hidden="1" thickBot="1" x14ac:dyDescent="0.3">
      <c r="A4964" s="711">
        <f t="shared" si="140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6"/>
        <v>10,25</v>
      </c>
      <c r="L4964" s="483" t="s">
        <v>28</v>
      </c>
      <c r="M4964" s="483">
        <v>15830.07</v>
      </c>
      <c r="N4964" s="486">
        <v>0.45833333333333331</v>
      </c>
    </row>
    <row r="4965" spans="1:14" ht="19.5" hidden="1" thickBot="1" x14ac:dyDescent="0.3">
      <c r="A4965" s="712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6"/>
        <v>10,25</v>
      </c>
      <c r="L4965" s="649" t="s">
        <v>28</v>
      </c>
      <c r="M4965" s="649">
        <v>1539.62</v>
      </c>
      <c r="N4965" s="653">
        <v>0.45833333333333331</v>
      </c>
    </row>
    <row r="4966" spans="1:14" ht="19.5" hidden="1" thickBot="1" x14ac:dyDescent="0.3">
      <c r="A4966" s="714">
        <f t="shared" si="140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6"/>
        <v>10,25</v>
      </c>
      <c r="L4966" s="535" t="s">
        <v>28</v>
      </c>
      <c r="M4966" s="535">
        <v>4004.7599999999998</v>
      </c>
      <c r="N4966" s="539">
        <v>0.5</v>
      </c>
    </row>
    <row r="4967" spans="1:14" ht="19.5" hidden="1" thickBot="1" x14ac:dyDescent="0.3">
      <c r="A4967" s="716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6"/>
        <v>10,25</v>
      </c>
      <c r="L4967" s="567" t="s">
        <v>28</v>
      </c>
      <c r="M4967" s="567">
        <v>7216.86</v>
      </c>
      <c r="N4967" s="571">
        <v>0.5</v>
      </c>
    </row>
    <row r="4968" spans="1:14" ht="19.5" hidden="1" thickBot="1" x14ac:dyDescent="0.3">
      <c r="A4968" s="715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6"/>
        <v>10,25</v>
      </c>
      <c r="L4968" s="640" t="s">
        <v>28</v>
      </c>
      <c r="M4968" s="640">
        <v>6118.68</v>
      </c>
      <c r="N4968" s="644">
        <v>0.5</v>
      </c>
    </row>
    <row r="4969" spans="1:14" ht="19.5" hidden="1" thickBot="1" x14ac:dyDescent="0.3">
      <c r="A4969" s="711">
        <f t="shared" si="140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6"/>
        <v>10,25</v>
      </c>
      <c r="L4969" s="483" t="s">
        <v>28</v>
      </c>
      <c r="M4969" s="483">
        <v>6354.68</v>
      </c>
      <c r="N4969" s="486">
        <v>0.41666666666666669</v>
      </c>
    </row>
    <row r="4970" spans="1:14" ht="19.5" hidden="1" thickBot="1" x14ac:dyDescent="0.3">
      <c r="A4970" s="712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6"/>
        <v>10,25</v>
      </c>
      <c r="L4970" s="649" t="s">
        <v>28</v>
      </c>
      <c r="M4970" s="649">
        <v>5855.56</v>
      </c>
      <c r="N4970" s="653">
        <v>0.41666666666666669</v>
      </c>
    </row>
    <row r="4971" spans="1:14" ht="19.5" hidden="1" thickBot="1" x14ac:dyDescent="0.3">
      <c r="A4971" s="714">
        <f t="shared" si="140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6"/>
        <v>10,25</v>
      </c>
      <c r="L4971" s="535" t="s">
        <v>28</v>
      </c>
      <c r="M4971" s="535">
        <v>4891.3999999999996</v>
      </c>
      <c r="N4971" s="539">
        <v>0.45833333333333331</v>
      </c>
    </row>
    <row r="4972" spans="1:14" ht="19.5" hidden="1" thickBot="1" x14ac:dyDescent="0.3">
      <c r="A4972" s="716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6"/>
        <v>10,25</v>
      </c>
      <c r="L4972" s="567" t="s">
        <v>28</v>
      </c>
      <c r="M4972" s="567">
        <v>2278.48</v>
      </c>
      <c r="N4972" s="571">
        <v>0.45833333333333331</v>
      </c>
    </row>
    <row r="4973" spans="1:14" ht="19.5" hidden="1" thickBot="1" x14ac:dyDescent="0.3">
      <c r="A4973" s="715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6"/>
        <v>10,25</v>
      </c>
      <c r="L4973" s="640" t="s">
        <v>28</v>
      </c>
      <c r="M4973" s="640">
        <v>5732.9999999999991</v>
      </c>
      <c r="N4973" s="644">
        <v>0.45833333333333331</v>
      </c>
    </row>
    <row r="4974" spans="1:14" ht="19.5" hidden="1" thickBot="1" x14ac:dyDescent="0.3">
      <c r="A4974" s="572">
        <f t="shared" si="140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6"/>
        <v>10,25</v>
      </c>
      <c r="L4974" s="577" t="s">
        <v>266</v>
      </c>
      <c r="M4974" s="577">
        <v>17824.919999999998</v>
      </c>
      <c r="N4974" s="581">
        <v>0.54166666666666663</v>
      </c>
    </row>
    <row r="4975" spans="1:14" ht="38.25" hidden="1" thickBot="1" x14ac:dyDescent="0.3">
      <c r="A4975" s="503">
        <f t="shared" si="140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6"/>
        <v>10,25</v>
      </c>
      <c r="L4975" s="508" t="s">
        <v>266</v>
      </c>
      <c r="M4975" s="508">
        <v>15653.850000000002</v>
      </c>
      <c r="N4975" s="512">
        <v>0.41666666666666669</v>
      </c>
    </row>
    <row r="4976" spans="1:14" ht="19.5" hidden="1" thickBot="1" x14ac:dyDescent="0.3">
      <c r="A4976" s="513">
        <f t="shared" si="140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6"/>
        <v>10,25</v>
      </c>
      <c r="L4976" s="518" t="s">
        <v>266</v>
      </c>
      <c r="M4976" s="518">
        <v>14210.949999999999</v>
      </c>
      <c r="N4976" s="522">
        <v>0.45833333333333331</v>
      </c>
    </row>
    <row r="4977" spans="1:14" ht="19.5" hidden="1" thickBot="1" x14ac:dyDescent="0.3">
      <c r="A4977" s="714">
        <f t="shared" si="140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717" t="s">
        <v>843</v>
      </c>
      <c r="H4977" s="535" t="s">
        <v>1094</v>
      </c>
      <c r="I4977" s="537" t="s">
        <v>1096</v>
      </c>
      <c r="J4977" s="538"/>
      <c r="K4977" s="535" t="str">
        <f t="shared" si="136"/>
        <v>10,25</v>
      </c>
      <c r="L4977" s="535" t="s">
        <v>28</v>
      </c>
      <c r="M4977" s="535">
        <v>4865.76</v>
      </c>
      <c r="N4977" s="539">
        <v>0.54166666666666663</v>
      </c>
    </row>
    <row r="4978" spans="1:14" ht="19.5" hidden="1" thickBot="1" x14ac:dyDescent="0.3">
      <c r="A4978" s="715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718"/>
      <c r="H4978" s="640" t="s">
        <v>1094</v>
      </c>
      <c r="I4978" s="642" t="s">
        <v>1096</v>
      </c>
      <c r="J4978" s="643"/>
      <c r="K4978" s="640" t="str">
        <f t="shared" si="136"/>
        <v>10,25</v>
      </c>
      <c r="L4978" s="640" t="s">
        <v>28</v>
      </c>
      <c r="M4978" s="640">
        <v>5449.4400000000005</v>
      </c>
      <c r="N4978" s="644">
        <v>0.54166666666666663</v>
      </c>
    </row>
    <row r="4979" spans="1:14" ht="19.5" hidden="1" thickBot="1" x14ac:dyDescent="0.3">
      <c r="A4979" s="711">
        <f t="shared" si="140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1">RIGHT(I4979,5)</f>
        <v>10,25</v>
      </c>
      <c r="L4979" s="483" t="s">
        <v>266</v>
      </c>
      <c r="M4979" s="483">
        <v>11560.130000000001</v>
      </c>
      <c r="N4979" s="486">
        <v>0.5</v>
      </c>
    </row>
    <row r="4980" spans="1:14" ht="19.5" hidden="1" thickBot="1" x14ac:dyDescent="0.3">
      <c r="A4980" s="713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1"/>
        <v>10,25</v>
      </c>
      <c r="L4980" s="499" t="s">
        <v>266</v>
      </c>
      <c r="M4980" s="499">
        <v>1731.2799999999997</v>
      </c>
      <c r="N4980" s="502">
        <v>0.5</v>
      </c>
    </row>
    <row r="4981" spans="1:14" ht="19.5" hidden="1" thickBot="1" x14ac:dyDescent="0.3">
      <c r="A4981" s="503">
        <f t="shared" si="140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1"/>
        <v>10,25</v>
      </c>
      <c r="L4981" s="508" t="s">
        <v>266</v>
      </c>
      <c r="M4981" s="508">
        <v>18298.060000000005</v>
      </c>
      <c r="N4981" s="512">
        <v>0.41666666666666669</v>
      </c>
    </row>
    <row r="4982" spans="1:14" ht="19.5" hidden="1" thickBot="1" x14ac:dyDescent="0.3">
      <c r="A4982" s="513">
        <f t="shared" si="140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1"/>
        <v>10,25</v>
      </c>
      <c r="L4982" s="518" t="s">
        <v>266</v>
      </c>
      <c r="M4982" s="518">
        <v>17963.82</v>
      </c>
      <c r="N4982" s="522">
        <v>0.45833333333333331</v>
      </c>
    </row>
    <row r="4983" spans="1:14" ht="19.5" hidden="1" thickBot="1" x14ac:dyDescent="0.3">
      <c r="A4983" s="714">
        <f t="shared" si="140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1"/>
        <v>10,25</v>
      </c>
      <c r="L4983" s="535" t="s">
        <v>266</v>
      </c>
      <c r="M4983" s="535">
        <v>467.52</v>
      </c>
      <c r="N4983" s="539">
        <v>0.5</v>
      </c>
    </row>
    <row r="4984" spans="1:14" ht="19.5" hidden="1" thickBot="1" x14ac:dyDescent="0.3">
      <c r="A4984" s="716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1"/>
        <v>10,25</v>
      </c>
      <c r="L4984" s="567" t="s">
        <v>266</v>
      </c>
      <c r="M4984" s="567">
        <v>5458.3199999999988</v>
      </c>
      <c r="N4984" s="571">
        <v>0.5</v>
      </c>
    </row>
    <row r="4985" spans="1:14" ht="19.5" hidden="1" thickBot="1" x14ac:dyDescent="0.3">
      <c r="A4985" s="716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1"/>
        <v>10,25</v>
      </c>
      <c r="L4985" s="594" t="s">
        <v>266</v>
      </c>
      <c r="M4985" s="594">
        <v>9251.1000000000022</v>
      </c>
      <c r="N4985" s="598">
        <v>0.5</v>
      </c>
    </row>
    <row r="4986" spans="1:14" ht="19.5" hidden="1" thickBot="1" x14ac:dyDescent="0.3">
      <c r="A4986" s="711">
        <f t="shared" si="140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1"/>
        <v>10,25</v>
      </c>
      <c r="L4986" s="483" t="s">
        <v>265</v>
      </c>
      <c r="M4986" s="483">
        <v>13482.76</v>
      </c>
      <c r="N4986" s="486">
        <v>0.375</v>
      </c>
    </row>
    <row r="4987" spans="1:14" ht="19.5" hidden="1" thickBot="1" x14ac:dyDescent="0.3">
      <c r="A4987" s="712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1"/>
        <v>10,25</v>
      </c>
      <c r="L4987" s="649" t="s">
        <v>265</v>
      </c>
      <c r="M4987" s="649">
        <v>3767.16</v>
      </c>
      <c r="N4987" s="653">
        <v>0.375</v>
      </c>
    </row>
    <row r="4988" spans="1:14" ht="19.5" hidden="1" thickBot="1" x14ac:dyDescent="0.3">
      <c r="A4988" s="503">
        <f t="shared" si="140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1"/>
        <v>10,25</v>
      </c>
      <c r="L4988" s="508" t="s">
        <v>265</v>
      </c>
      <c r="M4988" s="508">
        <v>17621.099999999999</v>
      </c>
      <c r="N4988" s="512">
        <v>0.375</v>
      </c>
    </row>
    <row r="4989" spans="1:14" ht="19.5" hidden="1" thickBot="1" x14ac:dyDescent="0.3">
      <c r="A4989" s="711">
        <f t="shared" si="140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1"/>
        <v>10,25</v>
      </c>
      <c r="L4989" s="483" t="s">
        <v>28</v>
      </c>
      <c r="M4989" s="483">
        <v>3210.4</v>
      </c>
      <c r="N4989" s="486">
        <v>0.41666666666666669</v>
      </c>
    </row>
    <row r="4990" spans="1:14" ht="19.5" hidden="1" thickBot="1" x14ac:dyDescent="0.3">
      <c r="A4990" s="713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1"/>
        <v>10,25</v>
      </c>
      <c r="L4990" s="527" t="s">
        <v>28</v>
      </c>
      <c r="M4990" s="527">
        <v>347.63999999999993</v>
      </c>
      <c r="N4990" s="530">
        <v>0.41666666666666669</v>
      </c>
    </row>
    <row r="4991" spans="1:14" ht="19.5" hidden="1" thickBot="1" x14ac:dyDescent="0.3">
      <c r="A4991" s="712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1"/>
        <v>10,25</v>
      </c>
      <c r="L4991" s="649" t="s">
        <v>28</v>
      </c>
      <c r="M4991" s="649">
        <v>13400.519999999999</v>
      </c>
      <c r="N4991" s="653">
        <v>0.41666666666666669</v>
      </c>
    </row>
    <row r="4992" spans="1:14" ht="19.5" hidden="1" thickBot="1" x14ac:dyDescent="0.3">
      <c r="A4992" s="714">
        <f t="shared" si="140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1"/>
        <v>10,25</v>
      </c>
      <c r="L4992" s="535" t="s">
        <v>28</v>
      </c>
      <c r="M4992" s="535">
        <v>5373.1200000000008</v>
      </c>
      <c r="N4992" s="539">
        <v>0.45833333333333331</v>
      </c>
    </row>
    <row r="4993" spans="1:14" ht="19.5" hidden="1" thickBot="1" x14ac:dyDescent="0.3">
      <c r="A4993" s="716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1"/>
        <v>10,25</v>
      </c>
      <c r="L4993" s="567" t="s">
        <v>28</v>
      </c>
      <c r="M4993" s="567">
        <v>1417.3799999999997</v>
      </c>
      <c r="N4993" s="571">
        <v>0.45833333333333331</v>
      </c>
    </row>
    <row r="4994" spans="1:14" ht="19.5" hidden="1" thickBot="1" x14ac:dyDescent="0.3">
      <c r="A4994" s="715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1"/>
        <v>10,25</v>
      </c>
      <c r="L4994" s="640" t="s">
        <v>28</v>
      </c>
      <c r="M4994" s="640">
        <v>10693.11</v>
      </c>
      <c r="N4994" s="644">
        <v>0.45833333333333331</v>
      </c>
    </row>
    <row r="4995" spans="1:14" ht="19.5" hidden="1" thickBot="1" x14ac:dyDescent="0.3">
      <c r="A4995" s="513">
        <f t="shared" si="140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1"/>
        <v>10,25</v>
      </c>
      <c r="L4995" s="518" t="s">
        <v>266</v>
      </c>
      <c r="M4995" s="518">
        <v>18037.259999999998</v>
      </c>
      <c r="N4995" s="522">
        <v>0.41666666666666669</v>
      </c>
    </row>
    <row r="4996" spans="1:14" ht="28.5" hidden="1" customHeight="1" x14ac:dyDescent="0.25">
      <c r="A4996" s="714">
        <f t="shared" si="140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717" t="s">
        <v>1099</v>
      </c>
      <c r="H4996" s="535" t="s">
        <v>1098</v>
      </c>
      <c r="I4996" s="537" t="s">
        <v>1100</v>
      </c>
      <c r="J4996" s="538"/>
      <c r="K4996" s="535" t="str">
        <f t="shared" si="141"/>
        <v>10,25</v>
      </c>
      <c r="L4996" s="535" t="s">
        <v>28</v>
      </c>
      <c r="M4996" s="535">
        <v>8318.1099999999988</v>
      </c>
      <c r="N4996" s="539">
        <v>0.5</v>
      </c>
    </row>
    <row r="4997" spans="1:14" ht="28.5" hidden="1" customHeight="1" thickBot="1" x14ac:dyDescent="0.3">
      <c r="A4997" s="715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718"/>
      <c r="H4997" s="640" t="s">
        <v>1098</v>
      </c>
      <c r="I4997" s="642" t="s">
        <v>1100</v>
      </c>
      <c r="J4997" s="643"/>
      <c r="K4997" s="640" t="str">
        <f t="shared" si="141"/>
        <v>10,25</v>
      </c>
      <c r="L4997" s="640" t="s">
        <v>28</v>
      </c>
      <c r="M4997" s="640">
        <v>6049.54</v>
      </c>
      <c r="N4997" s="644">
        <v>0.5</v>
      </c>
    </row>
    <row r="4998" spans="1:14" ht="19.5" hidden="1" thickBot="1" x14ac:dyDescent="0.3">
      <c r="A4998" s="513">
        <f t="shared" si="140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1"/>
        <v>10,25</v>
      </c>
      <c r="L4998" s="518" t="s">
        <v>265</v>
      </c>
      <c r="M4998" s="518">
        <v>11921.599999999999</v>
      </c>
      <c r="N4998" s="522">
        <v>0.375</v>
      </c>
    </row>
    <row r="4999" spans="1:14" ht="19.5" hidden="1" thickBot="1" x14ac:dyDescent="0.3">
      <c r="A4999" s="714">
        <f t="shared" si="140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717" t="s">
        <v>72</v>
      </c>
      <c r="H4999" s="535" t="s">
        <v>1100</v>
      </c>
      <c r="I4999" s="537" t="s">
        <v>1100</v>
      </c>
      <c r="J4999" s="538"/>
      <c r="K4999" s="535" t="str">
        <f t="shared" si="141"/>
        <v>10,25</v>
      </c>
      <c r="L4999" s="535" t="s">
        <v>265</v>
      </c>
      <c r="M4999" s="535">
        <v>10008.200000000001</v>
      </c>
      <c r="N4999" s="539">
        <v>0.33333333333333331</v>
      </c>
    </row>
    <row r="5000" spans="1:14" ht="19.5" hidden="1" thickBot="1" x14ac:dyDescent="0.3">
      <c r="A5000" s="715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718"/>
      <c r="H5000" s="640" t="s">
        <v>1100</v>
      </c>
      <c r="I5000" s="642" t="s">
        <v>1100</v>
      </c>
      <c r="J5000" s="643"/>
      <c r="K5000" s="640" t="str">
        <f t="shared" si="141"/>
        <v>10,25</v>
      </c>
      <c r="L5000" s="640" t="s">
        <v>265</v>
      </c>
      <c r="M5000" s="640">
        <v>3600</v>
      </c>
      <c r="N5000" s="644">
        <v>0.41666666666666669</v>
      </c>
    </row>
    <row r="5001" spans="1:14" ht="19.5" hidden="1" thickBot="1" x14ac:dyDescent="0.3">
      <c r="A5001" s="711">
        <f t="shared" si="140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1"/>
        <v>10,25</v>
      </c>
      <c r="L5001" s="483" t="s">
        <v>265</v>
      </c>
      <c r="M5001" s="483">
        <v>16225.259999999998</v>
      </c>
      <c r="N5001" s="486">
        <v>0.375</v>
      </c>
    </row>
    <row r="5002" spans="1:14" ht="19.5" hidden="1" thickBot="1" x14ac:dyDescent="0.3">
      <c r="A5002" s="713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1"/>
        <v>10,25</v>
      </c>
      <c r="L5002" s="499" t="s">
        <v>266</v>
      </c>
      <c r="M5002" s="499">
        <v>1173.7200000000003</v>
      </c>
      <c r="N5002" s="502">
        <v>0.375</v>
      </c>
    </row>
    <row r="5003" spans="1:14" ht="19.5" hidden="1" thickBot="1" x14ac:dyDescent="0.3">
      <c r="A5003" s="503">
        <f t="shared" si="140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1"/>
        <v>10,25</v>
      </c>
      <c r="L5003" s="508" t="s">
        <v>28</v>
      </c>
      <c r="M5003" s="508">
        <v>9339.6</v>
      </c>
      <c r="N5003" s="512">
        <v>0.5</v>
      </c>
    </row>
    <row r="5004" spans="1:14" ht="57" hidden="1" thickBot="1" x14ac:dyDescent="0.3">
      <c r="A5004" s="513">
        <f t="shared" si="140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1"/>
        <v>10,25</v>
      </c>
      <c r="L5004" s="518" t="s">
        <v>28</v>
      </c>
      <c r="M5004" s="518">
        <v>12181.84</v>
      </c>
      <c r="N5004" s="522">
        <v>0.5</v>
      </c>
    </row>
    <row r="5005" spans="1:14" ht="19.5" hidden="1" thickBot="1" x14ac:dyDescent="0.3">
      <c r="A5005" s="503">
        <f t="shared" si="140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1"/>
        <v>10,25</v>
      </c>
      <c r="L5005" s="508" t="s">
        <v>265</v>
      </c>
      <c r="M5005" s="508">
        <v>17670.72</v>
      </c>
      <c r="N5005" s="512">
        <v>0.375</v>
      </c>
    </row>
    <row r="5006" spans="1:14" ht="19.5" hidden="1" thickBot="1" x14ac:dyDescent="0.3">
      <c r="A5006" s="711">
        <f t="shared" si="140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1"/>
        <v>10,25</v>
      </c>
      <c r="L5006" s="483" t="s">
        <v>28</v>
      </c>
      <c r="M5006" s="483">
        <v>3006.0299999999997</v>
      </c>
      <c r="N5006" s="486">
        <v>0.41666666666666669</v>
      </c>
    </row>
    <row r="5007" spans="1:14" ht="19.5" hidden="1" thickBot="1" x14ac:dyDescent="0.3">
      <c r="A5007" s="713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1"/>
        <v>10,25</v>
      </c>
      <c r="L5007" s="527" t="s">
        <v>28</v>
      </c>
      <c r="M5007" s="527">
        <v>2264.83</v>
      </c>
      <c r="N5007" s="530">
        <v>0.41666666666666669</v>
      </c>
    </row>
    <row r="5008" spans="1:14" ht="19.5" hidden="1" thickBot="1" x14ac:dyDescent="0.3">
      <c r="A5008" s="712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1"/>
        <v>10,25</v>
      </c>
      <c r="L5008" s="649" t="s">
        <v>28</v>
      </c>
      <c r="M5008" s="649">
        <v>12059.52</v>
      </c>
      <c r="N5008" s="653">
        <v>0.41666666666666669</v>
      </c>
    </row>
    <row r="5009" spans="1:14" ht="19.5" hidden="1" thickBot="1" x14ac:dyDescent="0.3">
      <c r="A5009" s="714">
        <f t="shared" si="140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1"/>
        <v>10,25</v>
      </c>
      <c r="L5009" s="535" t="s">
        <v>266</v>
      </c>
      <c r="M5009" s="535">
        <v>4210.92</v>
      </c>
      <c r="N5009" s="539">
        <v>0.45833333333333331</v>
      </c>
    </row>
    <row r="5010" spans="1:14" ht="19.5" hidden="1" thickBot="1" x14ac:dyDescent="0.3">
      <c r="A5010" s="716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1"/>
        <v>10,25</v>
      </c>
      <c r="L5010" s="567" t="s">
        <v>28</v>
      </c>
      <c r="M5010" s="567">
        <v>9589.2800000000007</v>
      </c>
      <c r="N5010" s="571">
        <v>0.45833333333333331</v>
      </c>
    </row>
    <row r="5011" spans="1:14" ht="19.5" hidden="1" thickBot="1" x14ac:dyDescent="0.3">
      <c r="A5011" s="715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1"/>
        <v>10,25</v>
      </c>
      <c r="L5011" s="640" t="s">
        <v>28</v>
      </c>
      <c r="M5011" s="640">
        <v>3473.64</v>
      </c>
      <c r="N5011" s="644">
        <v>0.45833333333333331</v>
      </c>
    </row>
    <row r="5012" spans="1:14" ht="19.5" hidden="1" thickBot="1" x14ac:dyDescent="0.3">
      <c r="A5012" s="711">
        <f t="shared" si="140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1"/>
        <v>10,25</v>
      </c>
      <c r="L5012" s="483" t="s">
        <v>28</v>
      </c>
      <c r="M5012" s="483">
        <v>8497.68</v>
      </c>
      <c r="N5012" s="486">
        <v>0.41666666666666669</v>
      </c>
    </row>
    <row r="5013" spans="1:14" ht="19.5" hidden="1" thickBot="1" x14ac:dyDescent="0.3">
      <c r="A5013" s="712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1"/>
        <v>10,25</v>
      </c>
      <c r="L5013" s="649" t="s">
        <v>28</v>
      </c>
      <c r="M5013" s="649">
        <v>4201.2800000000007</v>
      </c>
      <c r="N5013" s="653">
        <v>0.41666666666666669</v>
      </c>
    </row>
    <row r="5014" spans="1:14" ht="19.5" hidden="1" thickBot="1" x14ac:dyDescent="0.3">
      <c r="A5014" s="714">
        <f t="shared" si="140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1"/>
        <v>10,25</v>
      </c>
      <c r="L5014" s="535" t="s">
        <v>28</v>
      </c>
      <c r="M5014" s="535">
        <v>5317.68</v>
      </c>
      <c r="N5014" s="539">
        <v>0.45833333333333331</v>
      </c>
    </row>
    <row r="5015" spans="1:14" ht="19.5" hidden="1" thickBot="1" x14ac:dyDescent="0.3">
      <c r="A5015" s="715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1"/>
        <v>10,25</v>
      </c>
      <c r="L5015" s="640" t="s">
        <v>28</v>
      </c>
      <c r="M5015" s="640">
        <v>6227.72</v>
      </c>
      <c r="N5015" s="644">
        <v>0.45833333333333331</v>
      </c>
    </row>
    <row r="5016" spans="1:14" ht="66.75" hidden="1" customHeight="1" thickBot="1" x14ac:dyDescent="0.3">
      <c r="A5016" s="513">
        <f t="shared" si="140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1"/>
        <v>10,25</v>
      </c>
      <c r="L5016" s="518" t="s">
        <v>28</v>
      </c>
      <c r="M5016" s="518">
        <v>9548.1200000000008</v>
      </c>
      <c r="N5016" s="522">
        <v>0.5</v>
      </c>
    </row>
    <row r="5017" spans="1:14" ht="19.5" hidden="1" thickBot="1" x14ac:dyDescent="0.3">
      <c r="A5017" s="551">
        <f t="shared" ref="A5017:A5079" si="142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1"/>
        <v>10,25</v>
      </c>
      <c r="L5017" s="556" t="s">
        <v>266</v>
      </c>
      <c r="M5017" s="556">
        <v>14462.160000000003</v>
      </c>
      <c r="N5017" s="560">
        <v>0.5</v>
      </c>
    </row>
    <row r="5018" spans="1:14" ht="38.25" hidden="1" thickBot="1" x14ac:dyDescent="0.3">
      <c r="A5018" s="513">
        <f t="shared" si="142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1"/>
        <v>10,25</v>
      </c>
      <c r="L5018" s="518" t="s">
        <v>266</v>
      </c>
      <c r="M5018" s="518">
        <v>14085.480000000001</v>
      </c>
      <c r="N5018" s="522">
        <v>0.41666666666666669</v>
      </c>
    </row>
    <row r="5019" spans="1:14" ht="18.75" hidden="1" customHeight="1" x14ac:dyDescent="0.25">
      <c r="A5019" s="714">
        <f t="shared" si="142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717" t="s">
        <v>843</v>
      </c>
      <c r="H5019" s="535" t="s">
        <v>1104</v>
      </c>
      <c r="I5019" s="537" t="s">
        <v>1104</v>
      </c>
      <c r="J5019" s="538"/>
      <c r="K5019" s="535" t="str">
        <f t="shared" si="141"/>
        <v>10,25</v>
      </c>
      <c r="L5019" s="535" t="s">
        <v>28</v>
      </c>
      <c r="M5019" s="535">
        <v>2834.4000000000005</v>
      </c>
      <c r="N5019" s="539">
        <v>0.45833333333333331</v>
      </c>
    </row>
    <row r="5020" spans="1:14" ht="19.5" hidden="1" thickBot="1" x14ac:dyDescent="0.3">
      <c r="A5020" s="715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718"/>
      <c r="H5020" s="640" t="s">
        <v>1104</v>
      </c>
      <c r="I5020" s="642" t="s">
        <v>1104</v>
      </c>
      <c r="J5020" s="643"/>
      <c r="K5020" s="640" t="str">
        <f t="shared" si="141"/>
        <v>10,25</v>
      </c>
      <c r="L5020" s="640" t="s">
        <v>28</v>
      </c>
      <c r="M5020" s="640">
        <v>7294.2000000000007</v>
      </c>
      <c r="N5020" s="644">
        <v>0.45833333333333331</v>
      </c>
    </row>
    <row r="5021" spans="1:14" ht="19.5" hidden="1" thickBot="1" x14ac:dyDescent="0.3">
      <c r="A5021" s="572">
        <f t="shared" si="142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1"/>
        <v>10,25</v>
      </c>
      <c r="L5021" s="577" t="s">
        <v>266</v>
      </c>
      <c r="M5021" s="577">
        <v>6981.08</v>
      </c>
      <c r="N5021" s="581">
        <v>0.5</v>
      </c>
    </row>
    <row r="5022" spans="1:14" ht="19.5" hidden="1" thickBot="1" x14ac:dyDescent="0.3">
      <c r="A5022" s="503">
        <f t="shared" si="142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1"/>
        <v>10,25</v>
      </c>
      <c r="L5022" s="508" t="s">
        <v>266</v>
      </c>
      <c r="M5022" s="508">
        <v>17901.240000000002</v>
      </c>
      <c r="N5022" s="512">
        <v>0.375</v>
      </c>
    </row>
    <row r="5023" spans="1:14" ht="19.5" hidden="1" thickBot="1" x14ac:dyDescent="0.3">
      <c r="A5023" s="513">
        <f t="shared" si="142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1"/>
        <v>10,25</v>
      </c>
      <c r="L5023" s="518" t="s">
        <v>266</v>
      </c>
      <c r="M5023" s="518">
        <v>18118.68</v>
      </c>
      <c r="N5023" s="522">
        <v>0.41666666666666669</v>
      </c>
    </row>
    <row r="5024" spans="1:14" ht="19.5" hidden="1" thickBot="1" x14ac:dyDescent="0.3">
      <c r="A5024" s="503">
        <f t="shared" si="142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1"/>
        <v>10,25</v>
      </c>
      <c r="L5024" s="508" t="s">
        <v>266</v>
      </c>
      <c r="M5024" s="508">
        <v>18105.269999999997</v>
      </c>
      <c r="N5024" s="512">
        <v>0.45833333333333331</v>
      </c>
    </row>
    <row r="5025" spans="1:14" ht="19.5" hidden="1" thickBot="1" x14ac:dyDescent="0.3">
      <c r="A5025" s="513">
        <f t="shared" si="142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1"/>
        <v>10,25</v>
      </c>
      <c r="L5025" s="518" t="s">
        <v>266</v>
      </c>
      <c r="M5025" s="518">
        <v>18009.599999999999</v>
      </c>
      <c r="N5025" s="522">
        <v>0.5</v>
      </c>
    </row>
    <row r="5026" spans="1:14" ht="19.5" hidden="1" thickBot="1" x14ac:dyDescent="0.3">
      <c r="A5026" s="714">
        <f t="shared" si="142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1"/>
        <v>10,25</v>
      </c>
      <c r="L5026" s="535" t="s">
        <v>266</v>
      </c>
      <c r="M5026" s="535">
        <v>5485.2599999999993</v>
      </c>
      <c r="N5026" s="539">
        <v>0.54166666666666663</v>
      </c>
    </row>
    <row r="5027" spans="1:14" ht="19.5" hidden="1" thickBot="1" x14ac:dyDescent="0.3">
      <c r="A5027" s="716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1"/>
        <v>10,25</v>
      </c>
      <c r="L5027" s="567" t="s">
        <v>266</v>
      </c>
      <c r="M5027" s="567">
        <v>5545.3199999999988</v>
      </c>
      <c r="N5027" s="571">
        <v>0.54166666666666663</v>
      </c>
    </row>
    <row r="5028" spans="1:14" ht="19.5" hidden="1" thickBot="1" x14ac:dyDescent="0.3">
      <c r="A5028" s="716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1"/>
        <v>10,25</v>
      </c>
      <c r="L5028" s="594" t="s">
        <v>266</v>
      </c>
      <c r="M5028" s="594">
        <v>5505</v>
      </c>
      <c r="N5028" s="598">
        <v>0.54166666666666663</v>
      </c>
    </row>
    <row r="5029" spans="1:14" ht="19.5" hidden="1" thickBot="1" x14ac:dyDescent="0.3">
      <c r="A5029" s="711">
        <f t="shared" si="142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1"/>
        <v>10,25</v>
      </c>
      <c r="L5029" s="483" t="s">
        <v>265</v>
      </c>
      <c r="M5029" s="483">
        <v>13473.8</v>
      </c>
      <c r="N5029" s="486">
        <v>0.375</v>
      </c>
    </row>
    <row r="5030" spans="1:14" ht="19.5" hidden="1" thickBot="1" x14ac:dyDescent="0.3">
      <c r="A5030" s="712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1"/>
        <v>10,25</v>
      </c>
      <c r="L5030" s="649" t="s">
        <v>265</v>
      </c>
      <c r="M5030" s="649">
        <v>3810.1099999999997</v>
      </c>
      <c r="N5030" s="653">
        <v>0.375</v>
      </c>
    </row>
    <row r="5031" spans="1:14" ht="19.5" hidden="1" thickBot="1" x14ac:dyDescent="0.3">
      <c r="A5031" s="503">
        <f t="shared" si="142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1"/>
        <v>10,25</v>
      </c>
      <c r="L5031" s="508" t="s">
        <v>265</v>
      </c>
      <c r="M5031" s="508">
        <v>17466.53</v>
      </c>
      <c r="N5031" s="512">
        <v>0.41666666666666669</v>
      </c>
    </row>
    <row r="5032" spans="1:14" ht="19.5" hidden="1" thickBot="1" x14ac:dyDescent="0.3">
      <c r="A5032" s="513">
        <f t="shared" si="142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1"/>
        <v>10,25</v>
      </c>
      <c r="L5032" s="518" t="s">
        <v>265</v>
      </c>
      <c r="M5032" s="518">
        <v>17498</v>
      </c>
      <c r="N5032" s="522">
        <v>0.375</v>
      </c>
    </row>
    <row r="5033" spans="1:14" ht="19.5" hidden="1" thickBot="1" x14ac:dyDescent="0.3">
      <c r="A5033" s="503">
        <f t="shared" si="142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1"/>
        <v>10,25</v>
      </c>
      <c r="L5033" s="508" t="s">
        <v>265</v>
      </c>
      <c r="M5033" s="508">
        <v>11263.32</v>
      </c>
      <c r="N5033" s="512">
        <v>0.375</v>
      </c>
    </row>
    <row r="5034" spans="1:14" ht="19.5" hidden="1" thickBot="1" x14ac:dyDescent="0.3">
      <c r="A5034" s="513">
        <f t="shared" si="142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1"/>
        <v>10,25</v>
      </c>
      <c r="L5034" s="518" t="s">
        <v>28</v>
      </c>
      <c r="M5034" s="518">
        <v>8492.4</v>
      </c>
      <c r="N5034" s="522">
        <v>0.5</v>
      </c>
    </row>
    <row r="5035" spans="1:14" ht="27.75" hidden="1" customHeight="1" x14ac:dyDescent="0.25">
      <c r="A5035" s="714">
        <f t="shared" si="142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717" t="s">
        <v>1110</v>
      </c>
      <c r="H5035" s="535" t="s">
        <v>1109</v>
      </c>
      <c r="I5035" s="537" t="s">
        <v>1109</v>
      </c>
      <c r="J5035" s="538"/>
      <c r="K5035" s="535" t="str">
        <f t="shared" si="141"/>
        <v>10,25</v>
      </c>
      <c r="L5035" s="535" t="s">
        <v>28</v>
      </c>
      <c r="M5035" s="535">
        <v>4391.7</v>
      </c>
      <c r="N5035" s="539">
        <v>0.41666666666666669</v>
      </c>
    </row>
    <row r="5036" spans="1:14" ht="27.75" hidden="1" customHeight="1" thickBot="1" x14ac:dyDescent="0.3">
      <c r="A5036" s="715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718"/>
      <c r="H5036" s="640" t="s">
        <v>1109</v>
      </c>
      <c r="I5036" s="642" t="s">
        <v>1109</v>
      </c>
      <c r="J5036" s="643"/>
      <c r="K5036" s="640" t="str">
        <f t="shared" si="141"/>
        <v>10,25</v>
      </c>
      <c r="L5036" s="640" t="s">
        <v>28</v>
      </c>
      <c r="M5036" s="640">
        <v>9283.619999999999</v>
      </c>
      <c r="N5036" s="644">
        <v>0.41666666666666669</v>
      </c>
    </row>
    <row r="5037" spans="1:14" ht="19.5" hidden="1" thickBot="1" x14ac:dyDescent="0.3">
      <c r="A5037" s="711">
        <f t="shared" si="142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1"/>
        <v>10,25</v>
      </c>
      <c r="L5037" s="483" t="s">
        <v>28</v>
      </c>
      <c r="M5037" s="483">
        <v>13012.2</v>
      </c>
      <c r="N5037" s="486">
        <v>0.45833333333333331</v>
      </c>
    </row>
    <row r="5038" spans="1:14" ht="19.5" hidden="1" thickBot="1" x14ac:dyDescent="0.3">
      <c r="A5038" s="712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1"/>
        <v>10,25</v>
      </c>
      <c r="L5038" s="649" t="s">
        <v>28</v>
      </c>
      <c r="M5038" s="649">
        <v>4754.4299999999994</v>
      </c>
      <c r="N5038" s="653">
        <v>0.45833333333333331</v>
      </c>
    </row>
    <row r="5039" spans="1:14" ht="19.5" hidden="1" thickBot="1" x14ac:dyDescent="0.3">
      <c r="A5039" s="714">
        <f t="shared" si="142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1"/>
        <v>10,25</v>
      </c>
      <c r="L5039" s="535" t="s">
        <v>28</v>
      </c>
      <c r="M5039" s="535">
        <v>1017</v>
      </c>
      <c r="N5039" s="539">
        <v>0.5</v>
      </c>
    </row>
    <row r="5040" spans="1:14" ht="19.5" hidden="1" thickBot="1" x14ac:dyDescent="0.3">
      <c r="A5040" s="716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1"/>
        <v>10,25</v>
      </c>
      <c r="L5040" s="567" t="s">
        <v>28</v>
      </c>
      <c r="M5040" s="567">
        <v>1556.0399999999997</v>
      </c>
      <c r="N5040" s="571">
        <v>0.5</v>
      </c>
    </row>
    <row r="5041" spans="1:14" ht="19.5" hidden="1" thickBot="1" x14ac:dyDescent="0.3">
      <c r="A5041" s="715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1"/>
        <v>10,25</v>
      </c>
      <c r="L5041" s="640" t="s">
        <v>28</v>
      </c>
      <c r="M5041" s="640">
        <v>15067.95</v>
      </c>
      <c r="N5041" s="644">
        <v>0.5</v>
      </c>
    </row>
    <row r="5042" spans="1:14" ht="19.5" hidden="1" thickBot="1" x14ac:dyDescent="0.3">
      <c r="A5042" s="711">
        <f t="shared" si="142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720" t="s">
        <v>72</v>
      </c>
      <c r="H5042" s="483" t="s">
        <v>1111</v>
      </c>
      <c r="I5042" s="484" t="s">
        <v>1111</v>
      </c>
      <c r="J5042" s="485"/>
      <c r="K5042" s="483" t="str">
        <f t="shared" si="141"/>
        <v>10,25</v>
      </c>
      <c r="L5042" s="483" t="s">
        <v>265</v>
      </c>
      <c r="M5042" s="483">
        <v>7052.5999999999995</v>
      </c>
      <c r="N5042" s="486">
        <v>0.33333333333333331</v>
      </c>
    </row>
    <row r="5043" spans="1:14" ht="19.5" hidden="1" thickBot="1" x14ac:dyDescent="0.3">
      <c r="A5043" s="713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722"/>
      <c r="H5043" s="527" t="s">
        <v>1111</v>
      </c>
      <c r="I5043" s="528" t="s">
        <v>1111</v>
      </c>
      <c r="J5043" s="529"/>
      <c r="K5043" s="527" t="str">
        <f t="shared" si="141"/>
        <v>10,25</v>
      </c>
      <c r="L5043" s="527" t="s">
        <v>266</v>
      </c>
      <c r="M5043" s="527">
        <v>2162.1600000000003</v>
      </c>
      <c r="N5043" s="530">
        <v>0.41666666666666669</v>
      </c>
    </row>
    <row r="5044" spans="1:14" ht="19.5" hidden="1" thickBot="1" x14ac:dyDescent="0.3">
      <c r="A5044" s="713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722"/>
      <c r="H5044" s="499" t="s">
        <v>1111</v>
      </c>
      <c r="I5044" s="500" t="s">
        <v>1111</v>
      </c>
      <c r="J5044" s="501"/>
      <c r="K5044" s="499" t="str">
        <f t="shared" ref="K5044:K5108" si="143">RIGHT(I5044,5)</f>
        <v>10,25</v>
      </c>
      <c r="L5044" s="499" t="s">
        <v>265</v>
      </c>
      <c r="M5044" s="499">
        <v>5104.0600000000004</v>
      </c>
      <c r="N5044" s="502">
        <v>0.41666666666666669</v>
      </c>
    </row>
    <row r="5045" spans="1:14" ht="19.5" hidden="1" thickBot="1" x14ac:dyDescent="0.3">
      <c r="A5045" s="503">
        <f t="shared" si="142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3"/>
        <v>10,25</v>
      </c>
      <c r="L5045" s="508" t="s">
        <v>28</v>
      </c>
      <c r="M5045" s="508">
        <v>12639.52</v>
      </c>
      <c r="N5045" s="512">
        <v>0.41666666666666669</v>
      </c>
    </row>
    <row r="5046" spans="1:14" ht="19.5" hidden="1" thickBot="1" x14ac:dyDescent="0.3">
      <c r="A5046" s="672">
        <f t="shared" si="142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3"/>
        <v>10,25</v>
      </c>
      <c r="L5046" s="499" t="s">
        <v>265</v>
      </c>
      <c r="M5046" s="499">
        <v>17707.78</v>
      </c>
      <c r="N5046" s="502">
        <v>0.375</v>
      </c>
    </row>
    <row r="5047" spans="1:14" ht="19.5" hidden="1" thickBot="1" x14ac:dyDescent="0.3">
      <c r="A5047" s="714">
        <f t="shared" si="142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717" t="s">
        <v>1113</v>
      </c>
      <c r="H5047" s="535" t="s">
        <v>1111</v>
      </c>
      <c r="I5047" s="537" t="s">
        <v>1114</v>
      </c>
      <c r="J5047" s="538"/>
      <c r="K5047" s="535" t="str">
        <f t="shared" si="143"/>
        <v>10,25</v>
      </c>
      <c r="L5047" s="535" t="s">
        <v>28</v>
      </c>
      <c r="M5047" s="535">
        <v>10056.91</v>
      </c>
      <c r="N5047" s="539">
        <v>0.45833333333333331</v>
      </c>
    </row>
    <row r="5048" spans="1:14" ht="19.5" hidden="1" thickBot="1" x14ac:dyDescent="0.3">
      <c r="A5048" s="715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718"/>
      <c r="H5048" s="640" t="s">
        <v>1111</v>
      </c>
      <c r="I5048" s="642" t="s">
        <v>1114</v>
      </c>
      <c r="J5048" s="643"/>
      <c r="K5048" s="640" t="str">
        <f t="shared" si="143"/>
        <v>10,25</v>
      </c>
      <c r="L5048" s="640" t="s">
        <v>28</v>
      </c>
      <c r="M5048" s="640">
        <v>2799.1800000000003</v>
      </c>
      <c r="N5048" s="644">
        <v>0.45833333333333331</v>
      </c>
    </row>
    <row r="5049" spans="1:14" ht="19.5" hidden="1" thickBot="1" x14ac:dyDescent="0.3">
      <c r="A5049" s="713">
        <f t="shared" si="142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3"/>
        <v>10,25</v>
      </c>
      <c r="L5049" s="527" t="s">
        <v>28</v>
      </c>
      <c r="M5049" s="527">
        <v>128.4</v>
      </c>
      <c r="N5049" s="530">
        <v>0.41666666666666669</v>
      </c>
    </row>
    <row r="5050" spans="1:14" ht="19.5" hidden="1" thickBot="1" x14ac:dyDescent="0.3">
      <c r="A5050" s="713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3"/>
        <v>10,25</v>
      </c>
      <c r="L5050" s="527" t="s">
        <v>28</v>
      </c>
      <c r="M5050" s="527">
        <v>3634.4599999999996</v>
      </c>
      <c r="N5050" s="530">
        <v>0.41666666666666669</v>
      </c>
    </row>
    <row r="5051" spans="1:14" ht="19.5" hidden="1" thickBot="1" x14ac:dyDescent="0.3">
      <c r="A5051" s="713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3"/>
        <v>10,25</v>
      </c>
      <c r="L5051" s="527" t="s">
        <v>28</v>
      </c>
      <c r="M5051" s="527">
        <v>7199.29</v>
      </c>
      <c r="N5051" s="530">
        <v>0.41666666666666669</v>
      </c>
    </row>
    <row r="5052" spans="1:14" ht="19.5" hidden="1" thickBot="1" x14ac:dyDescent="0.3">
      <c r="A5052" s="713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3"/>
        <v>10,25</v>
      </c>
      <c r="L5052" s="499" t="s">
        <v>28</v>
      </c>
      <c r="M5052" s="499">
        <v>6725.64</v>
      </c>
      <c r="N5052" s="502">
        <v>0.41666666666666669</v>
      </c>
    </row>
    <row r="5053" spans="1:14" ht="19.5" hidden="1" thickBot="1" x14ac:dyDescent="0.3">
      <c r="A5053" s="503">
        <f t="shared" si="142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3"/>
        <v>10,25</v>
      </c>
      <c r="L5053" s="508" t="s">
        <v>266</v>
      </c>
      <c r="M5053" s="508">
        <v>18015</v>
      </c>
      <c r="N5053" s="512">
        <v>0.5</v>
      </c>
    </row>
    <row r="5054" spans="1:14" ht="19.5" hidden="1" thickBot="1" x14ac:dyDescent="0.3">
      <c r="A5054" s="713">
        <f t="shared" si="142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3"/>
        <v>10,25</v>
      </c>
      <c r="L5054" s="527" t="s">
        <v>28</v>
      </c>
      <c r="M5054" s="527">
        <v>5909.4</v>
      </c>
      <c r="N5054" s="530">
        <v>0.41666666666666669</v>
      </c>
    </row>
    <row r="5055" spans="1:14" ht="19.5" hidden="1" thickBot="1" x14ac:dyDescent="0.3">
      <c r="A5055" s="713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3"/>
        <v>10,25</v>
      </c>
      <c r="L5055" s="499" t="s">
        <v>28</v>
      </c>
      <c r="M5055" s="499">
        <v>5259.16</v>
      </c>
      <c r="N5055" s="502">
        <v>0.41666666666666669</v>
      </c>
    </row>
    <row r="5056" spans="1:14" ht="19.5" hidden="1" thickBot="1" x14ac:dyDescent="0.3">
      <c r="A5056" s="503">
        <f t="shared" si="142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3"/>
        <v>10,25</v>
      </c>
      <c r="L5056" s="508" t="s">
        <v>28</v>
      </c>
      <c r="M5056" s="508">
        <v>9865.1600000000017</v>
      </c>
      <c r="N5056" s="512">
        <v>0.45833333333333331</v>
      </c>
    </row>
    <row r="5057" spans="1:14" ht="19.5" hidden="1" thickBot="1" x14ac:dyDescent="0.3">
      <c r="A5057" s="675">
        <f t="shared" si="142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3"/>
        <v>10,25</v>
      </c>
      <c r="L5057" s="649" t="s">
        <v>28</v>
      </c>
      <c r="M5057" s="649">
        <v>12807.2</v>
      </c>
      <c r="N5057" s="653">
        <v>0.5</v>
      </c>
    </row>
    <row r="5058" spans="1:14" ht="38.25" hidden="1" thickBot="1" x14ac:dyDescent="0.3">
      <c r="A5058" s="503">
        <f t="shared" si="142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3"/>
        <v>10,25</v>
      </c>
      <c r="L5058" s="508" t="s">
        <v>266</v>
      </c>
      <c r="M5058" s="508">
        <v>14336.16</v>
      </c>
      <c r="N5058" s="512">
        <v>0.41666666666666669</v>
      </c>
    </row>
    <row r="5059" spans="1:14" ht="19.5" hidden="1" thickBot="1" x14ac:dyDescent="0.3">
      <c r="A5059" s="711">
        <f t="shared" si="142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3"/>
        <v>10,25</v>
      </c>
      <c r="L5059" s="483" t="s">
        <v>266</v>
      </c>
      <c r="M5059" s="483">
        <v>10282.150000000001</v>
      </c>
      <c r="N5059" s="486">
        <v>0.5</v>
      </c>
    </row>
    <row r="5060" spans="1:14" ht="19.5" hidden="1" thickBot="1" x14ac:dyDescent="0.3">
      <c r="A5060" s="713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3"/>
        <v>10,25</v>
      </c>
      <c r="L5060" s="499" t="s">
        <v>266</v>
      </c>
      <c r="M5060" s="499">
        <v>3750.3900000000003</v>
      </c>
      <c r="N5060" s="502">
        <v>0.5</v>
      </c>
    </row>
    <row r="5061" spans="1:14" ht="19.5" hidden="1" thickBot="1" x14ac:dyDescent="0.3">
      <c r="A5061" s="503">
        <f t="shared" si="142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3"/>
        <v>10,25</v>
      </c>
      <c r="L5061" s="508" t="s">
        <v>266</v>
      </c>
      <c r="M5061" s="508">
        <v>18192.660000000003</v>
      </c>
      <c r="N5061" s="512">
        <v>0.41666666666666669</v>
      </c>
    </row>
    <row r="5062" spans="1:14" ht="19.5" hidden="1" thickBot="1" x14ac:dyDescent="0.3">
      <c r="A5062" s="513">
        <f t="shared" si="142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3"/>
        <v>10,25</v>
      </c>
      <c r="L5062" s="518" t="s">
        <v>266</v>
      </c>
      <c r="M5062" s="518">
        <v>18115.740000000005</v>
      </c>
      <c r="N5062" s="522">
        <v>0.45833333333333331</v>
      </c>
    </row>
    <row r="5063" spans="1:14" ht="19.5" hidden="1" thickBot="1" x14ac:dyDescent="0.3">
      <c r="A5063" s="714">
        <f t="shared" si="142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3"/>
        <v>10,25</v>
      </c>
      <c r="L5063" s="535" t="s">
        <v>266</v>
      </c>
      <c r="M5063" s="535">
        <v>18020.400000000001</v>
      </c>
      <c r="N5063" s="539">
        <v>0.5</v>
      </c>
    </row>
    <row r="5064" spans="1:14" ht="19.5" hidden="1" thickBot="1" x14ac:dyDescent="0.3">
      <c r="A5064" s="715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3"/>
        <v>10,25</v>
      </c>
      <c r="L5064" s="640" t="s">
        <v>266</v>
      </c>
      <c r="M5064" s="640">
        <v>245</v>
      </c>
      <c r="N5064" s="644">
        <v>0.5</v>
      </c>
    </row>
    <row r="5065" spans="1:14" ht="19.5" hidden="1" thickBot="1" x14ac:dyDescent="0.3">
      <c r="A5065" s="711">
        <f t="shared" si="142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720" t="s">
        <v>1117</v>
      </c>
      <c r="H5065" s="483" t="s">
        <v>1116</v>
      </c>
      <c r="I5065" s="484" t="s">
        <v>1116</v>
      </c>
      <c r="J5065" s="485"/>
      <c r="K5065" s="483" t="str">
        <f t="shared" si="143"/>
        <v>10,25</v>
      </c>
      <c r="L5065" s="483" t="s">
        <v>266</v>
      </c>
      <c r="M5065" s="483">
        <v>822.9</v>
      </c>
      <c r="N5065" s="486">
        <v>0.54166666666666663</v>
      </c>
    </row>
    <row r="5066" spans="1:14" ht="19.5" hidden="1" thickBot="1" x14ac:dyDescent="0.3">
      <c r="A5066" s="713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723"/>
      <c r="H5066" s="527" t="s">
        <v>1116</v>
      </c>
      <c r="I5066" s="528" t="s">
        <v>1116</v>
      </c>
      <c r="J5066" s="529"/>
      <c r="K5066" s="527" t="str">
        <f t="shared" si="143"/>
        <v>10,25</v>
      </c>
      <c r="L5066" s="527" t="s">
        <v>266</v>
      </c>
      <c r="M5066" s="527">
        <v>772.62</v>
      </c>
      <c r="N5066" s="530">
        <v>0.54166666666666663</v>
      </c>
    </row>
    <row r="5067" spans="1:14" ht="19.5" hidden="1" thickBot="1" x14ac:dyDescent="0.3">
      <c r="A5067" s="713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3"/>
        <v>10,25</v>
      </c>
      <c r="L5067" s="527" t="s">
        <v>266</v>
      </c>
      <c r="M5067" s="527">
        <v>3707.5800000000004</v>
      </c>
      <c r="N5067" s="530">
        <v>0.54166666666666663</v>
      </c>
    </row>
    <row r="5068" spans="1:14" ht="19.5" hidden="1" thickBot="1" x14ac:dyDescent="0.3">
      <c r="A5068" s="713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3"/>
        <v>10,25</v>
      </c>
      <c r="L5068" s="527" t="s">
        <v>266</v>
      </c>
      <c r="M5068" s="527">
        <v>9779.43</v>
      </c>
      <c r="N5068" s="530">
        <v>0.54166666666666663</v>
      </c>
    </row>
    <row r="5069" spans="1:14" ht="19.5" hidden="1" thickBot="1" x14ac:dyDescent="0.3">
      <c r="A5069" s="713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3"/>
        <v>10,25</v>
      </c>
      <c r="L5069" s="499" t="s">
        <v>266</v>
      </c>
      <c r="M5069" s="499">
        <v>2011.1999999999998</v>
      </c>
      <c r="N5069" s="502">
        <v>0.54166666666666663</v>
      </c>
    </row>
    <row r="5070" spans="1:14" ht="38.25" hidden="1" thickBot="1" x14ac:dyDescent="0.3">
      <c r="A5070" s="714">
        <f t="shared" si="142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3"/>
        <v>нет</v>
      </c>
      <c r="L5070" s="535" t="s">
        <v>265</v>
      </c>
      <c r="M5070" s="535">
        <v>13637.76</v>
      </c>
      <c r="N5070" s="539">
        <v>0.375</v>
      </c>
    </row>
    <row r="5071" spans="1:14" ht="19.5" hidden="1" thickBot="1" x14ac:dyDescent="0.3">
      <c r="A5071" s="715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3"/>
        <v>10,25</v>
      </c>
      <c r="L5071" s="640" t="s">
        <v>265</v>
      </c>
      <c r="M5071" s="640">
        <v>3685.1099999999997</v>
      </c>
      <c r="N5071" s="644">
        <v>0.375</v>
      </c>
    </row>
    <row r="5072" spans="1:14" ht="19.5" hidden="1" thickBot="1" x14ac:dyDescent="0.3">
      <c r="A5072" s="513">
        <f t="shared" si="142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3"/>
        <v>10,25</v>
      </c>
      <c r="L5072" s="518" t="s">
        <v>265</v>
      </c>
      <c r="M5072" s="518">
        <v>17568.860000000004</v>
      </c>
      <c r="N5072" s="522">
        <v>0.41666666666666669</v>
      </c>
    </row>
    <row r="5073" spans="1:14" ht="19.5" hidden="1" thickBot="1" x14ac:dyDescent="0.3">
      <c r="A5073" s="503">
        <f t="shared" si="142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3"/>
        <v>11,25</v>
      </c>
      <c r="L5073" s="508" t="s">
        <v>265</v>
      </c>
      <c r="M5073" s="508">
        <v>17704.080000000002</v>
      </c>
      <c r="N5073" s="512">
        <v>0.375</v>
      </c>
    </row>
    <row r="5074" spans="1:14" ht="19.5" hidden="1" thickBot="1" x14ac:dyDescent="0.3">
      <c r="A5074" s="711">
        <f t="shared" si="142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3"/>
        <v>11,25</v>
      </c>
      <c r="L5074" s="483" t="s">
        <v>28</v>
      </c>
      <c r="M5074" s="483">
        <v>4531.83</v>
      </c>
      <c r="N5074" s="486">
        <v>0.41666666666666669</v>
      </c>
    </row>
    <row r="5075" spans="1:14" ht="19.5" hidden="1" thickBot="1" x14ac:dyDescent="0.3">
      <c r="A5075" s="713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3"/>
        <v>11,25</v>
      </c>
      <c r="L5075" s="527" t="s">
        <v>28</v>
      </c>
      <c r="M5075" s="527">
        <v>4089.6000000000004</v>
      </c>
      <c r="N5075" s="530">
        <v>0.41666666666666669</v>
      </c>
    </row>
    <row r="5076" spans="1:14" ht="19.5" hidden="1" thickBot="1" x14ac:dyDescent="0.3">
      <c r="A5076" s="712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3"/>
        <v>11,25</v>
      </c>
      <c r="L5076" s="649" t="s">
        <v>28</v>
      </c>
      <c r="M5076" s="649">
        <v>8632.1400000000012</v>
      </c>
      <c r="N5076" s="653">
        <v>0.41666666666666669</v>
      </c>
    </row>
    <row r="5077" spans="1:14" ht="19.5" hidden="1" thickBot="1" x14ac:dyDescent="0.3">
      <c r="A5077" s="714">
        <f t="shared" si="142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3"/>
        <v>11,25</v>
      </c>
      <c r="L5077" s="535" t="s">
        <v>28</v>
      </c>
      <c r="M5077" s="535">
        <v>13606.360000000002</v>
      </c>
      <c r="N5077" s="539">
        <v>0.45833333333333331</v>
      </c>
    </row>
    <row r="5078" spans="1:14" ht="19.5" hidden="1" thickBot="1" x14ac:dyDescent="0.3">
      <c r="A5078" s="715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3"/>
        <v>11,25</v>
      </c>
      <c r="L5078" s="640" t="s">
        <v>28</v>
      </c>
      <c r="M5078" s="640">
        <v>3644.9</v>
      </c>
      <c r="N5078" s="644">
        <v>0.45833333333333331</v>
      </c>
    </row>
    <row r="5079" spans="1:14" ht="19.5" hidden="1" thickBot="1" x14ac:dyDescent="0.3">
      <c r="A5079" s="711">
        <f t="shared" si="142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3"/>
        <v>11,25</v>
      </c>
      <c r="L5079" s="483" t="s">
        <v>28</v>
      </c>
      <c r="M5079" s="483">
        <v>1822.3799999999999</v>
      </c>
      <c r="N5079" s="486">
        <v>0.5</v>
      </c>
    </row>
    <row r="5080" spans="1:14" ht="19.5" hidden="1" thickBot="1" x14ac:dyDescent="0.3">
      <c r="A5080" s="712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3"/>
        <v>11,25</v>
      </c>
      <c r="L5080" s="649" t="s">
        <v>28</v>
      </c>
      <c r="M5080" s="649">
        <v>15425.66</v>
      </c>
      <c r="N5080" s="653">
        <v>0.5</v>
      </c>
    </row>
    <row r="5081" spans="1:14" ht="19.5" hidden="1" thickBot="1" x14ac:dyDescent="0.3">
      <c r="A5081" s="551">
        <f t="shared" ref="A5081:A5142" si="144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3"/>
        <v>10,25</v>
      </c>
      <c r="L5081" s="556" t="s">
        <v>265</v>
      </c>
      <c r="M5081" s="556">
        <v>12497.279999999999</v>
      </c>
      <c r="N5081" s="560">
        <v>0.375</v>
      </c>
    </row>
    <row r="5082" spans="1:14" ht="57" hidden="1" thickBot="1" x14ac:dyDescent="0.3">
      <c r="A5082" s="711">
        <f t="shared" si="144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3"/>
        <v>11,25</v>
      </c>
      <c r="L5082" s="483" t="s">
        <v>28</v>
      </c>
      <c r="M5082" s="483">
        <v>1100.1600000000001</v>
      </c>
      <c r="N5082" s="486">
        <v>0.54166666666666663</v>
      </c>
    </row>
    <row r="5083" spans="1:14" ht="19.5" hidden="1" thickBot="1" x14ac:dyDescent="0.3">
      <c r="A5083" s="712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3"/>
        <v>11,25</v>
      </c>
      <c r="L5083" s="649" t="s">
        <v>28</v>
      </c>
      <c r="M5083" s="649">
        <v>16350.32</v>
      </c>
      <c r="N5083" s="653">
        <v>0.54166666666666663</v>
      </c>
    </row>
    <row r="5084" spans="1:14" ht="19.5" hidden="1" thickBot="1" x14ac:dyDescent="0.3">
      <c r="A5084" s="714">
        <f t="shared" si="144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717" t="s">
        <v>72</v>
      </c>
      <c r="H5084" s="535" t="s">
        <v>1120</v>
      </c>
      <c r="I5084" s="537" t="s">
        <v>1120</v>
      </c>
      <c r="J5084" s="538"/>
      <c r="K5084" s="535" t="str">
        <f t="shared" si="143"/>
        <v>11,25</v>
      </c>
      <c r="L5084" s="535" t="s">
        <v>265</v>
      </c>
      <c r="M5084" s="535">
        <v>10026.64</v>
      </c>
      <c r="N5084" s="539">
        <v>0.33333333333333331</v>
      </c>
    </row>
    <row r="5085" spans="1:14" ht="19.5" hidden="1" thickBot="1" x14ac:dyDescent="0.3">
      <c r="A5085" s="716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719"/>
      <c r="H5085" s="567" t="s">
        <v>1120</v>
      </c>
      <c r="I5085" s="569" t="s">
        <v>1120</v>
      </c>
      <c r="J5085" s="570"/>
      <c r="K5085" s="567" t="str">
        <f t="shared" si="143"/>
        <v>11,25</v>
      </c>
      <c r="L5085" s="567" t="s">
        <v>265</v>
      </c>
      <c r="M5085" s="567">
        <v>2496.0800000000004</v>
      </c>
      <c r="N5085" s="571">
        <v>0.41666666666666669</v>
      </c>
    </row>
    <row r="5086" spans="1:14" ht="19.5" hidden="1" thickBot="1" x14ac:dyDescent="0.3">
      <c r="A5086" s="715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718"/>
      <c r="H5086" s="640" t="s">
        <v>1120</v>
      </c>
      <c r="I5086" s="642" t="s">
        <v>1120</v>
      </c>
      <c r="J5086" s="643"/>
      <c r="K5086" s="640" t="str">
        <f t="shared" si="143"/>
        <v>11,25</v>
      </c>
      <c r="L5086" s="640" t="s">
        <v>266</v>
      </c>
      <c r="M5086" s="640">
        <v>829.25999999999988</v>
      </c>
      <c r="N5086" s="644">
        <v>0.41666666666666669</v>
      </c>
    </row>
    <row r="5087" spans="1:14" ht="19.5" hidden="1" thickBot="1" x14ac:dyDescent="0.3">
      <c r="A5087" s="711">
        <f t="shared" si="144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3"/>
        <v>11,25</v>
      </c>
      <c r="L5087" s="483" t="s">
        <v>266</v>
      </c>
      <c r="M5087" s="483">
        <v>5974.920000000001</v>
      </c>
      <c r="N5087" s="486">
        <v>0.41666666666666669</v>
      </c>
    </row>
    <row r="5088" spans="1:14" ht="19.5" hidden="1" thickBot="1" x14ac:dyDescent="0.3">
      <c r="A5088" s="713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3"/>
        <v>11,25</v>
      </c>
      <c r="L5088" s="499" t="s">
        <v>28</v>
      </c>
      <c r="M5088" s="499">
        <v>3216.12</v>
      </c>
      <c r="N5088" s="502">
        <v>0.41666666666666669</v>
      </c>
    </row>
    <row r="5089" spans="1:14" ht="19.5" hidden="1" thickBot="1" x14ac:dyDescent="0.3">
      <c r="A5089" s="503">
        <f t="shared" si="144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3"/>
        <v>11,25</v>
      </c>
      <c r="L5089" s="508" t="s">
        <v>266</v>
      </c>
      <c r="M5089" s="508">
        <v>18510</v>
      </c>
      <c r="N5089" s="512">
        <v>0.45833333333333331</v>
      </c>
    </row>
    <row r="5090" spans="1:14" ht="19.5" hidden="1" thickBot="1" x14ac:dyDescent="0.3">
      <c r="A5090" s="513">
        <f t="shared" si="144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3"/>
        <v>11,25</v>
      </c>
      <c r="L5090" s="518" t="s">
        <v>28</v>
      </c>
      <c r="M5090" s="518">
        <v>10694.64</v>
      </c>
      <c r="N5090" s="522">
        <v>0.41666666666666669</v>
      </c>
    </row>
    <row r="5091" spans="1:14" ht="19.5" hidden="1" thickBot="1" x14ac:dyDescent="0.3">
      <c r="A5091" s="714">
        <f t="shared" si="144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717" t="s">
        <v>1122</v>
      </c>
      <c r="H5091" s="535" t="s">
        <v>1120</v>
      </c>
      <c r="I5091" s="537" t="s">
        <v>1120</v>
      </c>
      <c r="J5091" s="538"/>
      <c r="K5091" s="535" t="str">
        <f t="shared" si="143"/>
        <v>11,25</v>
      </c>
      <c r="L5091" s="535" t="s">
        <v>28</v>
      </c>
      <c r="M5091" s="535">
        <v>5255.1</v>
      </c>
      <c r="N5091" s="539">
        <v>0.5</v>
      </c>
    </row>
    <row r="5092" spans="1:14" ht="19.5" hidden="1" thickBot="1" x14ac:dyDescent="0.3">
      <c r="A5092" s="715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718"/>
      <c r="H5092" s="640" t="s">
        <v>1120</v>
      </c>
      <c r="I5092" s="642" t="s">
        <v>1120</v>
      </c>
      <c r="J5092" s="643"/>
      <c r="K5092" s="640" t="str">
        <f t="shared" si="143"/>
        <v>11,25</v>
      </c>
      <c r="L5092" s="640" t="s">
        <v>28</v>
      </c>
      <c r="M5092" s="640">
        <v>7480.2600000000011</v>
      </c>
      <c r="N5092" s="644">
        <v>0.5</v>
      </c>
    </row>
    <row r="5093" spans="1:14" ht="19.5" hidden="1" thickBot="1" x14ac:dyDescent="0.3">
      <c r="A5093" s="513">
        <f t="shared" si="144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3"/>
        <v>11,25</v>
      </c>
      <c r="L5093" s="518" t="s">
        <v>265</v>
      </c>
      <c r="M5093" s="518">
        <v>17648.8</v>
      </c>
      <c r="N5093" s="522">
        <v>0.375</v>
      </c>
    </row>
    <row r="5094" spans="1:14" ht="19.5" hidden="1" thickBot="1" x14ac:dyDescent="0.3">
      <c r="A5094" s="714">
        <f t="shared" si="144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3"/>
        <v>11,25</v>
      </c>
      <c r="L5094" s="535" t="s">
        <v>266</v>
      </c>
      <c r="M5094" s="535">
        <v>3929.42</v>
      </c>
      <c r="N5094" s="539">
        <v>0.41666666666666669</v>
      </c>
    </row>
    <row r="5095" spans="1:14" ht="19.5" hidden="1" thickBot="1" x14ac:dyDescent="0.3">
      <c r="A5095" s="716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3"/>
        <v>11,25</v>
      </c>
      <c r="L5095" s="567" t="s">
        <v>28</v>
      </c>
      <c r="M5095" s="567">
        <v>2250.3200000000002</v>
      </c>
      <c r="N5095" s="571">
        <v>0.41666666666666669</v>
      </c>
    </row>
    <row r="5096" spans="1:14" ht="19.5" hidden="1" thickBot="1" x14ac:dyDescent="0.3">
      <c r="A5096" s="716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3"/>
        <v>11,25</v>
      </c>
      <c r="L5096" s="567" t="s">
        <v>28</v>
      </c>
      <c r="M5096" s="567">
        <v>4051.66</v>
      </c>
      <c r="N5096" s="571">
        <v>0.41666666666666669</v>
      </c>
    </row>
    <row r="5097" spans="1:14" ht="38.25" hidden="1" thickBot="1" x14ac:dyDescent="0.3">
      <c r="A5097" s="715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3"/>
        <v>11,25</v>
      </c>
      <c r="L5097" s="640" t="s">
        <v>28</v>
      </c>
      <c r="M5097" s="640">
        <v>7255.4400000000005</v>
      </c>
      <c r="N5097" s="644">
        <v>0.41666666666666669</v>
      </c>
    </row>
    <row r="5098" spans="1:14" ht="19.5" hidden="1" thickBot="1" x14ac:dyDescent="0.3">
      <c r="A5098" s="513">
        <f t="shared" si="144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3"/>
        <v>11,25</v>
      </c>
      <c r="L5098" s="518" t="s">
        <v>265</v>
      </c>
      <c r="M5098" s="518">
        <v>17764.329999999998</v>
      </c>
      <c r="N5098" s="522">
        <v>0.375</v>
      </c>
    </row>
    <row r="5099" spans="1:14" ht="19.5" hidden="1" thickBot="1" x14ac:dyDescent="0.3">
      <c r="A5099" s="714">
        <f t="shared" si="144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3"/>
        <v>11,25</v>
      </c>
      <c r="L5099" s="535" t="s">
        <v>28</v>
      </c>
      <c r="M5099" s="535">
        <v>2415.7200000000003</v>
      </c>
      <c r="N5099" s="539">
        <v>0.41666666666666669</v>
      </c>
    </row>
    <row r="5100" spans="1:14" ht="19.5" hidden="1" thickBot="1" x14ac:dyDescent="0.3">
      <c r="A5100" s="716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3"/>
        <v>11,25</v>
      </c>
      <c r="L5100" s="567" t="s">
        <v>28</v>
      </c>
      <c r="M5100" s="567">
        <v>5922.36</v>
      </c>
      <c r="N5100" s="571">
        <v>0.41666666666666669</v>
      </c>
    </row>
    <row r="5101" spans="1:14" ht="19.5" hidden="1" thickBot="1" x14ac:dyDescent="0.3">
      <c r="A5101" s="715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3"/>
        <v>11,25</v>
      </c>
      <c r="L5101" s="640" t="s">
        <v>28</v>
      </c>
      <c r="M5101" s="640">
        <v>2813.84</v>
      </c>
      <c r="N5101" s="644">
        <v>0.41666666666666669</v>
      </c>
    </row>
    <row r="5102" spans="1:14" ht="19.5" hidden="1" thickBot="1" x14ac:dyDescent="0.3">
      <c r="A5102" s="711">
        <f t="shared" si="144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3"/>
        <v>11,25</v>
      </c>
      <c r="L5102" s="483" t="s">
        <v>28</v>
      </c>
      <c r="M5102" s="483">
        <v>4714.7999999999993</v>
      </c>
      <c r="N5102" s="486">
        <v>0.45833333333333331</v>
      </c>
    </row>
    <row r="5103" spans="1:14" ht="19.5" hidden="1" thickBot="1" x14ac:dyDescent="0.3">
      <c r="A5103" s="713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3"/>
        <v>11,25</v>
      </c>
      <c r="L5103" s="527" t="s">
        <v>28</v>
      </c>
      <c r="M5103" s="527">
        <v>3586.28</v>
      </c>
      <c r="N5103" s="530">
        <v>0.45833333333333331</v>
      </c>
    </row>
    <row r="5104" spans="1:14" ht="19.5" hidden="1" thickBot="1" x14ac:dyDescent="0.3">
      <c r="A5104" s="712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3"/>
        <v>11,25</v>
      </c>
      <c r="L5104" s="649" t="s">
        <v>28</v>
      </c>
      <c r="M5104" s="649">
        <v>3861.1200000000003</v>
      </c>
      <c r="N5104" s="653">
        <v>0.45833333333333331</v>
      </c>
    </row>
    <row r="5105" spans="1:14" ht="38.25" hidden="1" thickBot="1" x14ac:dyDescent="0.3">
      <c r="A5105" s="503">
        <f t="shared" si="144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3"/>
        <v>11,25</v>
      </c>
      <c r="L5105" s="508" t="s">
        <v>266</v>
      </c>
      <c r="M5105" s="508">
        <v>13005</v>
      </c>
      <c r="N5105" s="512">
        <v>0.54166666666666663</v>
      </c>
    </row>
    <row r="5106" spans="1:14" ht="38.25" hidden="1" thickBot="1" x14ac:dyDescent="0.3">
      <c r="A5106" s="572">
        <f t="shared" si="144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3"/>
        <v>11,25</v>
      </c>
      <c r="L5106" s="577" t="s">
        <v>266</v>
      </c>
      <c r="M5106" s="577">
        <v>13547.700000000003</v>
      </c>
      <c r="N5106" s="581">
        <v>0.41666666666666669</v>
      </c>
    </row>
    <row r="5107" spans="1:14" ht="19.5" hidden="1" thickBot="1" x14ac:dyDescent="0.3">
      <c r="A5107" s="503">
        <f t="shared" si="144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3"/>
        <v>11,25</v>
      </c>
      <c r="L5107" s="508" t="s">
        <v>266</v>
      </c>
      <c r="M5107" s="508">
        <v>17962.419999999998</v>
      </c>
      <c r="N5107" s="512">
        <v>0.41666666666666669</v>
      </c>
    </row>
    <row r="5108" spans="1:14" ht="19.5" hidden="1" thickBot="1" x14ac:dyDescent="0.3">
      <c r="A5108" s="513">
        <f t="shared" si="144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3"/>
        <v>11,25</v>
      </c>
      <c r="L5108" s="518" t="s">
        <v>266</v>
      </c>
      <c r="M5108" s="518">
        <v>18065.07</v>
      </c>
      <c r="N5108" s="522">
        <v>0.45833333333333331</v>
      </c>
    </row>
    <row r="5109" spans="1:14" ht="19.5" hidden="1" thickBot="1" x14ac:dyDescent="0.3">
      <c r="A5109" s="503">
        <f t="shared" si="144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5">RIGHT(I5109,5)</f>
        <v>11,25</v>
      </c>
      <c r="L5109" s="508" t="s">
        <v>266</v>
      </c>
      <c r="M5109" s="508">
        <v>18046.620000000003</v>
      </c>
      <c r="N5109" s="512">
        <v>0.5</v>
      </c>
    </row>
    <row r="5110" spans="1:14" ht="19.5" hidden="1" thickBot="1" x14ac:dyDescent="0.3">
      <c r="A5110" s="711">
        <f t="shared" si="144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720" t="s">
        <v>1128</v>
      </c>
      <c r="H5110" s="483" t="s">
        <v>1127</v>
      </c>
      <c r="I5110" s="484" t="s">
        <v>1127</v>
      </c>
      <c r="J5110" s="485"/>
      <c r="K5110" s="483" t="str">
        <f t="shared" si="145"/>
        <v>11,25</v>
      </c>
      <c r="L5110" s="483" t="s">
        <v>266</v>
      </c>
      <c r="M5110" s="483">
        <v>1222.8</v>
      </c>
      <c r="N5110" s="486">
        <v>0.54166666666666663</v>
      </c>
    </row>
    <row r="5111" spans="1:14" ht="19.5" hidden="1" thickBot="1" x14ac:dyDescent="0.3">
      <c r="A5111" s="713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722"/>
      <c r="H5111" s="527" t="s">
        <v>1127</v>
      </c>
      <c r="I5111" s="528" t="s">
        <v>1127</v>
      </c>
      <c r="J5111" s="529"/>
      <c r="K5111" s="527" t="str">
        <f t="shared" si="145"/>
        <v>11,25</v>
      </c>
      <c r="L5111" s="527" t="s">
        <v>266</v>
      </c>
      <c r="M5111" s="527">
        <v>512.6</v>
      </c>
      <c r="N5111" s="530">
        <v>0.54166666666666663</v>
      </c>
    </row>
    <row r="5112" spans="1:14" ht="19.5" hidden="1" thickBot="1" x14ac:dyDescent="0.3">
      <c r="A5112" s="713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722"/>
      <c r="H5112" s="527" t="s">
        <v>1127</v>
      </c>
      <c r="I5112" s="528" t="s">
        <v>1127</v>
      </c>
      <c r="J5112" s="529"/>
      <c r="K5112" s="527" t="str">
        <f t="shared" si="145"/>
        <v>11,25</v>
      </c>
      <c r="L5112" s="527" t="s">
        <v>266</v>
      </c>
      <c r="M5112" s="527">
        <v>4372.5200000000004</v>
      </c>
      <c r="N5112" s="530">
        <v>0.54166666666666663</v>
      </c>
    </row>
    <row r="5113" spans="1:14" ht="19.5" hidden="1" thickBot="1" x14ac:dyDescent="0.3">
      <c r="A5113" s="713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722"/>
      <c r="H5113" s="499" t="s">
        <v>1127</v>
      </c>
      <c r="I5113" s="500" t="s">
        <v>1127</v>
      </c>
      <c r="J5113" s="501"/>
      <c r="K5113" s="499" t="str">
        <f t="shared" si="145"/>
        <v>11,25</v>
      </c>
      <c r="L5113" s="499" t="s">
        <v>266</v>
      </c>
      <c r="M5113" s="499">
        <v>9176.9600000000009</v>
      </c>
      <c r="N5113" s="502">
        <v>0.54166666666666663</v>
      </c>
    </row>
    <row r="5114" spans="1:14" ht="19.5" hidden="1" thickBot="1" x14ac:dyDescent="0.3">
      <c r="A5114" s="714">
        <f t="shared" si="144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5"/>
        <v>11,25</v>
      </c>
      <c r="L5114" s="535" t="s">
        <v>265</v>
      </c>
      <c r="M5114" s="535">
        <v>11874.839999999998</v>
      </c>
      <c r="N5114" s="539">
        <v>0.375</v>
      </c>
    </row>
    <row r="5115" spans="1:14" ht="19.5" hidden="1" thickBot="1" x14ac:dyDescent="0.3">
      <c r="A5115" s="715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5"/>
        <v>11,25</v>
      </c>
      <c r="L5115" s="640" t="s">
        <v>265</v>
      </c>
      <c r="M5115" s="640">
        <v>5388.8000000000011</v>
      </c>
      <c r="N5115" s="644">
        <v>0.375</v>
      </c>
    </row>
    <row r="5116" spans="1:14" ht="19.5" hidden="1" thickBot="1" x14ac:dyDescent="0.3">
      <c r="A5116" s="711">
        <f t="shared" si="144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720" t="s">
        <v>467</v>
      </c>
      <c r="H5116" s="483" t="s">
        <v>1129</v>
      </c>
      <c r="I5116" s="484" t="s">
        <v>1130</v>
      </c>
      <c r="J5116" s="485"/>
      <c r="K5116" s="483" t="str">
        <f t="shared" si="145"/>
        <v>11,25</v>
      </c>
      <c r="L5116" s="483" t="s">
        <v>266</v>
      </c>
      <c r="M5116" s="483">
        <v>2214</v>
      </c>
      <c r="N5116" s="486">
        <v>0.41666666666666669</v>
      </c>
    </row>
    <row r="5117" spans="1:14" ht="19.5" hidden="1" thickBot="1" x14ac:dyDescent="0.3">
      <c r="A5117" s="712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721"/>
      <c r="H5117" s="649" t="s">
        <v>1129</v>
      </c>
      <c r="I5117" s="651" t="s">
        <v>1130</v>
      </c>
      <c r="J5117" s="652"/>
      <c r="K5117" s="649" t="str">
        <f t="shared" si="145"/>
        <v>11,25</v>
      </c>
      <c r="L5117" s="649" t="s">
        <v>266</v>
      </c>
      <c r="M5117" s="649">
        <v>6752.670000000001</v>
      </c>
      <c r="N5117" s="653">
        <v>0.41666666666666669</v>
      </c>
    </row>
    <row r="5118" spans="1:14" ht="19.5" hidden="1" thickBot="1" x14ac:dyDescent="0.3">
      <c r="A5118" s="503">
        <f t="shared" si="144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5"/>
        <v>11,25</v>
      </c>
      <c r="L5118" s="508" t="s">
        <v>265</v>
      </c>
      <c r="M5118" s="508">
        <v>17663.780000000002</v>
      </c>
      <c r="N5118" s="512">
        <v>0.375</v>
      </c>
    </row>
    <row r="5119" spans="1:14" ht="19.5" hidden="1" thickBot="1" x14ac:dyDescent="0.3">
      <c r="A5119" s="513">
        <f t="shared" si="144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5"/>
        <v>11,25</v>
      </c>
      <c r="L5119" s="518" t="s">
        <v>265</v>
      </c>
      <c r="M5119" s="518">
        <v>11105.08</v>
      </c>
      <c r="N5119" s="522">
        <v>0.375</v>
      </c>
    </row>
    <row r="5120" spans="1:14" ht="19.5" hidden="1" thickBot="1" x14ac:dyDescent="0.3">
      <c r="A5120" s="503">
        <f t="shared" si="144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5"/>
        <v>11,25</v>
      </c>
      <c r="L5120" s="508" t="s">
        <v>28</v>
      </c>
      <c r="M5120" s="508">
        <v>17378.25</v>
      </c>
      <c r="N5120" s="512">
        <v>0.41666666666666669</v>
      </c>
    </row>
    <row r="5121" spans="1:14" ht="19.5" hidden="1" thickBot="1" x14ac:dyDescent="0.3">
      <c r="A5121" s="711">
        <f t="shared" si="144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5"/>
        <v>11,25</v>
      </c>
      <c r="L5121" s="483" t="s">
        <v>28</v>
      </c>
      <c r="M5121" s="483">
        <v>3344.1999999999994</v>
      </c>
      <c r="N5121" s="486">
        <v>0.45833333333333331</v>
      </c>
    </row>
    <row r="5122" spans="1:14" ht="19.5" hidden="1" thickBot="1" x14ac:dyDescent="0.3">
      <c r="A5122" s="712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5"/>
        <v>11,25</v>
      </c>
      <c r="L5122" s="649" t="s">
        <v>28</v>
      </c>
      <c r="M5122" s="649">
        <v>13842.66</v>
      </c>
      <c r="N5122" s="653">
        <v>0.45833333333333331</v>
      </c>
    </row>
    <row r="5123" spans="1:14" ht="19.5" hidden="1" thickBot="1" x14ac:dyDescent="0.3">
      <c r="A5123" s="714">
        <f t="shared" si="144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5"/>
        <v>11,25</v>
      </c>
      <c r="L5123" s="535" t="s">
        <v>28</v>
      </c>
      <c r="M5123" s="535">
        <v>4181.87</v>
      </c>
      <c r="N5123" s="539">
        <v>0.5</v>
      </c>
    </row>
    <row r="5124" spans="1:14" ht="19.5" hidden="1" thickBot="1" x14ac:dyDescent="0.3">
      <c r="A5124" s="716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5"/>
        <v>11,25</v>
      </c>
      <c r="L5124" s="567" t="s">
        <v>28</v>
      </c>
      <c r="M5124" s="567">
        <v>1516.02</v>
      </c>
      <c r="N5124" s="571">
        <v>0.5</v>
      </c>
    </row>
    <row r="5125" spans="1:14" ht="19.5" hidden="1" thickBot="1" x14ac:dyDescent="0.3">
      <c r="A5125" s="715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5"/>
        <v>11,25</v>
      </c>
      <c r="L5125" s="640" t="s">
        <v>28</v>
      </c>
      <c r="M5125" s="640">
        <v>11870.35</v>
      </c>
      <c r="N5125" s="644">
        <v>0.5</v>
      </c>
    </row>
    <row r="5126" spans="1:14" ht="19.5" hidden="1" thickBot="1" x14ac:dyDescent="0.3">
      <c r="A5126" s="711">
        <f t="shared" si="144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720" t="s">
        <v>72</v>
      </c>
      <c r="H5126" s="483" t="s">
        <v>1131</v>
      </c>
      <c r="I5126" s="484" t="s">
        <v>1131</v>
      </c>
      <c r="J5126" s="485"/>
      <c r="K5126" s="483" t="str">
        <f t="shared" si="145"/>
        <v>11,25</v>
      </c>
      <c r="L5126" s="483" t="s">
        <v>265</v>
      </c>
      <c r="M5126" s="483">
        <v>10597</v>
      </c>
      <c r="N5126" s="486">
        <v>0.33333333333333331</v>
      </c>
    </row>
    <row r="5127" spans="1:14" ht="19.5" hidden="1" thickBot="1" x14ac:dyDescent="0.3">
      <c r="A5127" s="712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721"/>
      <c r="H5127" s="649" t="s">
        <v>1131</v>
      </c>
      <c r="I5127" s="651" t="s">
        <v>1131</v>
      </c>
      <c r="J5127" s="652"/>
      <c r="K5127" s="649" t="str">
        <f t="shared" si="145"/>
        <v>11,25</v>
      </c>
      <c r="L5127" s="649" t="s">
        <v>265</v>
      </c>
      <c r="M5127" s="649">
        <v>3015</v>
      </c>
      <c r="N5127" s="653">
        <v>0.41666666666666669</v>
      </c>
    </row>
    <row r="5128" spans="1:14" ht="19.5" hidden="1" thickBot="1" x14ac:dyDescent="0.3">
      <c r="A5128" s="714">
        <f t="shared" si="144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5"/>
        <v>11,25</v>
      </c>
      <c r="L5128" s="535" t="s">
        <v>265</v>
      </c>
      <c r="M5128" s="535">
        <v>16188.059999999998</v>
      </c>
      <c r="N5128" s="539">
        <v>0.375</v>
      </c>
    </row>
    <row r="5129" spans="1:14" ht="19.5" hidden="1" thickBot="1" x14ac:dyDescent="0.3">
      <c r="A5129" s="716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5"/>
        <v>11,25</v>
      </c>
      <c r="L5129" s="594" t="s">
        <v>266</v>
      </c>
      <c r="M5129" s="594">
        <v>1473.36</v>
      </c>
      <c r="N5129" s="598">
        <v>0.375</v>
      </c>
    </row>
    <row r="5130" spans="1:14" ht="19.5" hidden="1" thickBot="1" x14ac:dyDescent="0.3">
      <c r="A5130" s="513">
        <f t="shared" si="144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5"/>
        <v>11,25</v>
      </c>
      <c r="L5130" s="518" t="s">
        <v>28</v>
      </c>
      <c r="M5130" s="518">
        <v>9540.1200000000008</v>
      </c>
      <c r="N5130" s="522">
        <v>0.41666666666666669</v>
      </c>
    </row>
    <row r="5131" spans="1:14" ht="38.25" hidden="1" thickBot="1" x14ac:dyDescent="0.3">
      <c r="A5131" s="503">
        <f t="shared" si="144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5"/>
        <v>11,25</v>
      </c>
      <c r="L5131" s="508" t="s">
        <v>28</v>
      </c>
      <c r="M5131" s="508">
        <v>14449.12</v>
      </c>
      <c r="N5131" s="512">
        <v>0.45833333333333331</v>
      </c>
    </row>
    <row r="5132" spans="1:14" ht="19.5" hidden="1" thickBot="1" x14ac:dyDescent="0.3">
      <c r="A5132" s="513">
        <f t="shared" si="144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5"/>
        <v>11,25</v>
      </c>
      <c r="L5132" s="518" t="s">
        <v>265</v>
      </c>
      <c r="M5132" s="518">
        <v>17676.5</v>
      </c>
      <c r="N5132" s="522">
        <v>0.375</v>
      </c>
    </row>
    <row r="5133" spans="1:14" ht="19.5" hidden="1" thickBot="1" x14ac:dyDescent="0.3">
      <c r="A5133" s="503">
        <f t="shared" si="144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5"/>
        <v>11,25</v>
      </c>
      <c r="L5133" s="508" t="s">
        <v>265</v>
      </c>
      <c r="M5133" s="508">
        <v>17689.300000000003</v>
      </c>
      <c r="N5133" s="512">
        <v>0.375</v>
      </c>
    </row>
    <row r="5134" spans="1:14" ht="19.5" hidden="1" thickBot="1" x14ac:dyDescent="0.3">
      <c r="A5134" s="711">
        <f t="shared" si="144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5"/>
        <v>11,25</v>
      </c>
      <c r="L5134" s="483" t="s">
        <v>28</v>
      </c>
      <c r="M5134" s="483">
        <v>2704.8</v>
      </c>
      <c r="N5134" s="486">
        <v>0.41666666666666669</v>
      </c>
    </row>
    <row r="5135" spans="1:14" ht="19.5" hidden="1" thickBot="1" x14ac:dyDescent="0.3">
      <c r="A5135" s="713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5"/>
        <v>11,25</v>
      </c>
      <c r="L5135" s="527" t="s">
        <v>28</v>
      </c>
      <c r="M5135" s="527">
        <v>2215.1400000000003</v>
      </c>
      <c r="N5135" s="530">
        <v>0.41666666666666669</v>
      </c>
    </row>
    <row r="5136" spans="1:14" ht="19.5" hidden="1" thickBot="1" x14ac:dyDescent="0.3">
      <c r="A5136" s="713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5"/>
        <v>11,25</v>
      </c>
      <c r="L5136" s="527" t="s">
        <v>28</v>
      </c>
      <c r="M5136" s="527">
        <v>1306.8400000000001</v>
      </c>
      <c r="N5136" s="530">
        <v>0.41666666666666669</v>
      </c>
    </row>
    <row r="5137" spans="1:14" ht="19.5" hidden="1" thickBot="1" x14ac:dyDescent="0.3">
      <c r="A5137" s="712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5"/>
        <v>11,25</v>
      </c>
      <c r="L5137" s="649" t="s">
        <v>28</v>
      </c>
      <c r="M5137" s="649">
        <v>11168.64</v>
      </c>
      <c r="N5137" s="653">
        <v>0.41666666666666669</v>
      </c>
    </row>
    <row r="5138" spans="1:14" ht="19.5" hidden="1" thickBot="1" x14ac:dyDescent="0.3">
      <c r="A5138" s="714">
        <f t="shared" si="144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5"/>
        <v>11,25</v>
      </c>
      <c r="L5138" s="535" t="s">
        <v>266</v>
      </c>
      <c r="M5138" s="535">
        <v>8781.32</v>
      </c>
      <c r="N5138" s="539">
        <v>0.45833333333333331</v>
      </c>
    </row>
    <row r="5139" spans="1:14" ht="19.5" hidden="1" thickBot="1" x14ac:dyDescent="0.3">
      <c r="A5139" s="715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5"/>
        <v>11,25</v>
      </c>
      <c r="L5139" s="640" t="s">
        <v>28</v>
      </c>
      <c r="M5139" s="640">
        <v>8621.2800000000007</v>
      </c>
      <c r="N5139" s="644">
        <v>0.45833333333333331</v>
      </c>
    </row>
    <row r="5140" spans="1:14" ht="27.75" hidden="1" customHeight="1" x14ac:dyDescent="0.25">
      <c r="A5140" s="711">
        <f t="shared" si="144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720" t="s">
        <v>1135</v>
      </c>
      <c r="H5140" s="483" t="s">
        <v>1134</v>
      </c>
      <c r="I5140" s="484" t="s">
        <v>1134</v>
      </c>
      <c r="J5140" s="485"/>
      <c r="K5140" s="483" t="str">
        <f t="shared" si="145"/>
        <v>11,25</v>
      </c>
      <c r="L5140" s="483" t="s">
        <v>28</v>
      </c>
      <c r="M5140" s="483">
        <v>5546.5599999999995</v>
      </c>
      <c r="N5140" s="486">
        <v>0.41666666666666669</v>
      </c>
    </row>
    <row r="5141" spans="1:14" ht="27.75" hidden="1" customHeight="1" thickBot="1" x14ac:dyDescent="0.3">
      <c r="A5141" s="712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721"/>
      <c r="H5141" s="649" t="s">
        <v>1134</v>
      </c>
      <c r="I5141" s="651" t="s">
        <v>1134</v>
      </c>
      <c r="J5141" s="652"/>
      <c r="K5141" s="649" t="str">
        <f t="shared" si="145"/>
        <v>11,25</v>
      </c>
      <c r="L5141" s="649" t="s">
        <v>28</v>
      </c>
      <c r="M5141" s="649">
        <v>4230.5200000000004</v>
      </c>
      <c r="N5141" s="653">
        <v>0.41666666666666669</v>
      </c>
    </row>
    <row r="5142" spans="1:14" ht="19.5" hidden="1" thickBot="1" x14ac:dyDescent="0.3">
      <c r="A5142" s="714">
        <f t="shared" si="144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5"/>
        <v>11,25</v>
      </c>
      <c r="L5142" s="535" t="s">
        <v>28</v>
      </c>
      <c r="M5142" s="535">
        <v>3473.6000000000004</v>
      </c>
      <c r="N5142" s="539">
        <v>0.45833333333333331</v>
      </c>
    </row>
    <row r="5143" spans="1:14" ht="19.5" hidden="1" thickBot="1" x14ac:dyDescent="0.3">
      <c r="A5143" s="716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5"/>
        <v>11,25</v>
      </c>
      <c r="L5143" s="567" t="s">
        <v>28</v>
      </c>
      <c r="M5143" s="567">
        <v>7266.6</v>
      </c>
      <c r="N5143" s="571">
        <v>0.45833333333333331</v>
      </c>
    </row>
    <row r="5144" spans="1:14" ht="19.5" hidden="1" thickBot="1" x14ac:dyDescent="0.3">
      <c r="A5144" s="715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5"/>
        <v>11,25</v>
      </c>
      <c r="L5144" s="640" t="s">
        <v>28</v>
      </c>
      <c r="M5144" s="640">
        <v>2339.6799999999998</v>
      </c>
      <c r="N5144" s="644">
        <v>0.45833333333333331</v>
      </c>
    </row>
    <row r="5145" spans="1:14" ht="38.25" hidden="1" thickBot="1" x14ac:dyDescent="0.3">
      <c r="A5145" s="513">
        <f t="shared" ref="A5145:A5208" si="146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5"/>
        <v>11,25</v>
      </c>
      <c r="L5145" s="518" t="s">
        <v>266</v>
      </c>
      <c r="M5145" s="518">
        <v>16638.88</v>
      </c>
      <c r="N5145" s="522">
        <v>0.41666666666666669</v>
      </c>
    </row>
    <row r="5146" spans="1:14" ht="19.5" hidden="1" thickBot="1" x14ac:dyDescent="0.3">
      <c r="A5146" s="714">
        <f t="shared" si="146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5"/>
        <v>11,25</v>
      </c>
      <c r="L5146" s="535" t="s">
        <v>266</v>
      </c>
      <c r="M5146" s="535">
        <v>11694.539999999999</v>
      </c>
      <c r="N5146" s="539">
        <v>0.5</v>
      </c>
    </row>
    <row r="5147" spans="1:14" ht="19.5" hidden="1" thickBot="1" x14ac:dyDescent="0.3">
      <c r="A5147" s="716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5"/>
        <v>11,25</v>
      </c>
      <c r="L5147" s="594" t="s">
        <v>266</v>
      </c>
      <c r="M5147" s="594">
        <v>3287.95</v>
      </c>
      <c r="N5147" s="598">
        <v>0.5</v>
      </c>
    </row>
    <row r="5148" spans="1:14" ht="19.5" hidden="1" thickBot="1" x14ac:dyDescent="0.3">
      <c r="A5148" s="513">
        <f t="shared" si="146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5"/>
        <v>11,25</v>
      </c>
      <c r="L5148" s="518" t="s">
        <v>266</v>
      </c>
      <c r="M5148" s="518">
        <v>17966.120000000006</v>
      </c>
      <c r="N5148" s="522">
        <v>0.41666666666666669</v>
      </c>
    </row>
    <row r="5149" spans="1:14" ht="19.5" hidden="1" thickBot="1" x14ac:dyDescent="0.3">
      <c r="A5149" s="503">
        <f t="shared" si="146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5"/>
        <v>11,25</v>
      </c>
      <c r="L5149" s="508" t="s">
        <v>266</v>
      </c>
      <c r="M5149" s="508">
        <v>17982</v>
      </c>
      <c r="N5149" s="512">
        <v>0.45833333333333331</v>
      </c>
    </row>
    <row r="5150" spans="1:14" ht="19.5" hidden="1" thickBot="1" x14ac:dyDescent="0.3">
      <c r="A5150" s="711">
        <f t="shared" si="146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5"/>
        <v>11,25</v>
      </c>
      <c r="L5150" s="483" t="s">
        <v>266</v>
      </c>
      <c r="M5150" s="483">
        <v>1151.6999999999998</v>
      </c>
      <c r="N5150" s="486">
        <v>0.5</v>
      </c>
    </row>
    <row r="5151" spans="1:14" ht="19.5" hidden="1" thickBot="1" x14ac:dyDescent="0.3">
      <c r="A5151" s="713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5"/>
        <v>11,25</v>
      </c>
      <c r="L5151" s="527" t="s">
        <v>266</v>
      </c>
      <c r="M5151" s="527">
        <v>4517.1400000000003</v>
      </c>
      <c r="N5151" s="530">
        <v>0.5</v>
      </c>
    </row>
    <row r="5152" spans="1:14" ht="19.5" hidden="1" thickBot="1" x14ac:dyDescent="0.3">
      <c r="A5152" s="713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5"/>
        <v>11,25</v>
      </c>
      <c r="L5152" s="499" t="s">
        <v>266</v>
      </c>
      <c r="M5152" s="499">
        <v>12290.980000000001</v>
      </c>
      <c r="N5152" s="502">
        <v>0.5</v>
      </c>
    </row>
    <row r="5153" spans="1:14" ht="19.5" hidden="1" thickBot="1" x14ac:dyDescent="0.3">
      <c r="A5153" s="714">
        <f t="shared" si="146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5"/>
        <v>11,25</v>
      </c>
      <c r="L5153" s="535" t="s">
        <v>265</v>
      </c>
      <c r="M5153" s="535">
        <v>10245.140000000001</v>
      </c>
      <c r="N5153" s="539">
        <v>0.375</v>
      </c>
    </row>
    <row r="5154" spans="1:14" ht="19.5" hidden="1" thickBot="1" x14ac:dyDescent="0.3">
      <c r="A5154" s="715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5"/>
        <v>11,25</v>
      </c>
      <c r="L5154" s="640" t="s">
        <v>265</v>
      </c>
      <c r="M5154" s="640">
        <v>6885.2399999999989</v>
      </c>
      <c r="N5154" s="644">
        <v>0.375</v>
      </c>
    </row>
    <row r="5155" spans="1:14" ht="19.5" hidden="1" thickBot="1" x14ac:dyDescent="0.3">
      <c r="A5155" s="513">
        <f t="shared" si="146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5"/>
        <v>11,25</v>
      </c>
      <c r="L5155" s="518" t="s">
        <v>265</v>
      </c>
      <c r="M5155" s="518">
        <v>17670.02</v>
      </c>
      <c r="N5155" s="522">
        <v>0.375</v>
      </c>
    </row>
    <row r="5156" spans="1:14" ht="19.5" hidden="1" thickBot="1" x14ac:dyDescent="0.3">
      <c r="A5156" s="714">
        <f t="shared" si="146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5"/>
        <v>11,25</v>
      </c>
      <c r="L5156" s="535" t="s">
        <v>28</v>
      </c>
      <c r="M5156" s="535">
        <v>107.1</v>
      </c>
      <c r="N5156" s="539">
        <v>0.41666666666666669</v>
      </c>
    </row>
    <row r="5157" spans="1:14" ht="19.5" hidden="1" thickBot="1" x14ac:dyDescent="0.3">
      <c r="A5157" s="716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5"/>
        <v>11,25</v>
      </c>
      <c r="L5157" s="567" t="s">
        <v>28</v>
      </c>
      <c r="M5157" s="567">
        <v>6787.1399999999985</v>
      </c>
      <c r="N5157" s="571">
        <v>0.41666666666666669</v>
      </c>
    </row>
    <row r="5158" spans="1:14" ht="19.5" hidden="1" thickBot="1" x14ac:dyDescent="0.3">
      <c r="A5158" s="716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5"/>
        <v>11,25</v>
      </c>
      <c r="L5158" s="567" t="s">
        <v>28</v>
      </c>
      <c r="M5158" s="567">
        <v>4599.6499999999996</v>
      </c>
      <c r="N5158" s="571">
        <v>0.41666666666666669</v>
      </c>
    </row>
    <row r="5159" spans="1:14" ht="19.5" hidden="1" thickBot="1" x14ac:dyDescent="0.3">
      <c r="A5159" s="715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5"/>
        <v>11,25</v>
      </c>
      <c r="L5159" s="640" t="s">
        <v>28</v>
      </c>
      <c r="M5159" s="640">
        <v>6183.78</v>
      </c>
      <c r="N5159" s="644">
        <v>0.41666666666666669</v>
      </c>
    </row>
    <row r="5160" spans="1:14" ht="75.75" hidden="1" thickBot="1" x14ac:dyDescent="0.3">
      <c r="A5160" s="513">
        <f t="shared" si="146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5"/>
        <v>11,25</v>
      </c>
      <c r="L5160" s="518" t="s">
        <v>28</v>
      </c>
      <c r="M5160" s="518">
        <v>15142.41</v>
      </c>
      <c r="N5160" s="522">
        <v>0.45833333333333331</v>
      </c>
    </row>
    <row r="5161" spans="1:14" ht="19.5" hidden="1" thickBot="1" x14ac:dyDescent="0.3">
      <c r="A5161" s="714">
        <f t="shared" si="146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5"/>
        <v>11,25</v>
      </c>
      <c r="L5161" s="535" t="s">
        <v>28</v>
      </c>
      <c r="M5161" s="535">
        <v>1367.34</v>
      </c>
      <c r="N5161" s="539">
        <v>0.5</v>
      </c>
    </row>
    <row r="5162" spans="1:14" ht="19.5" hidden="1" thickBot="1" x14ac:dyDescent="0.3">
      <c r="A5162" s="715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5"/>
        <v>11,25</v>
      </c>
      <c r="L5162" s="640" t="s">
        <v>28</v>
      </c>
      <c r="M5162" s="640">
        <v>15900.16</v>
      </c>
      <c r="N5162" s="644">
        <v>0.5</v>
      </c>
    </row>
    <row r="5163" spans="1:14" ht="19.5" hidden="1" thickBot="1" x14ac:dyDescent="0.3">
      <c r="A5163" s="513">
        <f t="shared" si="146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5"/>
        <v>11,25</v>
      </c>
      <c r="L5163" s="518" t="s">
        <v>265</v>
      </c>
      <c r="M5163" s="518">
        <v>12070.6</v>
      </c>
      <c r="N5163" s="522">
        <v>0.375</v>
      </c>
    </row>
    <row r="5164" spans="1:14" ht="19.5" hidden="1" thickBot="1" x14ac:dyDescent="0.3">
      <c r="A5164" s="714">
        <f t="shared" si="146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5"/>
        <v>11,25</v>
      </c>
      <c r="L5164" s="535" t="s">
        <v>265</v>
      </c>
      <c r="M5164" s="535">
        <v>16517.019999999997</v>
      </c>
      <c r="N5164" s="539">
        <v>0.375</v>
      </c>
    </row>
    <row r="5165" spans="1:14" ht="19.5" hidden="1" thickBot="1" x14ac:dyDescent="0.3">
      <c r="A5165" s="716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5"/>
        <v>11,25</v>
      </c>
      <c r="L5165" s="594" t="s">
        <v>266</v>
      </c>
      <c r="M5165" s="594">
        <v>1110.4200000000003</v>
      </c>
      <c r="N5165" s="598">
        <v>0.375</v>
      </c>
    </row>
    <row r="5166" spans="1:14" ht="19.5" hidden="1" thickBot="1" x14ac:dyDescent="0.3">
      <c r="A5166" s="513">
        <f t="shared" si="146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5"/>
        <v>11,25</v>
      </c>
      <c r="L5166" s="518" t="s">
        <v>266</v>
      </c>
      <c r="M5166" s="518">
        <v>18053.099999999999</v>
      </c>
      <c r="N5166" s="522">
        <v>0.41666666666666669</v>
      </c>
    </row>
    <row r="5167" spans="1:14" ht="57" hidden="1" thickBot="1" x14ac:dyDescent="0.3">
      <c r="A5167" s="503">
        <f t="shared" si="146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5"/>
        <v>11,25</v>
      </c>
      <c r="L5167" s="508" t="s">
        <v>28</v>
      </c>
      <c r="M5167" s="508">
        <v>13834.36</v>
      </c>
      <c r="N5167" s="512">
        <v>0.45833333333333331</v>
      </c>
    </row>
    <row r="5168" spans="1:14" ht="19.5" hidden="1" thickBot="1" x14ac:dyDescent="0.3">
      <c r="A5168" s="513">
        <f t="shared" si="146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5"/>
        <v>11,25</v>
      </c>
      <c r="L5168" s="518" t="s">
        <v>265</v>
      </c>
      <c r="M5168" s="518">
        <v>17681.7</v>
      </c>
      <c r="N5168" s="522">
        <v>0.375</v>
      </c>
    </row>
    <row r="5169" spans="1:14" ht="38.25" hidden="1" thickBot="1" x14ac:dyDescent="0.3">
      <c r="A5169" s="503">
        <f t="shared" si="146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5"/>
        <v>11,25</v>
      </c>
      <c r="L5169" s="508" t="s">
        <v>266</v>
      </c>
      <c r="M5169" s="508">
        <v>13821.12</v>
      </c>
      <c r="N5169" s="512">
        <v>0.5</v>
      </c>
    </row>
    <row r="5170" spans="1:14" ht="19.5" hidden="1" thickBot="1" x14ac:dyDescent="0.3">
      <c r="A5170" s="513">
        <f t="shared" si="146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5"/>
        <v>11,25</v>
      </c>
      <c r="L5170" s="518" t="s">
        <v>265</v>
      </c>
      <c r="M5170" s="518">
        <v>12651.2</v>
      </c>
      <c r="N5170" s="522">
        <v>0.375</v>
      </c>
    </row>
    <row r="5171" spans="1:14" ht="19.5" hidden="1" thickBot="1" x14ac:dyDescent="0.3">
      <c r="A5171" s="503">
        <f t="shared" si="146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5"/>
        <v>11,25</v>
      </c>
      <c r="L5171" s="508" t="s">
        <v>28</v>
      </c>
      <c r="M5171" s="508">
        <v>9614.76</v>
      </c>
      <c r="N5171" s="512">
        <v>0.41666666666666669</v>
      </c>
    </row>
    <row r="5172" spans="1:14" ht="19.5" hidden="1" thickBot="1" x14ac:dyDescent="0.3">
      <c r="A5172" s="711">
        <f t="shared" si="146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5"/>
        <v>11,25</v>
      </c>
      <c r="L5172" s="483" t="s">
        <v>266</v>
      </c>
      <c r="M5172" s="483">
        <v>3929.42</v>
      </c>
      <c r="N5172" s="486">
        <v>0.41666666666666669</v>
      </c>
    </row>
    <row r="5173" spans="1:14" ht="19.5" hidden="1" thickBot="1" x14ac:dyDescent="0.3">
      <c r="A5173" s="713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7">RIGHT(I5173,5)</f>
        <v>11,25</v>
      </c>
      <c r="L5173" s="527" t="s">
        <v>28</v>
      </c>
      <c r="M5173" s="527">
        <v>5593.5199999999995</v>
      </c>
      <c r="N5173" s="530">
        <v>0.41666666666666669</v>
      </c>
    </row>
    <row r="5174" spans="1:14" ht="57" hidden="1" thickBot="1" x14ac:dyDescent="0.3">
      <c r="A5174" s="713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7"/>
        <v>11,25</v>
      </c>
      <c r="L5174" s="527" t="s">
        <v>28</v>
      </c>
      <c r="M5174" s="527">
        <v>908.16000000000008</v>
      </c>
      <c r="N5174" s="530">
        <v>0.41666666666666669</v>
      </c>
    </row>
    <row r="5175" spans="1:14" ht="19.5" hidden="1" thickBot="1" x14ac:dyDescent="0.3">
      <c r="A5175" s="712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7"/>
        <v>11,25</v>
      </c>
      <c r="L5175" s="649" t="s">
        <v>28</v>
      </c>
      <c r="M5175" s="649">
        <v>6851.92</v>
      </c>
      <c r="N5175" s="653">
        <v>0.41666666666666669</v>
      </c>
    </row>
    <row r="5176" spans="1:14" ht="19.5" hidden="1" thickBot="1" x14ac:dyDescent="0.3">
      <c r="A5176" s="714">
        <f t="shared" si="146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7"/>
        <v>11,25</v>
      </c>
      <c r="L5176" s="535" t="s">
        <v>28</v>
      </c>
      <c r="M5176" s="535">
        <v>6963.9400000000005</v>
      </c>
      <c r="N5176" s="539">
        <v>0.45833333333333331</v>
      </c>
    </row>
    <row r="5177" spans="1:14" ht="19.5" hidden="1" thickBot="1" x14ac:dyDescent="0.3">
      <c r="A5177" s="716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7"/>
        <v>11,25</v>
      </c>
      <c r="L5177" s="567" t="s">
        <v>28</v>
      </c>
      <c r="M5177" s="567">
        <v>3007.2</v>
      </c>
      <c r="N5177" s="571">
        <v>0.45833333333333331</v>
      </c>
    </row>
    <row r="5178" spans="1:14" ht="19.5" hidden="1" thickBot="1" x14ac:dyDescent="0.3">
      <c r="A5178" s="715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7"/>
        <v>11,25</v>
      </c>
      <c r="L5178" s="640" t="s">
        <v>28</v>
      </c>
      <c r="M5178" s="640">
        <v>7553.9999999999991</v>
      </c>
      <c r="N5178" s="644">
        <v>0.45833333333333331</v>
      </c>
    </row>
    <row r="5179" spans="1:14" ht="19.5" hidden="1" thickBot="1" x14ac:dyDescent="0.3">
      <c r="A5179" s="711">
        <f t="shared" si="146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7"/>
        <v>11,25</v>
      </c>
      <c r="L5179" s="483" t="s">
        <v>28</v>
      </c>
      <c r="M5179" s="483">
        <v>13052.71</v>
      </c>
      <c r="N5179" s="486">
        <v>0.5</v>
      </c>
    </row>
    <row r="5180" spans="1:14" ht="19.5" hidden="1" thickBot="1" x14ac:dyDescent="0.3">
      <c r="A5180" s="712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7"/>
        <v>11,25</v>
      </c>
      <c r="L5180" s="649" t="s">
        <v>28</v>
      </c>
      <c r="M5180" s="649">
        <v>4472.7299999999987</v>
      </c>
      <c r="N5180" s="653">
        <v>0.5</v>
      </c>
    </row>
    <row r="5181" spans="1:14" ht="19.5" hidden="1" thickBot="1" x14ac:dyDescent="0.3">
      <c r="A5181" s="714">
        <f t="shared" si="146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7"/>
        <v>11,25</v>
      </c>
      <c r="L5181" s="535" t="s">
        <v>28</v>
      </c>
      <c r="M5181" s="535">
        <v>6865.2000000000007</v>
      </c>
      <c r="N5181" s="539">
        <v>0.41666666666666669</v>
      </c>
    </row>
    <row r="5182" spans="1:14" ht="19.5" hidden="1" thickBot="1" x14ac:dyDescent="0.3">
      <c r="A5182" s="715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7"/>
        <v>11,25</v>
      </c>
      <c r="L5182" s="640" t="s">
        <v>28</v>
      </c>
      <c r="M5182" s="640">
        <v>6989.52</v>
      </c>
      <c r="N5182" s="644">
        <v>0.41666666666666669</v>
      </c>
    </row>
    <row r="5183" spans="1:14" ht="19.5" hidden="1" thickBot="1" x14ac:dyDescent="0.3">
      <c r="A5183" s="711">
        <f t="shared" si="146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7"/>
        <v>11,25</v>
      </c>
      <c r="L5183" s="483" t="s">
        <v>28</v>
      </c>
      <c r="M5183" s="483">
        <v>6660.7200000000012</v>
      </c>
      <c r="N5183" s="486">
        <v>0.45833333333333331</v>
      </c>
    </row>
    <row r="5184" spans="1:14" ht="19.5" hidden="1" thickBot="1" x14ac:dyDescent="0.3">
      <c r="A5184" s="712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7"/>
        <v>11,25</v>
      </c>
      <c r="L5184" s="649" t="s">
        <v>28</v>
      </c>
      <c r="M5184" s="649">
        <v>4412.9599999999991</v>
      </c>
      <c r="N5184" s="653">
        <v>0.45833333333333331</v>
      </c>
    </row>
    <row r="5185" spans="1:14" ht="19.5" hidden="1" thickBot="1" x14ac:dyDescent="0.3">
      <c r="A5185" s="503">
        <f t="shared" si="146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7"/>
        <v>11,25</v>
      </c>
      <c r="L5185" s="508" t="s">
        <v>28</v>
      </c>
      <c r="M5185" s="508">
        <v>9739.9200000000019</v>
      </c>
      <c r="N5185" s="512">
        <v>0.5</v>
      </c>
    </row>
    <row r="5186" spans="1:14" ht="19.5" hidden="1" thickBot="1" x14ac:dyDescent="0.3">
      <c r="A5186" s="513">
        <f t="shared" si="146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7"/>
        <v>11,25</v>
      </c>
      <c r="L5186" s="518" t="s">
        <v>28</v>
      </c>
      <c r="M5186" s="518">
        <v>11455.359999999999</v>
      </c>
      <c r="N5186" s="522">
        <v>0.54166666666666663</v>
      </c>
    </row>
    <row r="5187" spans="1:14" ht="38.25" hidden="1" thickBot="1" x14ac:dyDescent="0.3">
      <c r="A5187" s="503">
        <f t="shared" si="146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7"/>
        <v>11,25</v>
      </c>
      <c r="L5187" s="508" t="s">
        <v>28</v>
      </c>
      <c r="M5187" s="508">
        <v>14270.7</v>
      </c>
      <c r="N5187" s="512">
        <v>0.41666666666666669</v>
      </c>
    </row>
    <row r="5188" spans="1:14" ht="19.5" hidden="1" thickBot="1" x14ac:dyDescent="0.3">
      <c r="A5188" s="711">
        <f t="shared" si="146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720" t="s">
        <v>1145</v>
      </c>
      <c r="H5188" s="483" t="s">
        <v>1144</v>
      </c>
      <c r="I5188" s="484" t="s">
        <v>1148</v>
      </c>
      <c r="J5188" s="485"/>
      <c r="K5188" s="483" t="str">
        <f t="shared" si="147"/>
        <v>11,25</v>
      </c>
      <c r="L5188" s="483" t="s">
        <v>28</v>
      </c>
      <c r="M5188" s="483">
        <v>4452.3599999999997</v>
      </c>
      <c r="N5188" s="486">
        <v>0.45833333333333331</v>
      </c>
    </row>
    <row r="5189" spans="1:14" ht="19.5" hidden="1" thickBot="1" x14ac:dyDescent="0.3">
      <c r="A5189" s="713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722"/>
      <c r="H5189" s="499" t="s">
        <v>1144</v>
      </c>
      <c r="I5189" s="651" t="s">
        <v>1148</v>
      </c>
      <c r="J5189" s="501"/>
      <c r="K5189" s="499" t="str">
        <f t="shared" si="147"/>
        <v>11,25</v>
      </c>
      <c r="L5189" s="499" t="s">
        <v>28</v>
      </c>
      <c r="M5189" s="499">
        <v>4366.12</v>
      </c>
      <c r="N5189" s="502">
        <v>0.45833333333333331</v>
      </c>
    </row>
    <row r="5190" spans="1:14" ht="19.5" hidden="1" thickBot="1" x14ac:dyDescent="0.3">
      <c r="A5190" s="503">
        <f t="shared" si="146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7"/>
        <v>11,25</v>
      </c>
      <c r="L5190" s="508" t="s">
        <v>266</v>
      </c>
      <c r="M5190" s="508">
        <v>17967.559999999998</v>
      </c>
      <c r="N5190" s="512">
        <v>0.41666666666666669</v>
      </c>
    </row>
    <row r="5191" spans="1:14" ht="19.5" hidden="1" thickBot="1" x14ac:dyDescent="0.3">
      <c r="A5191" s="513">
        <f t="shared" si="146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7"/>
        <v>11,25</v>
      </c>
      <c r="L5191" s="518" t="s">
        <v>266</v>
      </c>
      <c r="M5191" s="518">
        <v>17959.719999999998</v>
      </c>
      <c r="N5191" s="522">
        <v>0.45833333333333331</v>
      </c>
    </row>
    <row r="5192" spans="1:14" ht="19.5" hidden="1" thickBot="1" x14ac:dyDescent="0.3">
      <c r="A5192" s="714">
        <f t="shared" si="146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7"/>
        <v>11,25</v>
      </c>
      <c r="L5192" s="535" t="s">
        <v>266</v>
      </c>
      <c r="M5192" s="535">
        <v>822.24000000000012</v>
      </c>
      <c r="N5192" s="539">
        <v>0.5</v>
      </c>
    </row>
    <row r="5193" spans="1:14" ht="19.5" hidden="1" thickBot="1" x14ac:dyDescent="0.3">
      <c r="A5193" s="716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7"/>
        <v>11,25</v>
      </c>
      <c r="L5193" s="567" t="s">
        <v>266</v>
      </c>
      <c r="M5193" s="567">
        <v>699.34</v>
      </c>
      <c r="N5193" s="571">
        <v>0.5</v>
      </c>
    </row>
    <row r="5194" spans="1:14" ht="19.5" hidden="1" thickBot="1" x14ac:dyDescent="0.3">
      <c r="A5194" s="716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7"/>
        <v>11,25</v>
      </c>
      <c r="L5194" s="567" t="s">
        <v>266</v>
      </c>
      <c r="M5194" s="567">
        <v>12533.669999999998</v>
      </c>
      <c r="N5194" s="571">
        <v>0.5</v>
      </c>
    </row>
    <row r="5195" spans="1:14" ht="19.5" hidden="1" thickBot="1" x14ac:dyDescent="0.3">
      <c r="A5195" s="715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7"/>
        <v>11,25</v>
      </c>
      <c r="L5195" s="640" t="s">
        <v>266</v>
      </c>
      <c r="M5195" s="640">
        <v>3526.2</v>
      </c>
      <c r="N5195" s="644">
        <v>0.5</v>
      </c>
    </row>
    <row r="5196" spans="1:14" ht="19.5" hidden="1" thickBot="1" x14ac:dyDescent="0.3">
      <c r="A5196" s="711">
        <f t="shared" si="146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720" t="s">
        <v>467</v>
      </c>
      <c r="H5196" s="483" t="s">
        <v>1147</v>
      </c>
      <c r="I5196" s="484" t="s">
        <v>1149</v>
      </c>
      <c r="J5196" s="485"/>
      <c r="K5196" s="483" t="str">
        <f t="shared" si="147"/>
        <v>11,25</v>
      </c>
      <c r="L5196" s="483" t="s">
        <v>266</v>
      </c>
      <c r="M5196" s="483">
        <v>4161.24</v>
      </c>
      <c r="N5196" s="486">
        <v>0.54166666666666663</v>
      </c>
    </row>
    <row r="5197" spans="1:14" ht="19.5" hidden="1" thickBot="1" x14ac:dyDescent="0.3">
      <c r="A5197" s="712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721"/>
      <c r="H5197" s="649" t="s">
        <v>1147</v>
      </c>
      <c r="I5197" s="651" t="s">
        <v>1149</v>
      </c>
      <c r="J5197" s="652"/>
      <c r="K5197" s="649" t="str">
        <f t="shared" si="147"/>
        <v>11,25</v>
      </c>
      <c r="L5197" s="649" t="s">
        <v>266</v>
      </c>
      <c r="M5197" s="649">
        <v>4554.6000000000022</v>
      </c>
      <c r="N5197" s="653">
        <v>0.54166666666666663</v>
      </c>
    </row>
    <row r="5198" spans="1:14" ht="19.5" hidden="1" thickBot="1" x14ac:dyDescent="0.3">
      <c r="A5198" s="551">
        <f t="shared" si="146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7"/>
        <v>11,25</v>
      </c>
      <c r="L5198" s="556" t="s">
        <v>266</v>
      </c>
      <c r="M5198" s="556">
        <v>9706.0400000000009</v>
      </c>
      <c r="N5198" s="560">
        <v>0.41666666666666669</v>
      </c>
    </row>
    <row r="5199" spans="1:14" ht="19.5" hidden="1" thickBot="1" x14ac:dyDescent="0.3">
      <c r="A5199" s="711">
        <f t="shared" si="146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7"/>
        <v>11,25</v>
      </c>
      <c r="L5199" s="483" t="s">
        <v>265</v>
      </c>
      <c r="M5199" s="483">
        <v>14884.9</v>
      </c>
      <c r="N5199" s="486">
        <v>0.375</v>
      </c>
    </row>
    <row r="5200" spans="1:14" ht="19.5" hidden="1" thickBot="1" x14ac:dyDescent="0.3">
      <c r="A5200" s="712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7"/>
        <v>11,25</v>
      </c>
      <c r="L5200" s="649" t="s">
        <v>265</v>
      </c>
      <c r="M5200" s="649">
        <v>2633</v>
      </c>
      <c r="N5200" s="653">
        <v>0.375</v>
      </c>
    </row>
    <row r="5201" spans="1:14" ht="19.5" hidden="1" thickBot="1" x14ac:dyDescent="0.3">
      <c r="A5201" s="503">
        <f t="shared" si="146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7"/>
        <v>11,25</v>
      </c>
      <c r="L5201" s="508" t="s">
        <v>265</v>
      </c>
      <c r="M5201" s="508">
        <v>17725.72</v>
      </c>
      <c r="N5201" s="512">
        <v>0.375</v>
      </c>
    </row>
    <row r="5202" spans="1:14" ht="28.5" hidden="1" customHeight="1" x14ac:dyDescent="0.25">
      <c r="A5202" s="711">
        <f t="shared" si="146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720" t="s">
        <v>1140</v>
      </c>
      <c r="H5202" s="483" t="s">
        <v>1149</v>
      </c>
      <c r="I5202" s="484" t="s">
        <v>1150</v>
      </c>
      <c r="J5202" s="485"/>
      <c r="K5202" s="483" t="str">
        <f t="shared" si="147"/>
        <v>11,25</v>
      </c>
      <c r="L5202" s="483" t="s">
        <v>28</v>
      </c>
      <c r="M5202" s="483">
        <v>7280.6999999999989</v>
      </c>
      <c r="N5202" s="486">
        <v>0.41666666666666669</v>
      </c>
    </row>
    <row r="5203" spans="1:14" ht="28.5" hidden="1" customHeight="1" thickBot="1" x14ac:dyDescent="0.3">
      <c r="A5203" s="712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721"/>
      <c r="H5203" s="649" t="s">
        <v>1149</v>
      </c>
      <c r="I5203" s="651" t="s">
        <v>1150</v>
      </c>
      <c r="J5203" s="652"/>
      <c r="K5203" s="649" t="str">
        <f t="shared" si="147"/>
        <v>11,25</v>
      </c>
      <c r="L5203" s="649" t="s">
        <v>28</v>
      </c>
      <c r="M5203" s="649">
        <v>7575.78</v>
      </c>
      <c r="N5203" s="653">
        <v>0.41666666666666669</v>
      </c>
    </row>
    <row r="5204" spans="1:14" ht="19.5" hidden="1" thickBot="1" x14ac:dyDescent="0.3">
      <c r="A5204" s="503">
        <f t="shared" si="146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7"/>
        <v>11,25</v>
      </c>
      <c r="L5204" s="508" t="s">
        <v>28</v>
      </c>
      <c r="M5204" s="508">
        <v>17506.920000000002</v>
      </c>
      <c r="N5204" s="512">
        <v>0.45833333333333331</v>
      </c>
    </row>
    <row r="5205" spans="1:14" ht="19.5" hidden="1" thickBot="1" x14ac:dyDescent="0.3">
      <c r="A5205" s="711">
        <f t="shared" si="146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7"/>
        <v>11,25</v>
      </c>
      <c r="L5205" s="483" t="s">
        <v>28</v>
      </c>
      <c r="M5205" s="483">
        <v>1586.04</v>
      </c>
      <c r="N5205" s="486">
        <v>0.5</v>
      </c>
    </row>
    <row r="5206" spans="1:14" ht="19.5" hidden="1" thickBot="1" x14ac:dyDescent="0.3">
      <c r="A5206" s="713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7"/>
        <v>11,25</v>
      </c>
      <c r="L5206" s="527" t="s">
        <v>28</v>
      </c>
      <c r="M5206" s="527">
        <v>10885.05</v>
      </c>
      <c r="N5206" s="530">
        <v>0.5</v>
      </c>
    </row>
    <row r="5207" spans="1:14" ht="19.5" hidden="1" thickBot="1" x14ac:dyDescent="0.3">
      <c r="A5207" s="712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7"/>
        <v>11,25</v>
      </c>
      <c r="L5207" s="649" t="s">
        <v>28</v>
      </c>
      <c r="M5207" s="649">
        <v>5468.7999999999993</v>
      </c>
      <c r="N5207" s="653">
        <v>0.5</v>
      </c>
    </row>
    <row r="5208" spans="1:14" ht="19.5" hidden="1" thickBot="1" x14ac:dyDescent="0.3">
      <c r="A5208" s="551">
        <f t="shared" si="146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7"/>
        <v>11,25</v>
      </c>
      <c r="L5208" s="556" t="s">
        <v>265</v>
      </c>
      <c r="M5208" s="556">
        <v>12089.199999999999</v>
      </c>
      <c r="N5208" s="560">
        <v>0.375</v>
      </c>
    </row>
    <row r="5209" spans="1:14" ht="19.5" hidden="1" thickBot="1" x14ac:dyDescent="0.3">
      <c r="A5209" s="513">
        <f t="shared" ref="A5209:A5272" si="148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7"/>
        <v>11,25</v>
      </c>
      <c r="L5209" s="518" t="s">
        <v>28</v>
      </c>
      <c r="M5209" s="518">
        <v>12118.92</v>
      </c>
      <c r="N5209" s="522">
        <v>0.41666666666666669</v>
      </c>
    </row>
    <row r="5210" spans="1:14" ht="19.5" hidden="1" thickBot="1" x14ac:dyDescent="0.3">
      <c r="A5210" s="714">
        <f t="shared" si="148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7"/>
        <v>11,25</v>
      </c>
      <c r="L5210" s="535" t="s">
        <v>28</v>
      </c>
      <c r="M5210" s="535">
        <v>16172.28</v>
      </c>
      <c r="N5210" s="539">
        <v>0.54166666666666663</v>
      </c>
    </row>
    <row r="5211" spans="1:14" ht="57" hidden="1" thickBot="1" x14ac:dyDescent="0.3">
      <c r="A5211" s="715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7"/>
        <v>11,25</v>
      </c>
      <c r="L5211" s="640" t="s">
        <v>28</v>
      </c>
      <c r="M5211" s="640">
        <v>891.36000000000013</v>
      </c>
      <c r="N5211" s="644">
        <v>0.54166666666666663</v>
      </c>
    </row>
    <row r="5212" spans="1:14" ht="19.5" hidden="1" thickBot="1" x14ac:dyDescent="0.3">
      <c r="A5212" s="711">
        <f t="shared" si="148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7"/>
        <v>11,25</v>
      </c>
      <c r="L5212" s="483" t="s">
        <v>265</v>
      </c>
      <c r="M5212" s="483">
        <v>16269.54</v>
      </c>
      <c r="N5212" s="486">
        <v>0.375</v>
      </c>
    </row>
    <row r="5213" spans="1:14" ht="19.5" hidden="1" thickBot="1" x14ac:dyDescent="0.3">
      <c r="A5213" s="712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7"/>
        <v>11,25</v>
      </c>
      <c r="L5213" s="649" t="s">
        <v>266</v>
      </c>
      <c r="M5213" s="649">
        <v>1315.3799999999999</v>
      </c>
      <c r="N5213" s="653">
        <v>0.375</v>
      </c>
    </row>
    <row r="5214" spans="1:14" ht="19.5" hidden="1" thickBot="1" x14ac:dyDescent="0.3">
      <c r="A5214" s="551">
        <f t="shared" si="148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7"/>
        <v>11,25</v>
      </c>
      <c r="L5214" s="556" t="s">
        <v>265</v>
      </c>
      <c r="M5214" s="556">
        <v>12824.52</v>
      </c>
      <c r="N5214" s="560">
        <v>0.375</v>
      </c>
    </row>
    <row r="5215" spans="1:14" ht="19.5" hidden="1" thickBot="1" x14ac:dyDescent="0.3">
      <c r="A5215" s="513">
        <f t="shared" si="148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7"/>
        <v>11,25</v>
      </c>
      <c r="L5215" s="518" t="s">
        <v>266</v>
      </c>
      <c r="M5215" s="518">
        <v>18015</v>
      </c>
      <c r="N5215" s="522">
        <v>0.41666666666666669</v>
      </c>
    </row>
    <row r="5216" spans="1:14" ht="19.5" hidden="1" thickBot="1" x14ac:dyDescent="0.3">
      <c r="A5216" s="714">
        <f t="shared" si="148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717" t="s">
        <v>1152</v>
      </c>
      <c r="H5216" s="535" t="s">
        <v>1150</v>
      </c>
      <c r="I5216" s="537" t="s">
        <v>1150</v>
      </c>
      <c r="J5216" s="538"/>
      <c r="K5216" s="535" t="str">
        <f t="shared" si="147"/>
        <v>11,25</v>
      </c>
      <c r="L5216" s="535" t="s">
        <v>28</v>
      </c>
      <c r="M5216" s="535">
        <v>3274.32</v>
      </c>
      <c r="N5216" s="539">
        <v>0.45833333333333331</v>
      </c>
    </row>
    <row r="5217" spans="1:14" ht="19.5" hidden="1" thickBot="1" x14ac:dyDescent="0.3">
      <c r="A5217" s="715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718"/>
      <c r="H5217" s="640" t="s">
        <v>1150</v>
      </c>
      <c r="I5217" s="642" t="s">
        <v>1150</v>
      </c>
      <c r="J5217" s="643"/>
      <c r="K5217" s="640" t="str">
        <f t="shared" si="147"/>
        <v>11,25</v>
      </c>
      <c r="L5217" s="640" t="s">
        <v>28</v>
      </c>
      <c r="M5217" s="640">
        <v>10070.129999999999</v>
      </c>
      <c r="N5217" s="644">
        <v>0.45833333333333331</v>
      </c>
    </row>
    <row r="5218" spans="1:14" ht="19.5" hidden="1" thickBot="1" x14ac:dyDescent="0.3">
      <c r="A5218" s="513">
        <f t="shared" si="148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7"/>
        <v>11,25</v>
      </c>
      <c r="L5218" s="518" t="s">
        <v>265</v>
      </c>
      <c r="M5218" s="518">
        <v>17779.47</v>
      </c>
      <c r="N5218" s="522">
        <v>0.375</v>
      </c>
    </row>
    <row r="5219" spans="1:14" ht="19.5" hidden="1" thickBot="1" x14ac:dyDescent="0.3">
      <c r="A5219" s="714">
        <f t="shared" si="148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7"/>
        <v>11,25</v>
      </c>
      <c r="L5219" s="535" t="s">
        <v>28</v>
      </c>
      <c r="M5219" s="535">
        <v>2132.2200000000003</v>
      </c>
      <c r="N5219" s="539">
        <v>0.41666666666666669</v>
      </c>
    </row>
    <row r="5220" spans="1:14" ht="19.5" hidden="1" thickBot="1" x14ac:dyDescent="0.3">
      <c r="A5220" s="716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7"/>
        <v>11,25</v>
      </c>
      <c r="L5220" s="567" t="s">
        <v>28</v>
      </c>
      <c r="M5220" s="567">
        <v>5116.8900000000012</v>
      </c>
      <c r="N5220" s="571">
        <v>0.41666666666666669</v>
      </c>
    </row>
    <row r="5221" spans="1:14" ht="19.5" hidden="1" thickBot="1" x14ac:dyDescent="0.3">
      <c r="A5221" s="715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7"/>
        <v>11,25</v>
      </c>
      <c r="L5221" s="640" t="s">
        <v>28</v>
      </c>
      <c r="M5221" s="640">
        <v>10112.699999999999</v>
      </c>
      <c r="N5221" s="644">
        <v>0.41666666666666669</v>
      </c>
    </row>
    <row r="5222" spans="1:14" ht="19.5" hidden="1" thickBot="1" x14ac:dyDescent="0.3">
      <c r="A5222" s="711">
        <f t="shared" si="148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7"/>
        <v>11,25</v>
      </c>
      <c r="L5222" s="483" t="s">
        <v>266</v>
      </c>
      <c r="M5222" s="483">
        <v>8492.34</v>
      </c>
      <c r="N5222" s="486">
        <v>0.45833333333333331</v>
      </c>
    </row>
    <row r="5223" spans="1:14" ht="19.5" hidden="1" thickBot="1" x14ac:dyDescent="0.3">
      <c r="A5223" s="713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7"/>
        <v>11,25</v>
      </c>
      <c r="L5223" s="527" t="s">
        <v>266</v>
      </c>
      <c r="M5223" s="527">
        <v>4083.08</v>
      </c>
      <c r="N5223" s="530">
        <v>0.45833333333333331</v>
      </c>
    </row>
    <row r="5224" spans="1:14" ht="19.5" hidden="1" thickBot="1" x14ac:dyDescent="0.3">
      <c r="A5224" s="713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7"/>
        <v>11,25</v>
      </c>
      <c r="L5224" s="527" t="s">
        <v>28</v>
      </c>
      <c r="M5224" s="527">
        <v>1752.71</v>
      </c>
      <c r="N5224" s="530">
        <v>0.45833333333333331</v>
      </c>
    </row>
    <row r="5225" spans="1:14" ht="19.5" hidden="1" thickBot="1" x14ac:dyDescent="0.3">
      <c r="A5225" s="712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7"/>
        <v>11,25</v>
      </c>
      <c r="L5225" s="649" t="s">
        <v>28</v>
      </c>
      <c r="M5225" s="649">
        <v>2977.26</v>
      </c>
      <c r="N5225" s="653">
        <v>0.45833333333333331</v>
      </c>
    </row>
    <row r="5226" spans="1:14" ht="19.5" hidden="1" thickBot="1" x14ac:dyDescent="0.3">
      <c r="A5226" s="714">
        <f t="shared" si="148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7"/>
        <v>11,25</v>
      </c>
      <c r="L5226" s="535" t="s">
        <v>28</v>
      </c>
      <c r="M5226" s="535">
        <v>4612.08</v>
      </c>
      <c r="N5226" s="539">
        <v>0.41666666666666669</v>
      </c>
    </row>
    <row r="5227" spans="1:14" ht="19.5" hidden="1" thickBot="1" x14ac:dyDescent="0.3">
      <c r="A5227" s="716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7"/>
        <v>11,25</v>
      </c>
      <c r="L5227" s="567" t="s">
        <v>28</v>
      </c>
      <c r="M5227" s="567">
        <v>3643.6</v>
      </c>
      <c r="N5227" s="571">
        <v>0.41666666666666669</v>
      </c>
    </row>
    <row r="5228" spans="1:14" ht="19.5" hidden="1" thickBot="1" x14ac:dyDescent="0.3">
      <c r="A5228" s="715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7"/>
        <v>11,25</v>
      </c>
      <c r="L5228" s="640" t="s">
        <v>28</v>
      </c>
      <c r="M5228" s="640">
        <v>2288.1600000000003</v>
      </c>
      <c r="N5228" s="644">
        <v>0.41666666666666669</v>
      </c>
    </row>
    <row r="5229" spans="1:14" ht="19.5" hidden="1" thickBot="1" x14ac:dyDescent="0.3">
      <c r="A5229" s="711">
        <f t="shared" si="148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7"/>
        <v>11,25</v>
      </c>
      <c r="L5229" s="483" t="s">
        <v>28</v>
      </c>
      <c r="M5229" s="483">
        <v>5369.64</v>
      </c>
      <c r="N5229" s="486">
        <v>0.45833333333333331</v>
      </c>
    </row>
    <row r="5230" spans="1:14" ht="19.5" hidden="1" thickBot="1" x14ac:dyDescent="0.3">
      <c r="A5230" s="713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7"/>
        <v>11,25</v>
      </c>
      <c r="L5230" s="499" t="s">
        <v>28</v>
      </c>
      <c r="M5230" s="499">
        <v>6780.2400000000007</v>
      </c>
      <c r="N5230" s="502">
        <v>0.45833333333333331</v>
      </c>
    </row>
    <row r="5231" spans="1:14" ht="38.25" hidden="1" thickBot="1" x14ac:dyDescent="0.3">
      <c r="A5231" s="503">
        <f t="shared" si="148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7"/>
        <v>11,25</v>
      </c>
      <c r="L5231" s="508" t="s">
        <v>266</v>
      </c>
      <c r="M5231" s="508">
        <v>16700.16</v>
      </c>
      <c r="N5231" s="512">
        <v>0.41666666666666669</v>
      </c>
    </row>
    <row r="5232" spans="1:14" ht="19.5" hidden="1" thickBot="1" x14ac:dyDescent="0.3">
      <c r="A5232" s="711">
        <f t="shared" si="148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720" t="s">
        <v>959</v>
      </c>
      <c r="H5232" s="483" t="s">
        <v>1153</v>
      </c>
      <c r="I5232" s="484" t="s">
        <v>1155</v>
      </c>
      <c r="J5232" s="485"/>
      <c r="K5232" s="483" t="str">
        <f t="shared" si="147"/>
        <v>11,25</v>
      </c>
      <c r="L5232" s="483" t="s">
        <v>28</v>
      </c>
      <c r="M5232" s="483">
        <v>3545.5800000000004</v>
      </c>
      <c r="N5232" s="486">
        <v>0.45833333333333331</v>
      </c>
    </row>
    <row r="5233" spans="1:14" ht="19.5" hidden="1" thickBot="1" x14ac:dyDescent="0.3">
      <c r="A5233" s="712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721"/>
      <c r="H5233" s="649" t="s">
        <v>1153</v>
      </c>
      <c r="I5233" s="651" t="s">
        <v>1155</v>
      </c>
      <c r="J5233" s="652"/>
      <c r="K5233" s="649" t="str">
        <f t="shared" si="147"/>
        <v>11,25</v>
      </c>
      <c r="L5233" s="649" t="s">
        <v>28</v>
      </c>
      <c r="M5233" s="649">
        <v>4330.7000000000007</v>
      </c>
      <c r="N5233" s="653">
        <v>0.45833333333333331</v>
      </c>
    </row>
    <row r="5234" spans="1:14" ht="19.5" hidden="1" thickBot="1" x14ac:dyDescent="0.3">
      <c r="A5234" s="714">
        <f t="shared" si="148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7"/>
        <v>11,25</v>
      </c>
      <c r="L5234" s="535" t="s">
        <v>266</v>
      </c>
      <c r="M5234" s="535">
        <v>1414.66</v>
      </c>
      <c r="N5234" s="539">
        <v>0.5</v>
      </c>
    </row>
    <row r="5235" spans="1:14" ht="19.5" hidden="1" thickBot="1" x14ac:dyDescent="0.3">
      <c r="A5235" s="716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7"/>
        <v>11,25</v>
      </c>
      <c r="L5235" s="594" t="s">
        <v>266</v>
      </c>
      <c r="M5235" s="594">
        <v>12543.3</v>
      </c>
      <c r="N5235" s="598">
        <v>0.5</v>
      </c>
    </row>
    <row r="5236" spans="1:14" ht="19.5" hidden="1" thickBot="1" x14ac:dyDescent="0.3">
      <c r="A5236" s="513">
        <f t="shared" si="148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7"/>
        <v>11,25</v>
      </c>
      <c r="L5236" s="518" t="s">
        <v>266</v>
      </c>
      <c r="M5236" s="518">
        <v>18162.62</v>
      </c>
      <c r="N5236" s="522">
        <v>0.375</v>
      </c>
    </row>
    <row r="5237" spans="1:14" ht="19.5" hidden="1" thickBot="1" x14ac:dyDescent="0.3">
      <c r="A5237" s="503">
        <f t="shared" si="148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49">RIGHT(I5237,5)</f>
        <v>11,25</v>
      </c>
      <c r="L5237" s="508" t="s">
        <v>266</v>
      </c>
      <c r="M5237" s="508">
        <v>18175.859999999997</v>
      </c>
      <c r="N5237" s="512">
        <v>0.41666666666666669</v>
      </c>
    </row>
    <row r="5238" spans="1:14" ht="19.5" hidden="1" thickBot="1" x14ac:dyDescent="0.3">
      <c r="A5238" s="513">
        <f t="shared" si="148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49"/>
        <v>11,25</v>
      </c>
      <c r="L5238" s="518" t="s">
        <v>266</v>
      </c>
      <c r="M5238" s="518">
        <v>17960.180000000004</v>
      </c>
      <c r="N5238" s="522">
        <v>0.45833333333333331</v>
      </c>
    </row>
    <row r="5239" spans="1:14" ht="19.5" hidden="1" thickBot="1" x14ac:dyDescent="0.3">
      <c r="A5239" s="503">
        <f t="shared" si="148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49"/>
        <v>11,25</v>
      </c>
      <c r="L5239" s="508" t="s">
        <v>266</v>
      </c>
      <c r="M5239" s="508">
        <v>17973.300000000003</v>
      </c>
      <c r="N5239" s="512">
        <v>0.5</v>
      </c>
    </row>
    <row r="5240" spans="1:14" ht="19.5" hidden="1" thickBot="1" x14ac:dyDescent="0.3">
      <c r="A5240" s="711">
        <f t="shared" si="148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49"/>
        <v>11,25</v>
      </c>
      <c r="L5240" s="483" t="s">
        <v>266</v>
      </c>
      <c r="M5240" s="483">
        <v>591.9799999999999</v>
      </c>
      <c r="N5240" s="486">
        <v>0.54166666666666663</v>
      </c>
    </row>
    <row r="5241" spans="1:14" ht="19.5" hidden="1" thickBot="1" x14ac:dyDescent="0.3">
      <c r="A5241" s="713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49"/>
        <v>11,25</v>
      </c>
      <c r="L5241" s="527" t="s">
        <v>266</v>
      </c>
      <c r="M5241" s="527">
        <v>4241.7199999999993</v>
      </c>
      <c r="N5241" s="530">
        <v>0.54166666666666663</v>
      </c>
    </row>
    <row r="5242" spans="1:14" ht="19.5" hidden="1" thickBot="1" x14ac:dyDescent="0.3">
      <c r="A5242" s="713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49"/>
        <v>11,25</v>
      </c>
      <c r="L5242" s="499" t="s">
        <v>266</v>
      </c>
      <c r="M5242" s="499">
        <v>7325.2800000000007</v>
      </c>
      <c r="N5242" s="502">
        <v>0.54166666666666663</v>
      </c>
    </row>
    <row r="5243" spans="1:14" ht="19.5" hidden="1" thickBot="1" x14ac:dyDescent="0.3">
      <c r="A5243" s="714">
        <f t="shared" si="148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49"/>
        <v>11,25</v>
      </c>
      <c r="L5243" s="535" t="s">
        <v>265</v>
      </c>
      <c r="M5243" s="535">
        <v>11129.64</v>
      </c>
      <c r="N5243" s="539">
        <v>0.375</v>
      </c>
    </row>
    <row r="5244" spans="1:14" ht="19.5" hidden="1" thickBot="1" x14ac:dyDescent="0.3">
      <c r="A5244" s="715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49"/>
        <v>11,25</v>
      </c>
      <c r="L5244" s="640" t="s">
        <v>265</v>
      </c>
      <c r="M5244" s="640">
        <v>5988.380000000001</v>
      </c>
      <c r="N5244" s="644">
        <v>0.375</v>
      </c>
    </row>
    <row r="5245" spans="1:14" ht="19.5" hidden="1" thickBot="1" x14ac:dyDescent="0.3">
      <c r="A5245" s="513">
        <f t="shared" si="148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49"/>
        <v>11,25</v>
      </c>
      <c r="L5245" s="518" t="s">
        <v>265</v>
      </c>
      <c r="M5245" s="518">
        <v>17627.14</v>
      </c>
      <c r="N5245" s="522">
        <v>0.41666666666666669</v>
      </c>
    </row>
    <row r="5246" spans="1:14" ht="19.5" hidden="1" thickBot="1" x14ac:dyDescent="0.3">
      <c r="A5246" s="503">
        <f t="shared" si="148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49"/>
        <v>11,25</v>
      </c>
      <c r="L5246" s="508" t="s">
        <v>265</v>
      </c>
      <c r="M5246" s="508">
        <v>17684.5</v>
      </c>
      <c r="N5246" s="512">
        <v>0.375</v>
      </c>
    </row>
    <row r="5247" spans="1:14" ht="19.5" hidden="1" thickBot="1" x14ac:dyDescent="0.3">
      <c r="A5247" s="711">
        <f t="shared" si="148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49"/>
        <v>11,25</v>
      </c>
      <c r="L5247" s="483" t="s">
        <v>28</v>
      </c>
      <c r="M5247" s="483">
        <v>1815.6000000000001</v>
      </c>
      <c r="N5247" s="486">
        <v>0.41666666666666669</v>
      </c>
    </row>
    <row r="5248" spans="1:14" ht="19.5" hidden="1" thickBot="1" x14ac:dyDescent="0.3">
      <c r="A5248" s="713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49"/>
        <v>11,25</v>
      </c>
      <c r="L5248" s="527" t="s">
        <v>28</v>
      </c>
      <c r="M5248" s="527">
        <v>12748.449999999999</v>
      </c>
      <c r="N5248" s="530">
        <v>0.41666666666666669</v>
      </c>
    </row>
    <row r="5249" spans="1:14" ht="19.5" hidden="1" thickBot="1" x14ac:dyDescent="0.3">
      <c r="A5249" s="712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49"/>
        <v>11,25</v>
      </c>
      <c r="L5249" s="649" t="s">
        <v>28</v>
      </c>
      <c r="M5249" s="649">
        <v>2835.6600000000003</v>
      </c>
      <c r="N5249" s="653">
        <v>0.41666666666666669</v>
      </c>
    </row>
    <row r="5250" spans="1:14" ht="19.5" hidden="1" thickBot="1" x14ac:dyDescent="0.3">
      <c r="A5250" s="714">
        <f t="shared" si="148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49"/>
        <v>11,25</v>
      </c>
      <c r="L5250" s="535" t="s">
        <v>28</v>
      </c>
      <c r="M5250" s="535">
        <v>3623.56</v>
      </c>
      <c r="N5250" s="539">
        <v>0.45833333333333331</v>
      </c>
    </row>
    <row r="5251" spans="1:14" ht="19.5" hidden="1" thickBot="1" x14ac:dyDescent="0.3">
      <c r="A5251" s="715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49"/>
        <v>11,25</v>
      </c>
      <c r="L5251" s="640" t="s">
        <v>28</v>
      </c>
      <c r="M5251" s="640">
        <v>14035.710000000001</v>
      </c>
      <c r="N5251" s="644">
        <v>0.45833333333333331</v>
      </c>
    </row>
    <row r="5252" spans="1:14" ht="19.5" hidden="1" thickBot="1" x14ac:dyDescent="0.3">
      <c r="A5252" s="513">
        <f t="shared" si="148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49"/>
        <v>11,25</v>
      </c>
      <c r="L5252" s="518" t="s">
        <v>266</v>
      </c>
      <c r="M5252" s="518">
        <v>12060.48</v>
      </c>
      <c r="N5252" s="522">
        <v>0.41666666666666669</v>
      </c>
    </row>
    <row r="5253" spans="1:14" ht="19.5" hidden="1" thickBot="1" x14ac:dyDescent="0.3">
      <c r="A5253" s="551">
        <f t="shared" si="148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49"/>
        <v>11,25</v>
      </c>
      <c r="L5253" s="556" t="s">
        <v>265</v>
      </c>
      <c r="M5253" s="556">
        <v>14080.56</v>
      </c>
      <c r="N5253" s="560">
        <v>0.375</v>
      </c>
    </row>
    <row r="5254" spans="1:14" ht="19.5" hidden="1" thickBot="1" x14ac:dyDescent="0.3">
      <c r="A5254" s="711">
        <f t="shared" si="148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49"/>
        <v>11,25</v>
      </c>
      <c r="L5254" s="483" t="s">
        <v>265</v>
      </c>
      <c r="M5254" s="483">
        <v>16386.939999999999</v>
      </c>
      <c r="N5254" s="486">
        <v>0.375</v>
      </c>
    </row>
    <row r="5255" spans="1:14" ht="19.5" hidden="1" thickBot="1" x14ac:dyDescent="0.3">
      <c r="A5255" s="712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49"/>
        <v>11,25</v>
      </c>
      <c r="L5255" s="649" t="s">
        <v>266</v>
      </c>
      <c r="M5255" s="649">
        <v>1157.4000000000001</v>
      </c>
      <c r="N5255" s="653">
        <v>0.375</v>
      </c>
    </row>
    <row r="5256" spans="1:14" ht="19.5" hidden="1" thickBot="1" x14ac:dyDescent="0.3">
      <c r="A5256" s="503">
        <f t="shared" si="148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49"/>
        <v>11,25</v>
      </c>
      <c r="L5256" s="508" t="s">
        <v>28</v>
      </c>
      <c r="M5256" s="508">
        <v>13345.080000000002</v>
      </c>
      <c r="N5256" s="512">
        <v>0.41666666666666669</v>
      </c>
    </row>
    <row r="5257" spans="1:14" ht="19.5" hidden="1" thickBot="1" x14ac:dyDescent="0.3">
      <c r="A5257" s="572">
        <f t="shared" si="148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49"/>
        <v>11,25</v>
      </c>
      <c r="L5257" s="577" t="s">
        <v>265</v>
      </c>
      <c r="M5257" s="577">
        <v>13995.879999999997</v>
      </c>
      <c r="N5257" s="581">
        <v>0.375</v>
      </c>
    </row>
    <row r="5258" spans="1:14" ht="19.5" hidden="1" thickBot="1" x14ac:dyDescent="0.3">
      <c r="A5258" s="503">
        <f t="shared" si="148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49"/>
        <v>12,25</v>
      </c>
      <c r="L5258" s="508" t="s">
        <v>265</v>
      </c>
      <c r="M5258" s="508">
        <v>17714.54</v>
      </c>
      <c r="N5258" s="512">
        <v>0.375</v>
      </c>
    </row>
    <row r="5259" spans="1:14" ht="132" hidden="1" thickBot="1" x14ac:dyDescent="0.3">
      <c r="A5259" s="513">
        <f t="shared" si="148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49"/>
        <v>12,25</v>
      </c>
      <c r="L5259" s="518" t="s">
        <v>28</v>
      </c>
      <c r="M5259" s="518">
        <v>11635.77</v>
      </c>
      <c r="N5259" s="522">
        <v>0.41666666666666669</v>
      </c>
    </row>
    <row r="5260" spans="1:14" ht="19.5" hidden="1" thickBot="1" x14ac:dyDescent="0.3">
      <c r="A5260" s="714">
        <f t="shared" si="148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49"/>
        <v>12,25</v>
      </c>
      <c r="L5260" s="535" t="s">
        <v>266</v>
      </c>
      <c r="M5260" s="535">
        <v>13715.41</v>
      </c>
      <c r="N5260" s="539">
        <v>0.41666666666666669</v>
      </c>
    </row>
    <row r="5261" spans="1:14" ht="19.5" hidden="1" thickBot="1" x14ac:dyDescent="0.3">
      <c r="A5261" s="715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49"/>
        <v>12,25</v>
      </c>
      <c r="L5261" s="640" t="s">
        <v>28</v>
      </c>
      <c r="M5261" s="640">
        <v>3469.98</v>
      </c>
      <c r="N5261" s="644">
        <v>0.41666666666666669</v>
      </c>
    </row>
    <row r="5262" spans="1:14" ht="19.5" hidden="1" thickBot="1" x14ac:dyDescent="0.3">
      <c r="A5262" s="711">
        <f t="shared" si="148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49"/>
        <v>12,25</v>
      </c>
      <c r="L5262" s="483" t="s">
        <v>28</v>
      </c>
      <c r="M5262" s="483">
        <v>510</v>
      </c>
      <c r="N5262" s="486">
        <v>0.45833333333333331</v>
      </c>
    </row>
    <row r="5263" spans="1:14" ht="19.5" hidden="1" thickBot="1" x14ac:dyDescent="0.3">
      <c r="A5263" s="712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49"/>
        <v>12,25</v>
      </c>
      <c r="L5263" s="649" t="s">
        <v>28</v>
      </c>
      <c r="M5263" s="649">
        <v>16645.62</v>
      </c>
      <c r="N5263" s="653">
        <v>0.45833333333333331</v>
      </c>
    </row>
    <row r="5264" spans="1:14" ht="19.5" hidden="1" thickBot="1" x14ac:dyDescent="0.3">
      <c r="A5264" s="503">
        <f t="shared" si="148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49"/>
        <v>12,25</v>
      </c>
      <c r="L5264" s="508" t="s">
        <v>28</v>
      </c>
      <c r="M5264" s="508">
        <v>16920.960000000003</v>
      </c>
      <c r="N5264" s="512">
        <v>0.5</v>
      </c>
    </row>
    <row r="5265" spans="1:14" ht="19.5" hidden="1" thickBot="1" x14ac:dyDescent="0.3">
      <c r="A5265" s="711">
        <f t="shared" si="148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49"/>
        <v>12,25</v>
      </c>
      <c r="L5265" s="483" t="s">
        <v>28</v>
      </c>
      <c r="M5265" s="483">
        <v>16242.33</v>
      </c>
      <c r="N5265" s="486">
        <v>0.54166666666666663</v>
      </c>
    </row>
    <row r="5266" spans="1:14" ht="19.5" hidden="1" thickBot="1" x14ac:dyDescent="0.3">
      <c r="A5266" s="712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49"/>
        <v>12,25</v>
      </c>
      <c r="L5266" s="649" t="s">
        <v>28</v>
      </c>
      <c r="M5266" s="649">
        <v>1006.8</v>
      </c>
      <c r="N5266" s="653">
        <v>0.54166666666666663</v>
      </c>
    </row>
    <row r="5267" spans="1:14" ht="19.5" hidden="1" thickBot="1" x14ac:dyDescent="0.3">
      <c r="A5267" s="714">
        <f t="shared" si="148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49"/>
        <v>12,25</v>
      </c>
      <c r="L5267" s="535" t="s">
        <v>28</v>
      </c>
      <c r="M5267" s="535">
        <v>4705.1400000000003</v>
      </c>
      <c r="N5267" s="539">
        <v>0.58333333333333337</v>
      </c>
    </row>
    <row r="5268" spans="1:14" ht="19.5" hidden="1" thickBot="1" x14ac:dyDescent="0.3">
      <c r="A5268" s="716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49"/>
        <v>12,25</v>
      </c>
      <c r="L5268" s="567" t="s">
        <v>28</v>
      </c>
      <c r="M5268" s="567">
        <v>9566.64</v>
      </c>
      <c r="N5268" s="571">
        <v>0.58333333333333337</v>
      </c>
    </row>
    <row r="5269" spans="1:14" ht="19.5" hidden="1" thickBot="1" x14ac:dyDescent="0.3">
      <c r="A5269" s="715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49"/>
        <v>12,25</v>
      </c>
      <c r="L5269" s="640" t="s">
        <v>28</v>
      </c>
      <c r="M5269" s="640">
        <v>3037.7199999999993</v>
      </c>
      <c r="N5269" s="644">
        <v>0.58333333333333337</v>
      </c>
    </row>
    <row r="5270" spans="1:14" ht="19.5" hidden="1" thickBot="1" x14ac:dyDescent="0.3">
      <c r="A5270" s="711">
        <f t="shared" si="148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49"/>
        <v>12,25</v>
      </c>
      <c r="L5270" s="483" t="s">
        <v>28</v>
      </c>
      <c r="M5270" s="483">
        <v>4313.16</v>
      </c>
      <c r="N5270" s="486">
        <v>0.41666666666666669</v>
      </c>
    </row>
    <row r="5271" spans="1:14" ht="19.5" hidden="1" thickBot="1" x14ac:dyDescent="0.3">
      <c r="A5271" s="712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49"/>
        <v>12,25</v>
      </c>
      <c r="L5271" s="649" t="s">
        <v>28</v>
      </c>
      <c r="M5271" s="649">
        <v>5919.6</v>
      </c>
      <c r="N5271" s="653">
        <v>0.41666666666666669</v>
      </c>
    </row>
    <row r="5272" spans="1:14" ht="19.5" hidden="1" thickBot="1" x14ac:dyDescent="0.3">
      <c r="A5272" s="714">
        <f t="shared" si="148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49"/>
        <v>12,25</v>
      </c>
      <c r="L5272" s="535" t="s">
        <v>28</v>
      </c>
      <c r="M5272" s="535">
        <v>4937.5199999999995</v>
      </c>
      <c r="N5272" s="539">
        <v>0.45833333333333331</v>
      </c>
    </row>
    <row r="5273" spans="1:14" ht="19.5" hidden="1" thickBot="1" x14ac:dyDescent="0.3">
      <c r="A5273" s="715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49"/>
        <v>12,25</v>
      </c>
      <c r="L5273" s="640" t="s">
        <v>28</v>
      </c>
      <c r="M5273" s="640">
        <v>6105.48</v>
      </c>
      <c r="N5273" s="644">
        <v>0.45833333333333331</v>
      </c>
    </row>
    <row r="5274" spans="1:14" ht="38.25" hidden="1" thickBot="1" x14ac:dyDescent="0.3">
      <c r="A5274" s="513">
        <f t="shared" ref="A5274:A5295" si="150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49"/>
        <v>12,25</v>
      </c>
      <c r="L5274" s="518" t="s">
        <v>266</v>
      </c>
      <c r="M5274" s="518">
        <v>17525.7</v>
      </c>
      <c r="N5274" s="522">
        <v>0.41666666666666669</v>
      </c>
    </row>
    <row r="5275" spans="1:14" ht="19.5" hidden="1" thickBot="1" x14ac:dyDescent="0.3">
      <c r="A5275" s="714">
        <f t="shared" si="150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717" t="s">
        <v>1162</v>
      </c>
      <c r="H5275" s="535" t="s">
        <v>1161</v>
      </c>
      <c r="I5275" s="537" t="s">
        <v>1165</v>
      </c>
      <c r="J5275" s="538"/>
      <c r="K5275" s="535" t="str">
        <f t="shared" si="149"/>
        <v>12,25</v>
      </c>
      <c r="L5275" s="535" t="s">
        <v>28</v>
      </c>
      <c r="M5275" s="535">
        <v>6221.16</v>
      </c>
      <c r="N5275" s="539">
        <v>0.5</v>
      </c>
    </row>
    <row r="5276" spans="1:14" ht="19.5" hidden="1" thickBot="1" x14ac:dyDescent="0.3">
      <c r="A5276" s="716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719"/>
      <c r="H5276" s="594" t="s">
        <v>1161</v>
      </c>
      <c r="I5276" s="596" t="s">
        <v>1165</v>
      </c>
      <c r="J5276" s="597"/>
      <c r="K5276" s="594" t="str">
        <f t="shared" si="149"/>
        <v>12,25</v>
      </c>
      <c r="L5276" s="594" t="s">
        <v>28</v>
      </c>
      <c r="M5276" s="594">
        <v>6114.4400000000005</v>
      </c>
      <c r="N5276" s="598">
        <v>0.5</v>
      </c>
    </row>
    <row r="5277" spans="1:14" ht="19.5" hidden="1" thickBot="1" x14ac:dyDescent="0.3">
      <c r="A5277" s="513">
        <f t="shared" si="150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49"/>
        <v>12,25</v>
      </c>
      <c r="L5277" s="518" t="s">
        <v>266</v>
      </c>
      <c r="M5277" s="518">
        <v>17949.139999999996</v>
      </c>
      <c r="N5277" s="522">
        <v>0.41666666666666669</v>
      </c>
    </row>
    <row r="5278" spans="1:14" ht="19.5" hidden="1" thickBot="1" x14ac:dyDescent="0.3">
      <c r="A5278" s="503">
        <f t="shared" si="150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49"/>
        <v>12,25</v>
      </c>
      <c r="L5278" s="508" t="s">
        <v>266</v>
      </c>
      <c r="M5278" s="508">
        <v>18213.260000000006</v>
      </c>
      <c r="N5278" s="512">
        <v>0.45833333333333331</v>
      </c>
    </row>
    <row r="5279" spans="1:14" ht="19.5" hidden="1" thickBot="1" x14ac:dyDescent="0.3">
      <c r="A5279" s="711">
        <f t="shared" si="150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49"/>
        <v>12,25</v>
      </c>
      <c r="L5279" s="483" t="s">
        <v>266</v>
      </c>
      <c r="M5279" s="483">
        <v>3447.54</v>
      </c>
      <c r="N5279" s="486">
        <v>0.5</v>
      </c>
    </row>
    <row r="5280" spans="1:14" ht="19.5" hidden="1" thickBot="1" x14ac:dyDescent="0.3">
      <c r="A5280" s="713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49"/>
        <v>12,25</v>
      </c>
      <c r="L5280" s="527" t="s">
        <v>266</v>
      </c>
      <c r="M5280" s="527">
        <v>7940.9199999999983</v>
      </c>
      <c r="N5280" s="530">
        <v>0.5</v>
      </c>
    </row>
    <row r="5281" spans="1:14" ht="19.5" hidden="1" thickBot="1" x14ac:dyDescent="0.3">
      <c r="A5281" s="713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49"/>
        <v>12,25</v>
      </c>
      <c r="L5281" s="499" t="s">
        <v>266</v>
      </c>
      <c r="M5281" s="499">
        <v>5019</v>
      </c>
      <c r="N5281" s="502">
        <v>0.5</v>
      </c>
    </row>
    <row r="5282" spans="1:14" ht="19.5" hidden="1" thickBot="1" x14ac:dyDescent="0.3">
      <c r="A5282" s="714">
        <f t="shared" si="150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49"/>
        <v>12,25</v>
      </c>
      <c r="L5282" s="535" t="s">
        <v>265</v>
      </c>
      <c r="M5282" s="535">
        <v>10620.76</v>
      </c>
      <c r="N5282" s="539">
        <v>0.375</v>
      </c>
    </row>
    <row r="5283" spans="1:14" ht="19.5" hidden="1" thickBot="1" x14ac:dyDescent="0.3">
      <c r="A5283" s="715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49"/>
        <v>12,25</v>
      </c>
      <c r="L5283" s="640" t="s">
        <v>265</v>
      </c>
      <c r="M5283" s="640">
        <v>6541.66</v>
      </c>
      <c r="N5283" s="644">
        <v>0.375</v>
      </c>
    </row>
    <row r="5284" spans="1:14" ht="19.5" hidden="1" thickBot="1" x14ac:dyDescent="0.3">
      <c r="A5284" s="513">
        <f t="shared" si="150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49"/>
        <v>12,25</v>
      </c>
      <c r="L5284" s="518" t="s">
        <v>265</v>
      </c>
      <c r="M5284" s="518">
        <v>17661.599999999999</v>
      </c>
      <c r="N5284" s="522">
        <v>0.41666666666666669</v>
      </c>
    </row>
    <row r="5285" spans="1:14" ht="19.5" hidden="1" thickBot="1" x14ac:dyDescent="0.3">
      <c r="A5285" s="503">
        <f t="shared" si="150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49"/>
        <v>12,25</v>
      </c>
      <c r="L5285" s="508" t="s">
        <v>265</v>
      </c>
      <c r="M5285" s="508">
        <v>17701.980000000003</v>
      </c>
      <c r="N5285" s="512">
        <v>0.375</v>
      </c>
    </row>
    <row r="5286" spans="1:14" ht="19.5" hidden="1" thickBot="1" x14ac:dyDescent="0.3">
      <c r="A5286" s="711">
        <f t="shared" si="150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49"/>
        <v>12,25</v>
      </c>
      <c r="L5286" s="483" t="s">
        <v>28</v>
      </c>
      <c r="M5286" s="483">
        <v>6136.6500000000005</v>
      </c>
      <c r="N5286" s="486">
        <v>0.41666666666666669</v>
      </c>
    </row>
    <row r="5287" spans="1:14" ht="19.5" hidden="1" thickBot="1" x14ac:dyDescent="0.3">
      <c r="A5287" s="713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49"/>
        <v>12,25</v>
      </c>
      <c r="L5287" s="527" t="s">
        <v>28</v>
      </c>
      <c r="M5287" s="527">
        <v>5765.1200000000008</v>
      </c>
      <c r="N5287" s="530">
        <v>0.41666666666666669</v>
      </c>
    </row>
    <row r="5288" spans="1:14" ht="19.5" hidden="1" thickBot="1" x14ac:dyDescent="0.3">
      <c r="A5288" s="713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49"/>
        <v>12,25</v>
      </c>
      <c r="L5288" s="527" t="s">
        <v>28</v>
      </c>
      <c r="M5288" s="527">
        <v>123.00000000000001</v>
      </c>
      <c r="N5288" s="530">
        <v>0.41666666666666669</v>
      </c>
    </row>
    <row r="5289" spans="1:14" ht="19.5" hidden="1" thickBot="1" x14ac:dyDescent="0.3">
      <c r="A5289" s="712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49"/>
        <v>12,25</v>
      </c>
      <c r="L5289" s="649" t="s">
        <v>28</v>
      </c>
      <c r="M5289" s="649">
        <v>5366.9400000000005</v>
      </c>
      <c r="N5289" s="653">
        <v>0.41666666666666669</v>
      </c>
    </row>
    <row r="5290" spans="1:14" ht="19.5" hidden="1" thickBot="1" x14ac:dyDescent="0.3">
      <c r="A5290" s="714">
        <f t="shared" si="150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49"/>
        <v>12,25</v>
      </c>
      <c r="L5290" s="535" t="s">
        <v>28</v>
      </c>
      <c r="M5290" s="535">
        <v>1807.5599999999997</v>
      </c>
      <c r="N5290" s="539">
        <v>0.45833333333333331</v>
      </c>
    </row>
    <row r="5291" spans="1:14" ht="19.5" hidden="1" thickBot="1" x14ac:dyDescent="0.3">
      <c r="A5291" s="716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49"/>
        <v>12,25</v>
      </c>
      <c r="L5291" s="567" t="s">
        <v>28</v>
      </c>
      <c r="M5291" s="567">
        <v>7197.7100000000009</v>
      </c>
      <c r="N5291" s="571">
        <v>0.45833333333333331</v>
      </c>
    </row>
    <row r="5292" spans="1:14" ht="19.5" hidden="1" thickBot="1" x14ac:dyDescent="0.3">
      <c r="A5292" s="715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49"/>
        <v>12,25</v>
      </c>
      <c r="L5292" s="640" t="s">
        <v>28</v>
      </c>
      <c r="M5292" s="640">
        <v>8908.7200000000012</v>
      </c>
      <c r="N5292" s="644">
        <v>0.45833333333333331</v>
      </c>
    </row>
    <row r="5293" spans="1:14" ht="19.5" hidden="1" thickBot="1" x14ac:dyDescent="0.3">
      <c r="A5293" s="513">
        <f t="shared" si="150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49"/>
        <v>12,25</v>
      </c>
      <c r="L5293" s="518" t="s">
        <v>28</v>
      </c>
      <c r="M5293" s="518">
        <v>8859.6</v>
      </c>
      <c r="N5293" s="522">
        <v>0.41666666666666669</v>
      </c>
    </row>
    <row r="5294" spans="1:14" ht="19.5" hidden="1" thickBot="1" x14ac:dyDescent="0.3">
      <c r="A5294" s="551">
        <f t="shared" si="150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49"/>
        <v>12,25</v>
      </c>
      <c r="L5294" s="556" t="s">
        <v>265</v>
      </c>
      <c r="M5294" s="556">
        <v>11303.12</v>
      </c>
      <c r="N5294" s="560">
        <v>0.375</v>
      </c>
    </row>
    <row r="5295" spans="1:14" ht="19.5" hidden="1" thickBot="1" x14ac:dyDescent="0.3">
      <c r="A5295" s="513">
        <f t="shared" si="150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49"/>
        <v>12,25</v>
      </c>
      <c r="L5295" s="518" t="s">
        <v>28</v>
      </c>
      <c r="M5295" s="518">
        <v>12120.600000000002</v>
      </c>
      <c r="N5295" s="522">
        <v>0.41666666666666669</v>
      </c>
    </row>
    <row r="5296" spans="1:14" ht="19.5" hidden="1" thickBot="1" x14ac:dyDescent="0.3">
      <c r="A5296" s="714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49"/>
        <v>12,25</v>
      </c>
      <c r="L5296" s="535" t="s">
        <v>265</v>
      </c>
      <c r="M5296" s="535">
        <v>16956.64</v>
      </c>
      <c r="N5296" s="539">
        <v>0.375</v>
      </c>
    </row>
    <row r="5297" spans="1:14" ht="19.5" hidden="1" thickBot="1" x14ac:dyDescent="0.3">
      <c r="A5297" s="716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49"/>
        <v>12,25</v>
      </c>
      <c r="L5297" s="594" t="s">
        <v>266</v>
      </c>
      <c r="M5297" s="594">
        <v>567.36</v>
      </c>
      <c r="N5297" s="598">
        <v>0.375</v>
      </c>
    </row>
    <row r="5298" spans="1:14" ht="19.5" hidden="1" thickBot="1" x14ac:dyDescent="0.3">
      <c r="A5298" s="711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49"/>
        <v>12,25</v>
      </c>
      <c r="L5298" s="483" t="s">
        <v>266</v>
      </c>
      <c r="M5298" s="483">
        <v>7176.1200000000008</v>
      </c>
      <c r="N5298" s="486">
        <v>0.5</v>
      </c>
    </row>
    <row r="5299" spans="1:14" ht="19.5" hidden="1" thickBot="1" x14ac:dyDescent="0.3">
      <c r="A5299" s="712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49"/>
        <v>12,25</v>
      </c>
      <c r="L5299" s="649" t="s">
        <v>28</v>
      </c>
      <c r="M5299" s="649">
        <v>10832.100000000002</v>
      </c>
      <c r="N5299" s="653">
        <v>0.41666666666666669</v>
      </c>
    </row>
    <row r="5300" spans="1:14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49"/>
        <v>12,25</v>
      </c>
      <c r="L5300" s="508" t="s">
        <v>265</v>
      </c>
      <c r="M5300" s="508">
        <v>17687.28</v>
      </c>
      <c r="N5300" s="512">
        <v>0.375</v>
      </c>
    </row>
    <row r="5301" spans="1:14" ht="19.5" hidden="1" thickBot="1" x14ac:dyDescent="0.3">
      <c r="A5301" s="513">
        <f t="shared" ref="A5301:A5363" si="151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2">RIGHT(I5301,5)</f>
        <v>12,25</v>
      </c>
      <c r="L5301" s="518" t="s">
        <v>265</v>
      </c>
      <c r="M5301" s="518">
        <v>12532.88</v>
      </c>
      <c r="N5301" s="522">
        <v>0.375</v>
      </c>
    </row>
    <row r="5302" spans="1:14" ht="19.5" hidden="1" thickBot="1" x14ac:dyDescent="0.3">
      <c r="A5302" s="714">
        <f t="shared" si="151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2"/>
        <v>12,25</v>
      </c>
      <c r="L5302" s="535" t="s">
        <v>28</v>
      </c>
      <c r="M5302" s="535">
        <v>6084.2400000000016</v>
      </c>
      <c r="N5302" s="539">
        <v>0.41666666666666669</v>
      </c>
    </row>
    <row r="5303" spans="1:14" ht="19.5" hidden="1" thickBot="1" x14ac:dyDescent="0.3">
      <c r="A5303" s="716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2"/>
        <v>12,25</v>
      </c>
      <c r="L5303" s="567" t="s">
        <v>28</v>
      </c>
      <c r="M5303" s="567">
        <v>3681.31</v>
      </c>
      <c r="N5303" s="571">
        <v>0.41666666666666669</v>
      </c>
    </row>
    <row r="5304" spans="1:14" ht="19.5" hidden="1" thickBot="1" x14ac:dyDescent="0.3">
      <c r="A5304" s="715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2"/>
        <v>12,25</v>
      </c>
      <c r="L5304" s="640" t="s">
        <v>28</v>
      </c>
      <c r="M5304" s="640">
        <v>7517.2800000000007</v>
      </c>
      <c r="N5304" s="644">
        <v>0.41666666666666669</v>
      </c>
    </row>
    <row r="5305" spans="1:14" ht="19.5" hidden="1" thickBot="1" x14ac:dyDescent="0.3">
      <c r="A5305" s="711">
        <f t="shared" si="151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2"/>
        <v>12,25</v>
      </c>
      <c r="L5305" s="483" t="s">
        <v>266</v>
      </c>
      <c r="M5305" s="483">
        <v>5448.2300000000005</v>
      </c>
      <c r="N5305" s="486">
        <v>0.45833333333333331</v>
      </c>
    </row>
    <row r="5306" spans="1:14" ht="19.5" hidden="1" thickBot="1" x14ac:dyDescent="0.3">
      <c r="A5306" s="713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2"/>
        <v>12,25</v>
      </c>
      <c r="L5306" s="527" t="s">
        <v>266</v>
      </c>
      <c r="M5306" s="527">
        <v>4092.18</v>
      </c>
      <c r="N5306" s="530">
        <v>0.45833333333333331</v>
      </c>
    </row>
    <row r="5307" spans="1:14" ht="19.5" hidden="1" thickBot="1" x14ac:dyDescent="0.3">
      <c r="A5307" s="713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2"/>
        <v>12,25</v>
      </c>
      <c r="L5307" s="527" t="s">
        <v>28</v>
      </c>
      <c r="M5307" s="527">
        <v>3814.95</v>
      </c>
      <c r="N5307" s="530">
        <v>0.45833333333333331</v>
      </c>
    </row>
    <row r="5308" spans="1:14" ht="19.5" hidden="1" thickBot="1" x14ac:dyDescent="0.3">
      <c r="A5308" s="712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2"/>
        <v>12,25</v>
      </c>
      <c r="L5308" s="649" t="s">
        <v>28</v>
      </c>
      <c r="M5308" s="649">
        <v>3888.6</v>
      </c>
      <c r="N5308" s="653">
        <v>0.45833333333333331</v>
      </c>
    </row>
    <row r="5309" spans="1:14" ht="19.5" hidden="1" thickBot="1" x14ac:dyDescent="0.3">
      <c r="A5309" s="714">
        <f t="shared" si="151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2"/>
        <v>12,25</v>
      </c>
      <c r="L5309" s="535" t="s">
        <v>28</v>
      </c>
      <c r="M5309" s="535">
        <v>5792.3600000000006</v>
      </c>
      <c r="N5309" s="539">
        <v>0.41666666666666669</v>
      </c>
    </row>
    <row r="5310" spans="1:14" ht="19.5" hidden="1" thickBot="1" x14ac:dyDescent="0.3">
      <c r="A5310" s="715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2"/>
        <v>12,25</v>
      </c>
      <c r="L5310" s="640" t="s">
        <v>28</v>
      </c>
      <c r="M5310" s="640">
        <v>4984.3200000000006</v>
      </c>
      <c r="N5310" s="644">
        <v>0.41666666666666669</v>
      </c>
    </row>
    <row r="5311" spans="1:14" ht="19.5" hidden="1" thickBot="1" x14ac:dyDescent="0.3">
      <c r="A5311" s="711">
        <f t="shared" si="151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2"/>
        <v>12,25</v>
      </c>
      <c r="L5311" s="483" t="s">
        <v>28</v>
      </c>
      <c r="M5311" s="483">
        <v>8609.3200000000015</v>
      </c>
      <c r="N5311" s="486">
        <v>0.45833333333333331</v>
      </c>
    </row>
    <row r="5312" spans="1:14" ht="19.5" hidden="1" thickBot="1" x14ac:dyDescent="0.3">
      <c r="A5312" s="712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2"/>
        <v>12,25</v>
      </c>
      <c r="L5312" s="649" t="s">
        <v>28</v>
      </c>
      <c r="M5312" s="649">
        <v>1879.08</v>
      </c>
      <c r="N5312" s="653">
        <v>0.45833333333333331</v>
      </c>
    </row>
    <row r="5313" spans="1:14" ht="19.5" hidden="1" thickBot="1" x14ac:dyDescent="0.3">
      <c r="A5313" s="503">
        <f t="shared" si="151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2"/>
        <v>12,25</v>
      </c>
      <c r="L5313" s="508" t="s">
        <v>28</v>
      </c>
      <c r="M5313" s="508">
        <v>12207.6</v>
      </c>
      <c r="N5313" s="512">
        <v>0.5</v>
      </c>
    </row>
    <row r="5314" spans="1:14" ht="19.5" hidden="1" thickBot="1" x14ac:dyDescent="0.3">
      <c r="A5314" s="513">
        <f t="shared" si="151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2"/>
        <v>12,25</v>
      </c>
      <c r="L5314" s="518" t="s">
        <v>266</v>
      </c>
      <c r="M5314" s="518">
        <v>18093.02</v>
      </c>
      <c r="N5314" s="522">
        <v>0.5</v>
      </c>
    </row>
    <row r="5315" spans="1:14" ht="38.25" hidden="1" thickBot="1" x14ac:dyDescent="0.3">
      <c r="A5315" s="503">
        <f t="shared" si="151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2"/>
        <v>12,25</v>
      </c>
      <c r="L5315" s="508" t="s">
        <v>266</v>
      </c>
      <c r="M5315" s="508">
        <v>18067.68</v>
      </c>
      <c r="N5315" s="512">
        <v>0.41666666666666669</v>
      </c>
    </row>
    <row r="5316" spans="1:14" ht="19.5" hidden="1" thickBot="1" x14ac:dyDescent="0.3">
      <c r="A5316" s="711">
        <f t="shared" si="151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2"/>
        <v>12,25</v>
      </c>
      <c r="L5316" s="483" t="s">
        <v>266</v>
      </c>
      <c r="M5316" s="483">
        <v>12842.31</v>
      </c>
      <c r="N5316" s="486">
        <v>0.5</v>
      </c>
    </row>
    <row r="5317" spans="1:14" ht="19.5" hidden="1" thickBot="1" x14ac:dyDescent="0.3">
      <c r="A5317" s="713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2"/>
        <v>12,25</v>
      </c>
      <c r="L5317" s="499" t="s">
        <v>266</v>
      </c>
      <c r="M5317" s="499">
        <v>1142.7099999999998</v>
      </c>
      <c r="N5317" s="502">
        <v>0.5</v>
      </c>
    </row>
    <row r="5318" spans="1:14" ht="19.5" hidden="1" thickBot="1" x14ac:dyDescent="0.3">
      <c r="A5318" s="503">
        <f t="shared" si="151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2"/>
        <v>12,25</v>
      </c>
      <c r="L5318" s="508" t="s">
        <v>266</v>
      </c>
      <c r="M5318" s="508">
        <v>18087</v>
      </c>
      <c r="N5318" s="512">
        <v>0.41666666666666669</v>
      </c>
    </row>
    <row r="5319" spans="1:14" ht="19.5" hidden="1" thickBot="1" x14ac:dyDescent="0.3">
      <c r="A5319" s="513">
        <f t="shared" si="151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2"/>
        <v>12,25</v>
      </c>
      <c r="L5319" s="518" t="s">
        <v>266</v>
      </c>
      <c r="M5319" s="518">
        <v>18041.800000000003</v>
      </c>
      <c r="N5319" s="522">
        <v>0.45833333333333331</v>
      </c>
    </row>
    <row r="5320" spans="1:14" ht="19.5" hidden="1" thickBot="1" x14ac:dyDescent="0.3">
      <c r="A5320" s="503">
        <f t="shared" si="151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2"/>
        <v>12,25</v>
      </c>
      <c r="L5320" s="508" t="s">
        <v>266</v>
      </c>
      <c r="M5320" s="508">
        <v>18024.599999999999</v>
      </c>
      <c r="N5320" s="512">
        <v>0.5</v>
      </c>
    </row>
    <row r="5321" spans="1:14" ht="19.5" hidden="1" thickBot="1" x14ac:dyDescent="0.3">
      <c r="A5321" s="711">
        <f t="shared" si="151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720" t="s">
        <v>1172</v>
      </c>
      <c r="H5321" s="483" t="s">
        <v>1171</v>
      </c>
      <c r="I5321" s="484" t="s">
        <v>1171</v>
      </c>
      <c r="J5321" s="485"/>
      <c r="K5321" s="483" t="str">
        <f t="shared" si="152"/>
        <v>12,25</v>
      </c>
      <c r="L5321" s="483" t="s">
        <v>266</v>
      </c>
      <c r="M5321" s="483">
        <v>384.36</v>
      </c>
      <c r="N5321" s="486">
        <v>0.54166666666666663</v>
      </c>
    </row>
    <row r="5322" spans="1:14" ht="19.5" hidden="1" thickBot="1" x14ac:dyDescent="0.3">
      <c r="A5322" s="713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722"/>
      <c r="H5322" s="527" t="s">
        <v>1171</v>
      </c>
      <c r="I5322" s="528" t="s">
        <v>1171</v>
      </c>
      <c r="J5322" s="529"/>
      <c r="K5322" s="527" t="str">
        <f t="shared" si="152"/>
        <v>12,25</v>
      </c>
      <c r="L5322" s="527" t="s">
        <v>266</v>
      </c>
      <c r="M5322" s="527">
        <v>813.79999999999984</v>
      </c>
      <c r="N5322" s="530">
        <v>0.54166666666666663</v>
      </c>
    </row>
    <row r="5323" spans="1:14" ht="19.5" hidden="1" thickBot="1" x14ac:dyDescent="0.3">
      <c r="A5323" s="713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722"/>
      <c r="H5323" s="527" t="s">
        <v>1171</v>
      </c>
      <c r="I5323" s="528" t="s">
        <v>1171</v>
      </c>
      <c r="J5323" s="529"/>
      <c r="K5323" s="527" t="str">
        <f t="shared" si="152"/>
        <v>12,25</v>
      </c>
      <c r="L5323" s="527" t="s">
        <v>266</v>
      </c>
      <c r="M5323" s="527">
        <v>4801.24</v>
      </c>
      <c r="N5323" s="530">
        <v>0.54166666666666663</v>
      </c>
    </row>
    <row r="5324" spans="1:14" ht="19.5" hidden="1" thickBot="1" x14ac:dyDescent="0.3">
      <c r="A5324" s="713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722"/>
      <c r="H5324" s="527" t="s">
        <v>1171</v>
      </c>
      <c r="I5324" s="528" t="s">
        <v>1171</v>
      </c>
      <c r="J5324" s="529"/>
      <c r="K5324" s="527" t="str">
        <f t="shared" si="152"/>
        <v>12,25</v>
      </c>
      <c r="L5324" s="527" t="s">
        <v>266</v>
      </c>
      <c r="M5324" s="527">
        <v>6275.77</v>
      </c>
      <c r="N5324" s="530">
        <v>0.54166666666666663</v>
      </c>
    </row>
    <row r="5325" spans="1:14" ht="19.5" hidden="1" thickBot="1" x14ac:dyDescent="0.3">
      <c r="A5325" s="713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722"/>
      <c r="H5325" s="499" t="s">
        <v>1171</v>
      </c>
      <c r="I5325" s="500" t="s">
        <v>1171</v>
      </c>
      <c r="J5325" s="501"/>
      <c r="K5325" s="499" t="str">
        <f t="shared" si="152"/>
        <v>12,25</v>
      </c>
      <c r="L5325" s="499" t="s">
        <v>266</v>
      </c>
      <c r="M5325" s="499">
        <v>2880</v>
      </c>
      <c r="N5325" s="502">
        <v>0.54166666666666663</v>
      </c>
    </row>
    <row r="5326" spans="1:14" ht="19.5" hidden="1" thickBot="1" x14ac:dyDescent="0.3">
      <c r="A5326" s="714">
        <f t="shared" si="151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2"/>
        <v>12,25</v>
      </c>
      <c r="L5326" s="535" t="s">
        <v>265</v>
      </c>
      <c r="M5326" s="535">
        <v>10138.939999999999</v>
      </c>
      <c r="N5326" s="539">
        <v>0.375</v>
      </c>
    </row>
    <row r="5327" spans="1:14" ht="19.5" hidden="1" thickBot="1" x14ac:dyDescent="0.3">
      <c r="A5327" s="715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2"/>
        <v>12,25</v>
      </c>
      <c r="L5327" s="640" t="s">
        <v>265</v>
      </c>
      <c r="M5327" s="640">
        <v>7099.3099999999995</v>
      </c>
      <c r="N5327" s="644">
        <v>0.375</v>
      </c>
    </row>
    <row r="5328" spans="1:14" ht="19.5" hidden="1" thickBot="1" x14ac:dyDescent="0.3">
      <c r="A5328" s="513">
        <f t="shared" si="151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2"/>
        <v>12,25</v>
      </c>
      <c r="L5328" s="518" t="s">
        <v>265</v>
      </c>
      <c r="M5328" s="518">
        <v>17680.660000000003</v>
      </c>
      <c r="N5328" s="522">
        <v>0.41666666666666669</v>
      </c>
    </row>
    <row r="5329" spans="1:14" ht="19.5" hidden="1" thickBot="1" x14ac:dyDescent="0.3">
      <c r="A5329" s="503">
        <f t="shared" si="151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2"/>
        <v>12,25</v>
      </c>
      <c r="L5329" s="508" t="s">
        <v>265</v>
      </c>
      <c r="M5329" s="508">
        <v>17669.8</v>
      </c>
      <c r="N5329" s="512">
        <v>0.375</v>
      </c>
    </row>
    <row r="5330" spans="1:14" ht="19.5" hidden="1" thickBot="1" x14ac:dyDescent="0.3">
      <c r="A5330" s="513">
        <f t="shared" si="151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2"/>
        <v>12,25</v>
      </c>
      <c r="L5330" s="518" t="s">
        <v>265</v>
      </c>
      <c r="M5330" s="518">
        <v>12874.200000000003</v>
      </c>
      <c r="N5330" s="522">
        <v>0.375</v>
      </c>
    </row>
    <row r="5331" spans="1:14" ht="19.5" hidden="1" thickBot="1" x14ac:dyDescent="0.3">
      <c r="A5331" s="714">
        <f t="shared" si="151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2"/>
        <v>12,25</v>
      </c>
      <c r="L5331" s="535" t="s">
        <v>28</v>
      </c>
      <c r="M5331" s="535">
        <v>3482.9600000000005</v>
      </c>
      <c r="N5331" s="539">
        <v>0.41666666666666669</v>
      </c>
    </row>
    <row r="5332" spans="1:14" ht="19.5" hidden="1" thickBot="1" x14ac:dyDescent="0.3">
      <c r="A5332" s="716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2"/>
        <v>12,25</v>
      </c>
      <c r="L5332" s="567" t="s">
        <v>28</v>
      </c>
      <c r="M5332" s="567">
        <v>1553.7</v>
      </c>
      <c r="N5332" s="571">
        <v>0.41666666666666669</v>
      </c>
    </row>
    <row r="5333" spans="1:14" ht="19.5" hidden="1" thickBot="1" x14ac:dyDescent="0.3">
      <c r="A5333" s="716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2"/>
        <v>12,25</v>
      </c>
      <c r="L5333" s="567" t="s">
        <v>28</v>
      </c>
      <c r="M5333" s="567">
        <v>9460.02</v>
      </c>
      <c r="N5333" s="571">
        <v>0.41666666666666669</v>
      </c>
    </row>
    <row r="5334" spans="1:14" ht="19.5" hidden="1" thickBot="1" x14ac:dyDescent="0.3">
      <c r="A5334" s="715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2"/>
        <v>12,25</v>
      </c>
      <c r="L5334" s="640" t="s">
        <v>28</v>
      </c>
      <c r="M5334" s="640">
        <v>3236.5000000000005</v>
      </c>
      <c r="N5334" s="644">
        <v>0.41666666666666669</v>
      </c>
    </row>
    <row r="5335" spans="1:14" ht="19.5" hidden="1" thickBot="1" x14ac:dyDescent="0.3">
      <c r="A5335" s="513">
        <f t="shared" si="151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2"/>
        <v>12,25</v>
      </c>
      <c r="L5335" s="518" t="s">
        <v>28</v>
      </c>
      <c r="M5335" s="518">
        <v>17811.72</v>
      </c>
      <c r="N5335" s="522">
        <v>0.45833333333333331</v>
      </c>
    </row>
    <row r="5336" spans="1:14" ht="19.5" hidden="1" thickBot="1" x14ac:dyDescent="0.3">
      <c r="A5336" s="551">
        <f t="shared" si="151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2"/>
        <v>12,25</v>
      </c>
      <c r="L5336" s="556" t="s">
        <v>28</v>
      </c>
      <c r="M5336" s="556">
        <v>17162.96</v>
      </c>
      <c r="N5336" s="560">
        <v>0.5</v>
      </c>
    </row>
    <row r="5337" spans="1:14" ht="19.5" hidden="1" thickBot="1" x14ac:dyDescent="0.3">
      <c r="A5337" s="513">
        <f t="shared" si="151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2"/>
        <v>12,25</v>
      </c>
      <c r="L5337" s="518" t="s">
        <v>266</v>
      </c>
      <c r="M5337" s="518">
        <v>8343.11</v>
      </c>
      <c r="N5337" s="522">
        <v>0.54166666666666663</v>
      </c>
    </row>
    <row r="5338" spans="1:14" ht="19.5" hidden="1" thickBot="1" x14ac:dyDescent="0.3">
      <c r="A5338" s="714">
        <f t="shared" si="151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2"/>
        <v>12,25</v>
      </c>
      <c r="L5338" s="535" t="s">
        <v>28</v>
      </c>
      <c r="M5338" s="535">
        <v>7684.6799999999994</v>
      </c>
      <c r="N5338" s="539">
        <v>0.58333333333333337</v>
      </c>
    </row>
    <row r="5339" spans="1:14" ht="57" hidden="1" thickBot="1" x14ac:dyDescent="0.3">
      <c r="A5339" s="716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2"/>
        <v>12,25</v>
      </c>
      <c r="L5339" s="567" t="s">
        <v>28</v>
      </c>
      <c r="M5339" s="567">
        <v>720</v>
      </c>
      <c r="N5339" s="571">
        <v>0.58333333333333337</v>
      </c>
    </row>
    <row r="5340" spans="1:14" ht="19.5" hidden="1" thickBot="1" x14ac:dyDescent="0.3">
      <c r="A5340" s="716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2"/>
        <v>12,25</v>
      </c>
      <c r="L5340" s="567" t="s">
        <v>28</v>
      </c>
      <c r="M5340" s="567">
        <v>4473</v>
      </c>
      <c r="N5340" s="571">
        <v>0.58333333333333337</v>
      </c>
    </row>
    <row r="5341" spans="1:14" ht="19.5" hidden="1" thickBot="1" x14ac:dyDescent="0.3">
      <c r="A5341" s="715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2"/>
        <v>12,25</v>
      </c>
      <c r="L5341" s="640" t="s">
        <v>28</v>
      </c>
      <c r="M5341" s="640">
        <v>4294.9800000000005</v>
      </c>
      <c r="N5341" s="644">
        <v>0.58333333333333337</v>
      </c>
    </row>
    <row r="5342" spans="1:14" ht="19.5" hidden="1" thickBot="1" x14ac:dyDescent="0.3">
      <c r="A5342" s="711">
        <f t="shared" si="151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2"/>
        <v>12,25</v>
      </c>
      <c r="L5342" s="483" t="s">
        <v>265</v>
      </c>
      <c r="M5342" s="483">
        <v>16566.260000000002</v>
      </c>
      <c r="N5342" s="486">
        <v>0.375</v>
      </c>
    </row>
    <row r="5343" spans="1:14" ht="19.5" hidden="1" thickBot="1" x14ac:dyDescent="0.3">
      <c r="A5343" s="712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2"/>
        <v>12,25</v>
      </c>
      <c r="L5343" s="649" t="s">
        <v>266</v>
      </c>
      <c r="M5343" s="649">
        <v>1035.9000000000001</v>
      </c>
      <c r="N5343" s="653">
        <v>0.375</v>
      </c>
    </row>
    <row r="5344" spans="1:14" ht="19.5" hidden="1" thickBot="1" x14ac:dyDescent="0.3">
      <c r="A5344" s="551">
        <f t="shared" si="151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2"/>
        <v>12,25</v>
      </c>
      <c r="L5344" s="556" t="s">
        <v>265</v>
      </c>
      <c r="M5344" s="556">
        <v>12970.28</v>
      </c>
      <c r="N5344" s="560">
        <v>0.375</v>
      </c>
    </row>
    <row r="5345" spans="1:14" ht="19.5" hidden="1" thickBot="1" x14ac:dyDescent="0.3">
      <c r="A5345" s="513">
        <f t="shared" si="151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2"/>
        <v>12,25</v>
      </c>
      <c r="L5345" s="518" t="s">
        <v>28</v>
      </c>
      <c r="M5345" s="518">
        <v>10232.040000000001</v>
      </c>
      <c r="N5345" s="522">
        <v>0.41666666666666669</v>
      </c>
    </row>
    <row r="5346" spans="1:14" ht="38.25" hidden="1" thickBot="1" x14ac:dyDescent="0.3">
      <c r="A5346" s="503">
        <f t="shared" si="151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2"/>
        <v>12,25</v>
      </c>
      <c r="L5346" s="508" t="s">
        <v>28</v>
      </c>
      <c r="M5346" s="508">
        <v>9352.43</v>
      </c>
      <c r="N5346" s="512">
        <v>0.41666666666666669</v>
      </c>
    </row>
    <row r="5347" spans="1:14" ht="19.5" hidden="1" thickBot="1" x14ac:dyDescent="0.3">
      <c r="A5347" s="513">
        <f t="shared" si="151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2"/>
        <v>12,25</v>
      </c>
      <c r="L5347" s="518" t="s">
        <v>265</v>
      </c>
      <c r="M5347" s="518">
        <v>17679.04</v>
      </c>
      <c r="N5347" s="522">
        <v>0.375</v>
      </c>
    </row>
    <row r="5348" spans="1:14" ht="19.5" hidden="1" thickBot="1" x14ac:dyDescent="0.3">
      <c r="A5348" s="714">
        <f t="shared" si="151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2"/>
        <v>12,25</v>
      </c>
      <c r="L5348" s="535" t="s">
        <v>28</v>
      </c>
      <c r="M5348" s="535">
        <v>2512.1399999999994</v>
      </c>
      <c r="N5348" s="539">
        <v>0.41666666666666669</v>
      </c>
    </row>
    <row r="5349" spans="1:14" ht="19.5" hidden="1" thickBot="1" x14ac:dyDescent="0.3">
      <c r="A5349" s="716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2"/>
        <v>12,25</v>
      </c>
      <c r="L5349" s="567" t="s">
        <v>28</v>
      </c>
      <c r="M5349" s="567">
        <v>3218.0199999999995</v>
      </c>
      <c r="N5349" s="571">
        <v>0.41666666666666669</v>
      </c>
    </row>
    <row r="5350" spans="1:14" ht="19.5" hidden="1" thickBot="1" x14ac:dyDescent="0.3">
      <c r="A5350" s="715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2"/>
        <v>12,25</v>
      </c>
      <c r="L5350" s="640" t="s">
        <v>28</v>
      </c>
      <c r="M5350" s="640">
        <v>11699.039999999997</v>
      </c>
      <c r="N5350" s="644">
        <v>0.41666666666666669</v>
      </c>
    </row>
    <row r="5351" spans="1:14" ht="19.5" hidden="1" thickBot="1" x14ac:dyDescent="0.3">
      <c r="A5351" s="711">
        <f t="shared" si="151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2"/>
        <v>12,25</v>
      </c>
      <c r="L5351" s="483" t="s">
        <v>266</v>
      </c>
      <c r="M5351" s="483">
        <v>3627.5400000000004</v>
      </c>
      <c r="N5351" s="486">
        <v>0.45833333333333331</v>
      </c>
    </row>
    <row r="5352" spans="1:14" ht="19.5" hidden="1" thickBot="1" x14ac:dyDescent="0.3">
      <c r="A5352" s="713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2"/>
        <v>12,25</v>
      </c>
      <c r="L5352" s="527" t="s">
        <v>28</v>
      </c>
      <c r="M5352" s="527">
        <v>12302.29</v>
      </c>
      <c r="N5352" s="530">
        <v>0.45833333333333331</v>
      </c>
    </row>
    <row r="5353" spans="1:14" ht="19.5" hidden="1" thickBot="1" x14ac:dyDescent="0.3">
      <c r="A5353" s="712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2"/>
        <v>12,25</v>
      </c>
      <c r="L5353" s="649" t="s">
        <v>28</v>
      </c>
      <c r="M5353" s="649">
        <v>1254.5999999999999</v>
      </c>
      <c r="N5353" s="653">
        <v>0.45833333333333331</v>
      </c>
    </row>
    <row r="5354" spans="1:14" ht="19.5" hidden="1" thickBot="1" x14ac:dyDescent="0.3">
      <c r="A5354" s="503">
        <f t="shared" si="151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2"/>
        <v>12,25</v>
      </c>
      <c r="L5354" s="508" t="s">
        <v>265</v>
      </c>
      <c r="M5354" s="508">
        <v>17678.260000000002</v>
      </c>
      <c r="N5354" s="512">
        <v>0.375</v>
      </c>
    </row>
    <row r="5355" spans="1:14" ht="19.5" hidden="1" thickBot="1" x14ac:dyDescent="0.3">
      <c r="A5355" s="711">
        <f t="shared" si="151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2"/>
        <v>12,25</v>
      </c>
      <c r="L5355" s="483" t="s">
        <v>28</v>
      </c>
      <c r="M5355" s="483">
        <v>3180.08</v>
      </c>
      <c r="N5355" s="486">
        <v>0.41666666666666669</v>
      </c>
    </row>
    <row r="5356" spans="1:14" ht="19.5" hidden="1" thickBot="1" x14ac:dyDescent="0.3">
      <c r="A5356" s="713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2"/>
        <v>12,25</v>
      </c>
      <c r="L5356" s="527" t="s">
        <v>28</v>
      </c>
      <c r="M5356" s="527">
        <v>4011.2000000000003</v>
      </c>
      <c r="N5356" s="530">
        <v>0.41666666666666669</v>
      </c>
    </row>
    <row r="5357" spans="1:14" ht="19.5" hidden="1" thickBot="1" x14ac:dyDescent="0.3">
      <c r="A5357" s="712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2"/>
        <v>12,25</v>
      </c>
      <c r="L5357" s="649" t="s">
        <v>28</v>
      </c>
      <c r="M5357" s="649">
        <v>4758.6000000000004</v>
      </c>
      <c r="N5357" s="653">
        <v>0.41666666666666669</v>
      </c>
    </row>
    <row r="5358" spans="1:14" ht="19.5" hidden="1" thickBot="1" x14ac:dyDescent="0.3">
      <c r="A5358" s="714">
        <f t="shared" si="151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2"/>
        <v>12,25</v>
      </c>
      <c r="L5358" s="535" t="s">
        <v>28</v>
      </c>
      <c r="M5358" s="535">
        <v>4566.4000000000005</v>
      </c>
      <c r="N5358" s="539">
        <v>0.45833333333333331</v>
      </c>
    </row>
    <row r="5359" spans="1:14" ht="19.5" hidden="1" thickBot="1" x14ac:dyDescent="0.3">
      <c r="A5359" s="715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2"/>
        <v>12,25</v>
      </c>
      <c r="L5359" s="640" t="s">
        <v>28</v>
      </c>
      <c r="M5359" s="640">
        <v>7854.0400000000009</v>
      </c>
      <c r="N5359" s="644">
        <v>0.45833333333333331</v>
      </c>
    </row>
    <row r="5360" spans="1:14" ht="19.5" hidden="1" thickBot="1" x14ac:dyDescent="0.3">
      <c r="A5360" s="572">
        <f t="shared" si="151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2"/>
        <v>12,25</v>
      </c>
      <c r="L5360" s="577" t="s">
        <v>28</v>
      </c>
      <c r="M5360" s="577">
        <v>10992.880000000001</v>
      </c>
      <c r="N5360" s="581">
        <v>0.5</v>
      </c>
    </row>
    <row r="5361" spans="1:14" ht="38.25" hidden="1" thickBot="1" x14ac:dyDescent="0.3">
      <c r="A5361" s="503">
        <f t="shared" si="151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2"/>
        <v>12,25</v>
      </c>
      <c r="L5361" s="508" t="s">
        <v>266</v>
      </c>
      <c r="M5361" s="508">
        <v>15030</v>
      </c>
      <c r="N5361" s="512">
        <v>0.375</v>
      </c>
    </row>
    <row r="5362" spans="1:14" ht="38.25" hidden="1" thickBot="1" x14ac:dyDescent="0.3">
      <c r="A5362" s="513">
        <f t="shared" si="151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2"/>
        <v>12,25</v>
      </c>
      <c r="L5362" s="518" t="s">
        <v>266</v>
      </c>
      <c r="M5362" s="518">
        <v>16040.280000000002</v>
      </c>
      <c r="N5362" s="522">
        <v>0.5</v>
      </c>
    </row>
    <row r="5363" spans="1:14" ht="19.5" hidden="1" thickBot="1" x14ac:dyDescent="0.3">
      <c r="A5363" s="714">
        <f t="shared" si="151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717" t="s">
        <v>843</v>
      </c>
      <c r="H5363" s="535" t="s">
        <v>1179</v>
      </c>
      <c r="I5363" s="537" t="s">
        <v>1180</v>
      </c>
      <c r="J5363" s="538"/>
      <c r="K5363" s="535" t="str">
        <f t="shared" si="152"/>
        <v>12,25</v>
      </c>
      <c r="L5363" s="535" t="s">
        <v>28</v>
      </c>
      <c r="M5363" s="535">
        <v>3428.8799999999997</v>
      </c>
      <c r="N5363" s="539">
        <v>0.54166666666666663</v>
      </c>
    </row>
    <row r="5364" spans="1:14" ht="19.5" hidden="1" thickBot="1" x14ac:dyDescent="0.3">
      <c r="A5364" s="715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718"/>
      <c r="H5364" s="640" t="s">
        <v>1179</v>
      </c>
      <c r="I5364" s="642" t="s">
        <v>1180</v>
      </c>
      <c r="J5364" s="643"/>
      <c r="K5364" s="640" t="str">
        <f t="shared" si="152"/>
        <v>12,25</v>
      </c>
      <c r="L5364" s="640" t="s">
        <v>28</v>
      </c>
      <c r="M5364" s="640">
        <v>6845.2400000000007</v>
      </c>
      <c r="N5364" s="644">
        <v>0.54166666666666663</v>
      </c>
    </row>
    <row r="5365" spans="1:14" ht="19.5" hidden="1" thickBot="1" x14ac:dyDescent="0.3">
      <c r="A5365" s="572">
        <f t="shared" ref="A5365:A5432" si="153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2"/>
        <v>12,25</v>
      </c>
      <c r="L5365" s="577" t="s">
        <v>266</v>
      </c>
      <c r="M5365" s="577">
        <v>18167.18</v>
      </c>
      <c r="N5365" s="581">
        <v>0.58333333333333337</v>
      </c>
    </row>
    <row r="5366" spans="1:14" ht="19.5" hidden="1" thickBot="1" x14ac:dyDescent="0.3">
      <c r="A5366" s="503">
        <f t="shared" si="153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2"/>
        <v>12,25</v>
      </c>
      <c r="L5366" s="508" t="s">
        <v>266</v>
      </c>
      <c r="M5366" s="508">
        <v>17961.39</v>
      </c>
      <c r="N5366" s="512">
        <v>0.41666666666666669</v>
      </c>
    </row>
    <row r="5367" spans="1:14" ht="19.5" hidden="1" thickBot="1" x14ac:dyDescent="0.3">
      <c r="A5367" s="513">
        <f t="shared" si="153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4">RIGHT(I5367,5)</f>
        <v>12,25</v>
      </c>
      <c r="L5367" s="518" t="s">
        <v>266</v>
      </c>
      <c r="M5367" s="518">
        <v>18052.32</v>
      </c>
      <c r="N5367" s="522">
        <v>0.45833333333333331</v>
      </c>
    </row>
    <row r="5368" spans="1:14" ht="19.5" hidden="1" thickBot="1" x14ac:dyDescent="0.3">
      <c r="A5368" s="503">
        <f t="shared" si="153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4"/>
        <v>12,25</v>
      </c>
      <c r="L5368" s="508" t="s">
        <v>266</v>
      </c>
      <c r="M5368" s="508">
        <v>18036</v>
      </c>
      <c r="N5368" s="512">
        <v>0.5</v>
      </c>
    </row>
    <row r="5369" spans="1:14" ht="19.5" hidden="1" thickBot="1" x14ac:dyDescent="0.3">
      <c r="A5369" s="513">
        <f t="shared" si="153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4"/>
        <v>12,25</v>
      </c>
      <c r="L5369" s="518" t="s">
        <v>266</v>
      </c>
      <c r="M5369" s="518">
        <v>18096.66</v>
      </c>
      <c r="N5369" s="522">
        <v>0.54166666666666663</v>
      </c>
    </row>
    <row r="5370" spans="1:14" ht="19.5" hidden="1" thickBot="1" x14ac:dyDescent="0.3">
      <c r="A5370" s="714">
        <f t="shared" si="153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717" t="s">
        <v>467</v>
      </c>
      <c r="H5370" s="535" t="s">
        <v>1180</v>
      </c>
      <c r="I5370" s="537" t="s">
        <v>1182</v>
      </c>
      <c r="J5370" s="538"/>
      <c r="K5370" s="535" t="str">
        <f t="shared" si="154"/>
        <v>12,25</v>
      </c>
      <c r="L5370" s="535" t="s">
        <v>266</v>
      </c>
      <c r="M5370" s="535">
        <v>875.32</v>
      </c>
      <c r="N5370" s="539">
        <v>0.58333333333333337</v>
      </c>
    </row>
    <row r="5371" spans="1:14" ht="19.5" hidden="1" thickBot="1" x14ac:dyDescent="0.3">
      <c r="A5371" s="716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719"/>
      <c r="H5371" s="567" t="s">
        <v>1180</v>
      </c>
      <c r="I5371" s="569" t="s">
        <v>1182</v>
      </c>
      <c r="J5371" s="570"/>
      <c r="K5371" s="567" t="str">
        <f t="shared" si="154"/>
        <v>12,25</v>
      </c>
      <c r="L5371" s="567" t="s">
        <v>266</v>
      </c>
      <c r="M5371" s="567">
        <v>516.12</v>
      </c>
      <c r="N5371" s="571">
        <v>0.58333333333333337</v>
      </c>
    </row>
    <row r="5372" spans="1:14" ht="19.5" hidden="1" thickBot="1" x14ac:dyDescent="0.3">
      <c r="A5372" s="716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719"/>
      <c r="H5372" s="567" t="s">
        <v>1180</v>
      </c>
      <c r="I5372" s="569" t="s">
        <v>1182</v>
      </c>
      <c r="J5372" s="570"/>
      <c r="K5372" s="567" t="str">
        <f t="shared" si="154"/>
        <v>12,25</v>
      </c>
      <c r="L5372" s="567" t="s">
        <v>266</v>
      </c>
      <c r="M5372" s="567">
        <v>3666.5800000000004</v>
      </c>
      <c r="N5372" s="571">
        <v>0.58333333333333337</v>
      </c>
    </row>
    <row r="5373" spans="1:14" ht="19.5" hidden="1" thickBot="1" x14ac:dyDescent="0.3">
      <c r="A5373" s="716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719"/>
      <c r="H5373" s="594" t="s">
        <v>1180</v>
      </c>
      <c r="I5373" s="596" t="s">
        <v>1182</v>
      </c>
      <c r="J5373" s="597"/>
      <c r="K5373" s="594" t="str">
        <f t="shared" si="154"/>
        <v>12,25</v>
      </c>
      <c r="L5373" s="594" t="s">
        <v>266</v>
      </c>
      <c r="M5373" s="594">
        <v>3015</v>
      </c>
      <c r="N5373" s="598">
        <v>0.58333333333333337</v>
      </c>
    </row>
    <row r="5374" spans="1:14" ht="19.5" hidden="1" thickBot="1" x14ac:dyDescent="0.3">
      <c r="A5374" s="711">
        <f t="shared" si="153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4"/>
        <v>12,25</v>
      </c>
      <c r="L5374" s="483" t="s">
        <v>265</v>
      </c>
      <c r="M5374" s="483">
        <v>13193.560000000001</v>
      </c>
      <c r="N5374" s="486">
        <v>0.375</v>
      </c>
    </row>
    <row r="5375" spans="1:14" ht="19.5" hidden="1" thickBot="1" x14ac:dyDescent="0.3">
      <c r="A5375" s="712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4"/>
        <v>12,25</v>
      </c>
      <c r="L5375" s="649" t="s">
        <v>265</v>
      </c>
      <c r="M5375" s="649">
        <v>4313.9500000000007</v>
      </c>
      <c r="N5375" s="653">
        <v>0.375</v>
      </c>
    </row>
    <row r="5376" spans="1:14" ht="19.5" hidden="1" thickBot="1" x14ac:dyDescent="0.3">
      <c r="A5376" s="503">
        <f t="shared" si="153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4"/>
        <v>12,25</v>
      </c>
      <c r="L5376" s="508" t="s">
        <v>265</v>
      </c>
      <c r="M5376" s="508">
        <v>17640.189999999995</v>
      </c>
      <c r="N5376" s="512">
        <v>0.41666666666666669</v>
      </c>
    </row>
    <row r="5377" spans="1:14" ht="19.5" hidden="1" thickBot="1" x14ac:dyDescent="0.3">
      <c r="A5377" s="513">
        <f t="shared" si="153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4"/>
        <v>12,25</v>
      </c>
      <c r="L5377" s="518" t="s">
        <v>265</v>
      </c>
      <c r="M5377" s="518">
        <v>17708.900000000001</v>
      </c>
      <c r="N5377" s="522">
        <v>0.375</v>
      </c>
    </row>
    <row r="5378" spans="1:14" ht="19.5" hidden="1" thickBot="1" x14ac:dyDescent="0.3">
      <c r="A5378" s="714">
        <f t="shared" si="153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4"/>
        <v>12,25</v>
      </c>
      <c r="L5378" s="535" t="s">
        <v>28</v>
      </c>
      <c r="M5378" s="535">
        <v>1557.36</v>
      </c>
      <c r="N5378" s="539">
        <v>0.41666666666666669</v>
      </c>
    </row>
    <row r="5379" spans="1:14" ht="19.5" hidden="1" thickBot="1" x14ac:dyDescent="0.3">
      <c r="A5379" s="715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4"/>
        <v>12,25</v>
      </c>
      <c r="L5379" s="640" t="s">
        <v>28</v>
      </c>
      <c r="M5379" s="640">
        <v>16048.86</v>
      </c>
      <c r="N5379" s="644">
        <v>0.41666666666666669</v>
      </c>
    </row>
    <row r="5380" spans="1:14" ht="19.5" hidden="1" thickBot="1" x14ac:dyDescent="0.3">
      <c r="A5380" s="711">
        <f t="shared" si="153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4"/>
        <v>12,25</v>
      </c>
      <c r="L5380" s="483" t="s">
        <v>28</v>
      </c>
      <c r="M5380" s="483">
        <v>10026.469999999999</v>
      </c>
      <c r="N5380" s="486">
        <v>0.45833333333333331</v>
      </c>
    </row>
    <row r="5381" spans="1:14" ht="19.5" hidden="1" thickBot="1" x14ac:dyDescent="0.3">
      <c r="A5381" s="712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4"/>
        <v>12,25</v>
      </c>
      <c r="L5381" s="649" t="s">
        <v>28</v>
      </c>
      <c r="M5381" s="649">
        <v>7948.8899999999994</v>
      </c>
      <c r="N5381" s="653">
        <v>0.45833333333333331</v>
      </c>
    </row>
    <row r="5382" spans="1:14" ht="19.5" hidden="1" thickBot="1" x14ac:dyDescent="0.3">
      <c r="A5382" s="503">
        <f t="shared" si="153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4"/>
        <v>12,25</v>
      </c>
      <c r="L5382" s="508" t="s">
        <v>28</v>
      </c>
      <c r="M5382" s="508">
        <v>17832.38</v>
      </c>
      <c r="N5382" s="512">
        <v>0.5</v>
      </c>
    </row>
    <row r="5383" spans="1:14" ht="19.5" hidden="1" thickBot="1" x14ac:dyDescent="0.3">
      <c r="A5383" s="513">
        <f t="shared" si="153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4"/>
        <v>12,25</v>
      </c>
      <c r="L5383" s="518" t="s">
        <v>28</v>
      </c>
      <c r="M5383" s="518">
        <v>17703.400000000001</v>
      </c>
      <c r="N5383" s="522">
        <v>0.54166666666666663</v>
      </c>
    </row>
    <row r="5384" spans="1:14" ht="19.5" hidden="1" thickBot="1" x14ac:dyDescent="0.3">
      <c r="A5384" s="551">
        <f t="shared" si="153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4"/>
        <v>12,25</v>
      </c>
      <c r="L5384" s="556" t="s">
        <v>265</v>
      </c>
      <c r="M5384" s="556">
        <v>12031.52</v>
      </c>
      <c r="N5384" s="560">
        <v>0.375</v>
      </c>
    </row>
    <row r="5385" spans="1:14" ht="19.5" hidden="1" thickBot="1" x14ac:dyDescent="0.3">
      <c r="A5385" s="711">
        <f t="shared" si="153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4"/>
        <v>12,25</v>
      </c>
      <c r="L5385" s="483" t="s">
        <v>28</v>
      </c>
      <c r="M5385" s="483">
        <v>16370.920000000002</v>
      </c>
      <c r="N5385" s="486">
        <v>0.58333333333333337</v>
      </c>
    </row>
    <row r="5386" spans="1:14" ht="57" hidden="1" thickBot="1" x14ac:dyDescent="0.3">
      <c r="A5386" s="712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4"/>
        <v>12,25</v>
      </c>
      <c r="L5386" s="649" t="s">
        <v>28</v>
      </c>
      <c r="M5386" s="649">
        <v>1114.08</v>
      </c>
      <c r="N5386" s="653">
        <v>0.58333333333333337</v>
      </c>
    </row>
    <row r="5387" spans="1:14" ht="19.5" hidden="1" thickBot="1" x14ac:dyDescent="0.3">
      <c r="A5387" s="714">
        <f t="shared" si="153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4"/>
        <v>12,25</v>
      </c>
      <c r="L5387" s="535" t="s">
        <v>265</v>
      </c>
      <c r="M5387" s="535">
        <v>13634.099999999999</v>
      </c>
      <c r="N5387" s="539">
        <v>0.375</v>
      </c>
    </row>
    <row r="5388" spans="1:14" ht="19.5" hidden="1" thickBot="1" x14ac:dyDescent="0.3">
      <c r="A5388" s="715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4"/>
        <v>12,25</v>
      </c>
      <c r="L5388" s="640" t="s">
        <v>266</v>
      </c>
      <c r="M5388" s="640">
        <v>3894.12</v>
      </c>
      <c r="N5388" s="644">
        <v>0.375</v>
      </c>
    </row>
    <row r="5389" spans="1:14" ht="19.5" hidden="1" thickBot="1" x14ac:dyDescent="0.3">
      <c r="A5389" s="572">
        <f t="shared" si="153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4"/>
        <v>12,25</v>
      </c>
      <c r="L5389" s="577" t="s">
        <v>265</v>
      </c>
      <c r="M5389" s="577">
        <v>13390.64</v>
      </c>
      <c r="N5389" s="581">
        <v>0.375</v>
      </c>
    </row>
    <row r="5390" spans="1:14" ht="19.5" hidden="1" thickBot="1" x14ac:dyDescent="0.3">
      <c r="A5390" s="503">
        <f t="shared" si="153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4"/>
        <v>12,25</v>
      </c>
      <c r="L5390" s="508" t="s">
        <v>265</v>
      </c>
      <c r="M5390" s="508">
        <v>17688.759999999998</v>
      </c>
      <c r="N5390" s="512">
        <v>0.375</v>
      </c>
    </row>
    <row r="5391" spans="1:14" ht="19.5" hidden="1" thickBot="1" x14ac:dyDescent="0.3">
      <c r="A5391" s="672">
        <f t="shared" si="153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4"/>
        <v>12,25</v>
      </c>
      <c r="L5391" s="499" t="s">
        <v>28</v>
      </c>
      <c r="M5391" s="499">
        <v>10693.2</v>
      </c>
      <c r="N5391" s="502">
        <v>0.41666666666666669</v>
      </c>
    </row>
    <row r="5392" spans="1:14" ht="38.25" hidden="1" thickBot="1" x14ac:dyDescent="0.3">
      <c r="A5392" s="503">
        <f t="shared" si="153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4"/>
        <v>12,25</v>
      </c>
      <c r="L5392" s="508" t="s">
        <v>28</v>
      </c>
      <c r="M5392" s="508">
        <v>9159.01</v>
      </c>
      <c r="N5392" s="512">
        <v>0.5</v>
      </c>
    </row>
    <row r="5393" spans="1:14" ht="19.5" hidden="1" thickBot="1" x14ac:dyDescent="0.3">
      <c r="A5393" s="672">
        <f t="shared" si="153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4"/>
        <v>12,25</v>
      </c>
      <c r="L5393" s="499" t="s">
        <v>265</v>
      </c>
      <c r="M5393" s="499">
        <v>12020.400000000001</v>
      </c>
      <c r="N5393" s="502">
        <v>0.375</v>
      </c>
    </row>
    <row r="5394" spans="1:14" ht="19.5" hidden="1" thickBot="1" x14ac:dyDescent="0.3">
      <c r="A5394" s="714">
        <f t="shared" si="153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4"/>
        <v>12,25</v>
      </c>
      <c r="L5394" s="535" t="s">
        <v>266</v>
      </c>
      <c r="M5394" s="535">
        <v>5120.3400000000011</v>
      </c>
      <c r="N5394" s="539">
        <v>0.41666666666666669</v>
      </c>
    </row>
    <row r="5395" spans="1:14" ht="19.5" hidden="1" thickBot="1" x14ac:dyDescent="0.3">
      <c r="A5395" s="716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4"/>
        <v>12,25</v>
      </c>
      <c r="L5395" s="567" t="s">
        <v>266</v>
      </c>
      <c r="M5395" s="567">
        <v>3627.5400000000004</v>
      </c>
      <c r="N5395" s="571">
        <v>0.41666666666666669</v>
      </c>
    </row>
    <row r="5396" spans="1:14" ht="19.5" hidden="1" thickBot="1" x14ac:dyDescent="0.3">
      <c r="A5396" s="716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4"/>
        <v>12,25</v>
      </c>
      <c r="L5396" s="567" t="s">
        <v>28</v>
      </c>
      <c r="M5396" s="567">
        <v>3628.7000000000003</v>
      </c>
      <c r="N5396" s="571">
        <v>0.41666666666666669</v>
      </c>
    </row>
    <row r="5397" spans="1:14" ht="19.5" hidden="1" thickBot="1" x14ac:dyDescent="0.3">
      <c r="A5397" s="715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4"/>
        <v>12,25</v>
      </c>
      <c r="L5397" s="640" t="s">
        <v>28</v>
      </c>
      <c r="M5397" s="640">
        <v>5061.4299999999994</v>
      </c>
      <c r="N5397" s="644">
        <v>0.41666666666666669</v>
      </c>
    </row>
    <row r="5398" spans="1:14" ht="19.5" hidden="1" thickBot="1" x14ac:dyDescent="0.3">
      <c r="A5398" s="713">
        <f t="shared" si="153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4"/>
        <v>12,25</v>
      </c>
      <c r="L5398" s="527" t="s">
        <v>28</v>
      </c>
      <c r="M5398" s="527">
        <v>2108.16</v>
      </c>
      <c r="N5398" s="530">
        <v>0.45833333333333331</v>
      </c>
    </row>
    <row r="5399" spans="1:14" ht="19.5" hidden="1" thickBot="1" x14ac:dyDescent="0.3">
      <c r="A5399" s="713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4"/>
        <v>12,25</v>
      </c>
      <c r="L5399" s="499" t="s">
        <v>28</v>
      </c>
      <c r="M5399" s="499">
        <v>15652.520000000002</v>
      </c>
      <c r="N5399" s="502">
        <v>0.45833333333333331</v>
      </c>
    </row>
    <row r="5400" spans="1:14" ht="19.5" hidden="1" thickBot="1" x14ac:dyDescent="0.3">
      <c r="A5400" s="714">
        <f t="shared" si="153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4"/>
        <v>12,25</v>
      </c>
      <c r="L5400" s="535" t="s">
        <v>28</v>
      </c>
      <c r="M5400" s="535">
        <v>5066.34</v>
      </c>
      <c r="N5400" s="539">
        <v>0.5</v>
      </c>
    </row>
    <row r="5401" spans="1:14" ht="19.5" hidden="1" thickBot="1" x14ac:dyDescent="0.3">
      <c r="A5401" s="715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4"/>
        <v>12,25</v>
      </c>
      <c r="L5401" s="640" t="s">
        <v>28</v>
      </c>
      <c r="M5401" s="640">
        <v>12412.740000000003</v>
      </c>
      <c r="N5401" s="644">
        <v>0.5</v>
      </c>
    </row>
    <row r="5402" spans="1:14" ht="49.5" hidden="1" customHeight="1" x14ac:dyDescent="0.25">
      <c r="A5402" s="713">
        <f t="shared" si="153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722" t="s">
        <v>1185</v>
      </c>
      <c r="H5402" s="527" t="s">
        <v>1184</v>
      </c>
      <c r="I5402" s="528" t="s">
        <v>1184</v>
      </c>
      <c r="J5402" s="529"/>
      <c r="K5402" s="527" t="str">
        <f t="shared" si="154"/>
        <v>12,25</v>
      </c>
      <c r="L5402" s="527" t="s">
        <v>28</v>
      </c>
      <c r="M5402" s="527">
        <v>3591</v>
      </c>
      <c r="N5402" s="530">
        <v>0.41666666666666669</v>
      </c>
    </row>
    <row r="5403" spans="1:14" ht="49.5" hidden="1" customHeight="1" thickBot="1" x14ac:dyDescent="0.3">
      <c r="A5403" s="713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722"/>
      <c r="H5403" s="499" t="s">
        <v>1184</v>
      </c>
      <c r="I5403" s="500" t="s">
        <v>1184</v>
      </c>
      <c r="J5403" s="501"/>
      <c r="K5403" s="499" t="str">
        <f t="shared" si="154"/>
        <v>12,25</v>
      </c>
      <c r="L5403" s="499" t="s">
        <v>28</v>
      </c>
      <c r="M5403" s="499">
        <v>6996.6400000000012</v>
      </c>
      <c r="N5403" s="502">
        <v>0.41666666666666669</v>
      </c>
    </row>
    <row r="5404" spans="1:14" ht="19.5" hidden="1" thickBot="1" x14ac:dyDescent="0.3">
      <c r="A5404" s="503">
        <f t="shared" si="153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4"/>
        <v>12,25</v>
      </c>
      <c r="L5404" s="508" t="s">
        <v>28</v>
      </c>
      <c r="M5404" s="508">
        <v>9047.4</v>
      </c>
      <c r="N5404" s="512">
        <v>0.45833333333333331</v>
      </c>
    </row>
    <row r="5405" spans="1:14" ht="19.5" hidden="1" thickBot="1" x14ac:dyDescent="0.3">
      <c r="A5405" s="672">
        <f t="shared" si="153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4"/>
        <v>12,25</v>
      </c>
      <c r="L5405" s="499" t="s">
        <v>28</v>
      </c>
      <c r="M5405" s="499">
        <v>11079.839999999998</v>
      </c>
      <c r="N5405" s="502">
        <v>0.5</v>
      </c>
    </row>
    <row r="5406" spans="1:14" ht="19.5" hidden="1" thickBot="1" x14ac:dyDescent="0.3">
      <c r="A5406" s="714">
        <f t="shared" si="153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4"/>
        <v>12,25</v>
      </c>
      <c r="L5406" s="535" t="s">
        <v>28</v>
      </c>
      <c r="M5406" s="535">
        <v>9513.4</v>
      </c>
      <c r="N5406" s="539">
        <v>0.54166666666666663</v>
      </c>
    </row>
    <row r="5407" spans="1:14" ht="19.5" hidden="1" thickBot="1" x14ac:dyDescent="0.3">
      <c r="A5407" s="716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4"/>
        <v>12,25</v>
      </c>
      <c r="L5407" s="594" t="s">
        <v>28</v>
      </c>
      <c r="M5407" s="594">
        <v>2150.4</v>
      </c>
      <c r="N5407" s="598">
        <v>0.54166666666666663</v>
      </c>
    </row>
    <row r="5408" spans="1:14" ht="19.5" hidden="1" thickBot="1" x14ac:dyDescent="0.3">
      <c r="A5408" s="711">
        <f t="shared" si="153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720" t="s">
        <v>467</v>
      </c>
      <c r="H5408" s="483" t="s">
        <v>1184</v>
      </c>
      <c r="I5408" s="484" t="s">
        <v>1189</v>
      </c>
      <c r="J5408" s="485"/>
      <c r="K5408" s="483" t="str">
        <f t="shared" si="154"/>
        <v>12,25</v>
      </c>
      <c r="L5408" s="483" t="s">
        <v>266</v>
      </c>
      <c r="M5408" s="483">
        <v>6002.9400000000005</v>
      </c>
      <c r="N5408" s="486">
        <v>0.54166666666666663</v>
      </c>
    </row>
    <row r="5409" spans="1:14" ht="19.5" hidden="1" thickBot="1" x14ac:dyDescent="0.3">
      <c r="A5409" s="712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721"/>
      <c r="H5409" s="649" t="s">
        <v>1186</v>
      </c>
      <c r="I5409" s="651" t="s">
        <v>1189</v>
      </c>
      <c r="J5409" s="652"/>
      <c r="K5409" s="649" t="str">
        <f t="shared" si="154"/>
        <v>12,25</v>
      </c>
      <c r="L5409" s="649" t="s">
        <v>266</v>
      </c>
      <c r="M5409" s="649">
        <v>1418.4</v>
      </c>
      <c r="N5409" s="653">
        <v>0.375</v>
      </c>
    </row>
    <row r="5410" spans="1:14" ht="38.25" hidden="1" thickBot="1" x14ac:dyDescent="0.3">
      <c r="A5410" s="503">
        <f t="shared" si="153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4"/>
        <v>12,25</v>
      </c>
      <c r="L5410" s="508" t="s">
        <v>266</v>
      </c>
      <c r="M5410" s="508">
        <v>16341.720000000001</v>
      </c>
      <c r="N5410" s="512">
        <v>0.41666666666666669</v>
      </c>
    </row>
    <row r="5411" spans="1:14" ht="19.5" hidden="1" thickBot="1" x14ac:dyDescent="0.3">
      <c r="A5411" s="513">
        <f t="shared" si="153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4"/>
        <v>12,25</v>
      </c>
      <c r="L5411" s="518" t="s">
        <v>266</v>
      </c>
      <c r="M5411" s="518">
        <v>18102.440000000002</v>
      </c>
      <c r="N5411" s="522">
        <v>0.45833333333333331</v>
      </c>
    </row>
    <row r="5412" spans="1:14" ht="19.5" hidden="1" thickBot="1" x14ac:dyDescent="0.3">
      <c r="A5412" s="714">
        <f t="shared" si="153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4"/>
        <v>12,25</v>
      </c>
      <c r="L5412" s="535" t="s">
        <v>266</v>
      </c>
      <c r="M5412" s="535">
        <v>15212.200000000003</v>
      </c>
      <c r="N5412" s="539">
        <v>0.5</v>
      </c>
    </row>
    <row r="5413" spans="1:14" ht="19.5" hidden="1" thickBot="1" x14ac:dyDescent="0.3">
      <c r="A5413" s="716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4"/>
        <v>12,25</v>
      </c>
      <c r="L5413" s="594" t="s">
        <v>266</v>
      </c>
      <c r="M5413" s="594">
        <v>2751.77</v>
      </c>
      <c r="N5413" s="598">
        <v>0.5</v>
      </c>
    </row>
    <row r="5414" spans="1:14" ht="19.5" hidden="1" thickBot="1" x14ac:dyDescent="0.3">
      <c r="A5414" s="513">
        <f t="shared" si="153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4"/>
        <v>12,25</v>
      </c>
      <c r="L5414" s="518" t="s">
        <v>265</v>
      </c>
      <c r="M5414" s="518">
        <v>17755.46</v>
      </c>
      <c r="N5414" s="522">
        <v>0.375</v>
      </c>
    </row>
    <row r="5415" spans="1:14" ht="19.5" hidden="1" thickBot="1" x14ac:dyDescent="0.3">
      <c r="A5415" s="503">
        <f t="shared" si="153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4"/>
        <v>12,25</v>
      </c>
      <c r="L5415" s="508" t="s">
        <v>266</v>
      </c>
      <c r="M5415" s="508">
        <v>17984.2</v>
      </c>
      <c r="N5415" s="512">
        <v>0.41666666666666669</v>
      </c>
    </row>
    <row r="5416" spans="1:14" ht="19.5" hidden="1" thickBot="1" x14ac:dyDescent="0.3">
      <c r="A5416" s="711">
        <f t="shared" si="153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720" t="s">
        <v>467</v>
      </c>
      <c r="H5416" s="483" t="s">
        <v>1188</v>
      </c>
      <c r="I5416" s="484" t="s">
        <v>1189</v>
      </c>
      <c r="J5416" s="485"/>
      <c r="K5416" s="483" t="str">
        <f t="shared" si="154"/>
        <v>12,25</v>
      </c>
      <c r="L5416" s="483" t="s">
        <v>266</v>
      </c>
      <c r="M5416" s="483">
        <v>2269.3000000000002</v>
      </c>
      <c r="N5416" s="486">
        <v>0.45833333333333331</v>
      </c>
    </row>
    <row r="5417" spans="1:14" ht="19.5" hidden="1" thickBot="1" x14ac:dyDescent="0.3">
      <c r="A5417" s="713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722"/>
      <c r="H5417" s="499" t="s">
        <v>1188</v>
      </c>
      <c r="I5417" s="500" t="s">
        <v>1189</v>
      </c>
      <c r="J5417" s="501"/>
      <c r="K5417" s="499" t="str">
        <f t="shared" si="154"/>
        <v>12,25</v>
      </c>
      <c r="L5417" s="499" t="s">
        <v>266</v>
      </c>
      <c r="M5417" s="499">
        <v>5310</v>
      </c>
      <c r="N5417" s="502">
        <v>0.45833333333333331</v>
      </c>
    </row>
    <row r="5418" spans="1:14" ht="19.5" hidden="1" thickBot="1" x14ac:dyDescent="0.3">
      <c r="A5418" s="714">
        <f t="shared" si="153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4"/>
        <v>12,25</v>
      </c>
      <c r="L5418" s="535" t="s">
        <v>265</v>
      </c>
      <c r="M5418" s="535">
        <v>11332.480000000001</v>
      </c>
      <c r="N5418" s="539">
        <v>0.375</v>
      </c>
    </row>
    <row r="5419" spans="1:14" ht="19.5" hidden="1" thickBot="1" x14ac:dyDescent="0.3">
      <c r="A5419" s="715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4"/>
        <v>12,25</v>
      </c>
      <c r="L5419" s="640" t="s">
        <v>265</v>
      </c>
      <c r="M5419" s="640">
        <v>6470.5</v>
      </c>
      <c r="N5419" s="644">
        <v>0.375</v>
      </c>
    </row>
    <row r="5420" spans="1:14" ht="19.5" hidden="1" thickBot="1" x14ac:dyDescent="0.3">
      <c r="A5420" s="711">
        <f t="shared" si="153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4"/>
        <v>12,25</v>
      </c>
      <c r="L5420" s="483" t="s">
        <v>28</v>
      </c>
      <c r="M5420" s="483">
        <v>7612.36</v>
      </c>
      <c r="N5420" s="486">
        <v>0.41666666666666669</v>
      </c>
    </row>
    <row r="5421" spans="1:14" ht="19.5" hidden="1" thickBot="1" x14ac:dyDescent="0.3">
      <c r="A5421" s="712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4"/>
        <v>12,25</v>
      </c>
      <c r="L5421" s="649" t="s">
        <v>28</v>
      </c>
      <c r="M5421" s="649">
        <v>10550.220000000001</v>
      </c>
      <c r="N5421" s="653">
        <v>0.41666666666666669</v>
      </c>
    </row>
    <row r="5422" spans="1:14" ht="19.5" hidden="1" thickBot="1" x14ac:dyDescent="0.3">
      <c r="A5422" s="503">
        <f t="shared" si="153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4"/>
        <v>12,25</v>
      </c>
      <c r="L5422" s="508" t="s">
        <v>28</v>
      </c>
      <c r="M5422" s="508">
        <v>10328.039999999999</v>
      </c>
      <c r="N5422" s="512">
        <v>0.41666666666666669</v>
      </c>
    </row>
    <row r="5423" spans="1:14" ht="19.5" hidden="1" thickBot="1" x14ac:dyDescent="0.3">
      <c r="A5423" s="513">
        <f t="shared" si="153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4"/>
        <v>12,25</v>
      </c>
      <c r="L5423" s="518" t="s">
        <v>265</v>
      </c>
      <c r="M5423" s="518">
        <v>11880.959999999997</v>
      </c>
      <c r="N5423" s="522">
        <v>0.375</v>
      </c>
    </row>
    <row r="5424" spans="1:14" ht="19.5" hidden="1" thickBot="1" x14ac:dyDescent="0.3">
      <c r="A5424" s="551">
        <f t="shared" si="153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4"/>
        <v>01,26</v>
      </c>
      <c r="L5424" s="556" t="s">
        <v>28</v>
      </c>
      <c r="M5424" s="556">
        <v>8586.36</v>
      </c>
      <c r="N5424" s="560">
        <v>0.41666666666666669</v>
      </c>
    </row>
    <row r="5425" spans="1:14" ht="19.5" hidden="1" thickBot="1" x14ac:dyDescent="0.3">
      <c r="A5425" s="513">
        <f t="shared" si="153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4"/>
        <v>01,26</v>
      </c>
      <c r="L5425" s="518" t="s">
        <v>265</v>
      </c>
      <c r="M5425" s="518">
        <v>17484.350000000002</v>
      </c>
      <c r="N5425" s="522">
        <v>0.375</v>
      </c>
    </row>
    <row r="5426" spans="1:14" ht="19.5" hidden="1" thickBot="1" x14ac:dyDescent="0.3">
      <c r="A5426" s="503">
        <f t="shared" si="153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4"/>
        <v>01,26</v>
      </c>
      <c r="L5426" s="508" t="s">
        <v>265</v>
      </c>
      <c r="M5426" s="508">
        <v>17660.150000000001</v>
      </c>
      <c r="N5426" s="512">
        <v>0.41666666666666669</v>
      </c>
    </row>
    <row r="5427" spans="1:14" ht="19.5" hidden="1" thickBot="1" x14ac:dyDescent="0.3">
      <c r="A5427" s="513">
        <f t="shared" si="153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4"/>
        <v>01,26</v>
      </c>
      <c r="L5427" s="518" t="s">
        <v>265</v>
      </c>
      <c r="M5427" s="518">
        <v>17677.400000000001</v>
      </c>
      <c r="N5427" s="522">
        <v>0.375</v>
      </c>
    </row>
    <row r="5428" spans="1:14" ht="19.5" hidden="1" thickBot="1" x14ac:dyDescent="0.3">
      <c r="A5428" s="714">
        <f t="shared" si="153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4"/>
        <v>01,26</v>
      </c>
      <c r="L5428" s="535" t="s">
        <v>28</v>
      </c>
      <c r="M5428" s="535">
        <v>10179.870000000001</v>
      </c>
      <c r="N5428" s="539">
        <v>0.41666666666666669</v>
      </c>
    </row>
    <row r="5429" spans="1:14" ht="19.5" hidden="1" thickBot="1" x14ac:dyDescent="0.3">
      <c r="A5429" s="715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4"/>
        <v>01,26</v>
      </c>
      <c r="L5429" s="640" t="s">
        <v>28</v>
      </c>
      <c r="M5429" s="640">
        <v>7337.1</v>
      </c>
      <c r="N5429" s="644">
        <v>0.41666666666666669</v>
      </c>
    </row>
    <row r="5430" spans="1:14" ht="19.5" hidden="1" thickBot="1" x14ac:dyDescent="0.3">
      <c r="A5430" s="711">
        <f t="shared" si="153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4"/>
        <v>01,26</v>
      </c>
      <c r="L5430" s="483" t="s">
        <v>28</v>
      </c>
      <c r="M5430" s="483">
        <v>6405.9400000000005</v>
      </c>
      <c r="N5430" s="486">
        <v>0.45833333333333331</v>
      </c>
    </row>
    <row r="5431" spans="1:14" ht="19.5" hidden="1" thickBot="1" x14ac:dyDescent="0.3">
      <c r="A5431" s="712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5">RIGHT(I5431,5)</f>
        <v>01,26</v>
      </c>
      <c r="L5431" s="649" t="s">
        <v>28</v>
      </c>
      <c r="M5431" s="649">
        <v>11112.15</v>
      </c>
      <c r="N5431" s="653">
        <v>0.45833333333333331</v>
      </c>
    </row>
    <row r="5432" spans="1:14" ht="19.5" hidden="1" thickBot="1" x14ac:dyDescent="0.3">
      <c r="A5432" s="714">
        <f t="shared" si="153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5"/>
        <v>01,26</v>
      </c>
      <c r="L5432" s="535" t="s">
        <v>28</v>
      </c>
      <c r="M5432" s="535">
        <v>8556.9600000000009</v>
      </c>
      <c r="N5432" s="539">
        <v>0.5</v>
      </c>
    </row>
    <row r="5433" spans="1:14" ht="19.5" hidden="1" thickBot="1" x14ac:dyDescent="0.3">
      <c r="A5433" s="715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5"/>
        <v>01,26</v>
      </c>
      <c r="L5433" s="640" t="s">
        <v>28</v>
      </c>
      <c r="M5433" s="640">
        <v>8772.86</v>
      </c>
      <c r="N5433" s="644">
        <v>0.5</v>
      </c>
    </row>
    <row r="5434" spans="1:14" ht="19.5" hidden="1" thickBot="1" x14ac:dyDescent="0.3">
      <c r="A5434" s="513">
        <f t="shared" ref="A5434:A5454" si="156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5"/>
        <v>01,26</v>
      </c>
      <c r="L5434" s="518" t="s">
        <v>265</v>
      </c>
      <c r="M5434" s="518">
        <v>13133.72</v>
      </c>
      <c r="N5434" s="522">
        <v>0.375</v>
      </c>
    </row>
    <row r="5435" spans="1:14" ht="19.5" hidden="1" thickBot="1" x14ac:dyDescent="0.3">
      <c r="A5435" s="551">
        <f t="shared" si="156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5"/>
        <v>01,26</v>
      </c>
      <c r="L5435" s="556" t="s">
        <v>28</v>
      </c>
      <c r="M5435" s="556">
        <v>10923.560000000001</v>
      </c>
      <c r="N5435" s="560">
        <v>0.41666666666666669</v>
      </c>
    </row>
    <row r="5436" spans="1:14" ht="19.5" hidden="1" thickBot="1" x14ac:dyDescent="0.3">
      <c r="A5436" s="711">
        <f t="shared" si="156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720" t="s">
        <v>1195</v>
      </c>
      <c r="H5436" s="483" t="s">
        <v>1194</v>
      </c>
      <c r="I5436" s="484" t="s">
        <v>1197</v>
      </c>
      <c r="J5436" s="485"/>
      <c r="K5436" s="483" t="str">
        <f t="shared" si="155"/>
        <v>01,26</v>
      </c>
      <c r="L5436" s="483" t="s">
        <v>28</v>
      </c>
      <c r="M5436" s="483">
        <v>4034.4</v>
      </c>
      <c r="N5436" s="486">
        <v>0.41666666666666669</v>
      </c>
    </row>
    <row r="5437" spans="1:14" ht="19.5" hidden="1" thickBot="1" x14ac:dyDescent="0.3">
      <c r="A5437" s="712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721"/>
      <c r="H5437" s="649" t="s">
        <v>1194</v>
      </c>
      <c r="I5437" s="651" t="s">
        <v>1197</v>
      </c>
      <c r="J5437" s="652"/>
      <c r="K5437" s="649" t="str">
        <f t="shared" si="155"/>
        <v>01,26</v>
      </c>
      <c r="L5437" s="649" t="s">
        <v>28</v>
      </c>
      <c r="M5437" s="649">
        <v>4048.2</v>
      </c>
      <c r="N5437" s="653">
        <v>0.41666666666666669</v>
      </c>
    </row>
    <row r="5438" spans="1:14" ht="19.5" hidden="1" thickBot="1" x14ac:dyDescent="0.3">
      <c r="A5438" s="503">
        <f t="shared" si="156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5"/>
        <v>01,26</v>
      </c>
      <c r="L5438" s="508" t="s">
        <v>265</v>
      </c>
      <c r="M5438" s="508">
        <v>17702.410000000003</v>
      </c>
      <c r="N5438" s="512">
        <v>0.375</v>
      </c>
    </row>
    <row r="5439" spans="1:14" ht="19.5" hidden="1" thickBot="1" x14ac:dyDescent="0.3">
      <c r="A5439" s="711">
        <f t="shared" si="156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5"/>
        <v>01,26</v>
      </c>
      <c r="L5439" s="483" t="s">
        <v>28</v>
      </c>
      <c r="M5439" s="483">
        <v>10237.230000000001</v>
      </c>
      <c r="N5439" s="486">
        <v>0.41666666666666669</v>
      </c>
    </row>
    <row r="5440" spans="1:14" ht="19.5" hidden="1" thickBot="1" x14ac:dyDescent="0.3">
      <c r="A5440" s="712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5"/>
        <v>01,26</v>
      </c>
      <c r="L5440" s="649" t="s">
        <v>28</v>
      </c>
      <c r="M5440" s="649">
        <v>7158.72</v>
      </c>
      <c r="N5440" s="653">
        <v>0.41666666666666669</v>
      </c>
    </row>
    <row r="5441" spans="1:14" ht="19.5" hidden="1" thickBot="1" x14ac:dyDescent="0.3">
      <c r="A5441" s="714">
        <f t="shared" si="156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5"/>
        <v>01,26</v>
      </c>
      <c r="L5441" s="535" t="s">
        <v>28</v>
      </c>
      <c r="M5441" s="535">
        <v>6325.2</v>
      </c>
      <c r="N5441" s="539">
        <v>0.45833333333333331</v>
      </c>
    </row>
    <row r="5442" spans="1:14" ht="19.5" hidden="1" thickBot="1" x14ac:dyDescent="0.3">
      <c r="A5442" s="715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5"/>
        <v>01,26</v>
      </c>
      <c r="L5442" s="640" t="s">
        <v>28</v>
      </c>
      <c r="M5442" s="640">
        <v>11127.899999999998</v>
      </c>
      <c r="N5442" s="644">
        <v>0.45833333333333331</v>
      </c>
    </row>
    <row r="5443" spans="1:14" ht="19.5" hidden="1" thickBot="1" x14ac:dyDescent="0.3">
      <c r="A5443" s="711">
        <f t="shared" si="156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5"/>
        <v>01,26</v>
      </c>
      <c r="L5443" s="483" t="s">
        <v>28</v>
      </c>
      <c r="M5443" s="483">
        <v>8537.340000000002</v>
      </c>
      <c r="N5443" s="486">
        <v>0.5</v>
      </c>
    </row>
    <row r="5444" spans="1:14" ht="19.5" hidden="1" thickBot="1" x14ac:dyDescent="0.3">
      <c r="A5444" s="712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5"/>
        <v>01,26</v>
      </c>
      <c r="L5444" s="649" t="s">
        <v>28</v>
      </c>
      <c r="M5444" s="649">
        <v>8865.0799999999981</v>
      </c>
      <c r="N5444" s="653">
        <v>0.5</v>
      </c>
    </row>
    <row r="5445" spans="1:14" ht="19.5" hidden="1" thickBot="1" x14ac:dyDescent="0.3">
      <c r="A5445" s="714">
        <f t="shared" si="156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5"/>
        <v>01,26</v>
      </c>
      <c r="L5445" s="535" t="s">
        <v>266</v>
      </c>
      <c r="M5445" s="535">
        <v>14950.859999999999</v>
      </c>
      <c r="N5445" s="539">
        <v>0.54166666666666663</v>
      </c>
    </row>
    <row r="5446" spans="1:14" ht="19.5" hidden="1" thickBot="1" x14ac:dyDescent="0.3">
      <c r="A5446" s="715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5"/>
        <v>01,26</v>
      </c>
      <c r="L5446" s="640" t="s">
        <v>28</v>
      </c>
      <c r="M5446" s="640">
        <v>2406.84</v>
      </c>
      <c r="N5446" s="644">
        <v>0.54166666666666663</v>
      </c>
    </row>
    <row r="5447" spans="1:14" ht="57" hidden="1" thickBot="1" x14ac:dyDescent="0.3">
      <c r="A5447" s="513">
        <f t="shared" si="156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5"/>
        <v>01,26</v>
      </c>
      <c r="L5447" s="518" t="s">
        <v>28</v>
      </c>
      <c r="M5447" s="518">
        <v>15656.76</v>
      </c>
      <c r="N5447" s="522">
        <v>0.58333333333333337</v>
      </c>
    </row>
    <row r="5448" spans="1:14" ht="38.25" hidden="1" thickBot="1" x14ac:dyDescent="0.3">
      <c r="A5448" s="503">
        <f t="shared" si="156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5"/>
        <v>01,26</v>
      </c>
      <c r="L5448" s="508" t="s">
        <v>266</v>
      </c>
      <c r="M5448" s="508">
        <v>15533.4</v>
      </c>
      <c r="N5448" s="512">
        <v>0.41666666666666669</v>
      </c>
    </row>
    <row r="5449" spans="1:14" ht="19.5" hidden="1" thickBot="1" x14ac:dyDescent="0.3">
      <c r="A5449" s="711">
        <f t="shared" si="156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5"/>
        <v>01,26</v>
      </c>
      <c r="L5449" s="483" t="s">
        <v>28</v>
      </c>
      <c r="M5449" s="483">
        <v>3487.16</v>
      </c>
      <c r="N5449" s="486">
        <v>0.41666666666666669</v>
      </c>
    </row>
    <row r="5450" spans="1:14" ht="19.5" hidden="1" thickBot="1" x14ac:dyDescent="0.3">
      <c r="A5450" s="713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5"/>
        <v>01,26</v>
      </c>
      <c r="L5450" s="527" t="s">
        <v>28</v>
      </c>
      <c r="M5450" s="527">
        <v>2834.28</v>
      </c>
      <c r="N5450" s="530">
        <v>0.41666666666666669</v>
      </c>
    </row>
    <row r="5451" spans="1:14" ht="19.5" hidden="1" thickBot="1" x14ac:dyDescent="0.3">
      <c r="A5451" s="712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5"/>
        <v>01,26</v>
      </c>
      <c r="L5451" s="649" t="s">
        <v>28</v>
      </c>
      <c r="M5451" s="649">
        <v>5481.0800000000008</v>
      </c>
      <c r="N5451" s="653">
        <v>0.41666666666666669</v>
      </c>
    </row>
    <row r="5452" spans="1:14" ht="19.5" hidden="1" thickBot="1" x14ac:dyDescent="0.3">
      <c r="A5452" s="714">
        <f t="shared" si="156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5"/>
        <v>01,26</v>
      </c>
      <c r="L5452" s="535" t="s">
        <v>28</v>
      </c>
      <c r="M5452" s="535">
        <v>7989</v>
      </c>
      <c r="N5452" s="539">
        <v>0.45833333333333331</v>
      </c>
    </row>
    <row r="5453" spans="1:14" ht="19.5" hidden="1" thickBot="1" x14ac:dyDescent="0.3">
      <c r="A5453" s="715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5"/>
        <v>01,26</v>
      </c>
      <c r="L5453" s="640" t="s">
        <v>28</v>
      </c>
      <c r="M5453" s="640">
        <v>3471.84</v>
      </c>
      <c r="N5453" s="644">
        <v>0.45833333333333331</v>
      </c>
    </row>
    <row r="5454" spans="1:14" ht="19.5" hidden="1" thickBot="1" x14ac:dyDescent="0.3">
      <c r="A5454" s="572">
        <f t="shared" si="156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5"/>
        <v>01,26</v>
      </c>
      <c r="L5454" s="577" t="s">
        <v>28</v>
      </c>
      <c r="M5454" s="577">
        <v>9398.4</v>
      </c>
      <c r="N5454" s="581">
        <v>0.5</v>
      </c>
    </row>
    <row r="5455" spans="1:14" ht="19.5" hidden="1" thickBot="1" x14ac:dyDescent="0.3">
      <c r="A5455" s="714">
        <f t="shared" ref="A5455:A5518" si="157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5"/>
        <v>01,26</v>
      </c>
      <c r="L5455" s="535" t="s">
        <v>265</v>
      </c>
      <c r="M5455" s="535">
        <v>15482.119999999999</v>
      </c>
      <c r="N5455" s="539">
        <v>0.39583333333333331</v>
      </c>
    </row>
    <row r="5456" spans="1:14" ht="19.5" hidden="1" thickBot="1" x14ac:dyDescent="0.3">
      <c r="A5456" s="715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5"/>
        <v>01,26</v>
      </c>
      <c r="L5456" s="640" t="s">
        <v>265</v>
      </c>
      <c r="M5456" s="640">
        <v>2253.1</v>
      </c>
      <c r="N5456" s="644">
        <v>0.39583333333333331</v>
      </c>
    </row>
    <row r="5457" spans="1:14" ht="19.5" hidden="1" thickBot="1" x14ac:dyDescent="0.3">
      <c r="A5457" s="513">
        <f t="shared" si="157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5"/>
        <v>01,26</v>
      </c>
      <c r="L5457" s="518" t="s">
        <v>266</v>
      </c>
      <c r="M5457" s="518">
        <v>17997.919999999998</v>
      </c>
      <c r="N5457" s="522">
        <v>0.45833333333333331</v>
      </c>
    </row>
    <row r="5458" spans="1:14" ht="19.5" hidden="1" thickBot="1" x14ac:dyDescent="0.3">
      <c r="A5458" s="503">
        <f t="shared" si="157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5"/>
        <v>01,26</v>
      </c>
      <c r="L5458" s="508" t="s">
        <v>266</v>
      </c>
      <c r="M5458" s="508">
        <v>18154.95</v>
      </c>
      <c r="N5458" s="512">
        <v>0.5</v>
      </c>
    </row>
    <row r="5459" spans="1:14" ht="19.5" hidden="1" thickBot="1" x14ac:dyDescent="0.3">
      <c r="A5459" s="513">
        <f t="shared" si="157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5"/>
        <v>01,26</v>
      </c>
      <c r="L5459" s="518" t="s">
        <v>265</v>
      </c>
      <c r="M5459" s="518">
        <v>17758.97</v>
      </c>
      <c r="N5459" s="522">
        <v>0.375</v>
      </c>
    </row>
    <row r="5460" spans="1:14" ht="19.5" hidden="1" thickBot="1" x14ac:dyDescent="0.3">
      <c r="A5460" s="551">
        <f t="shared" si="157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5"/>
        <v>01,26</v>
      </c>
      <c r="L5460" s="556" t="s">
        <v>265</v>
      </c>
      <c r="M5460" s="556">
        <v>12000.76</v>
      </c>
      <c r="N5460" s="560">
        <v>0.375</v>
      </c>
    </row>
    <row r="5461" spans="1:14" ht="19.5" hidden="1" thickBot="1" x14ac:dyDescent="0.3">
      <c r="A5461" s="513">
        <f t="shared" si="157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5"/>
        <v>01,26</v>
      </c>
      <c r="L5461" s="518" t="s">
        <v>266</v>
      </c>
      <c r="M5461" s="518">
        <v>18168.139999999996</v>
      </c>
      <c r="N5461" s="522">
        <v>0.41666666666666669</v>
      </c>
    </row>
    <row r="5462" spans="1:14" ht="19.5" hidden="1" thickBot="1" x14ac:dyDescent="0.3">
      <c r="A5462" s="503">
        <f t="shared" si="157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5"/>
        <v>01,26</v>
      </c>
      <c r="L5462" s="508" t="s">
        <v>266</v>
      </c>
      <c r="M5462" s="508">
        <v>18299.759999999995</v>
      </c>
      <c r="N5462" s="512">
        <v>0.45833333333333331</v>
      </c>
    </row>
    <row r="5463" spans="1:14" ht="19.5" hidden="1" thickBot="1" x14ac:dyDescent="0.3">
      <c r="A5463" s="513">
        <f t="shared" si="157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5"/>
        <v>01,26</v>
      </c>
      <c r="L5463" s="518" t="s">
        <v>266</v>
      </c>
      <c r="M5463" s="518">
        <v>18175.439999999999</v>
      </c>
      <c r="N5463" s="522">
        <v>0.5</v>
      </c>
    </row>
    <row r="5464" spans="1:14" ht="19.5" hidden="1" thickBot="1" x14ac:dyDescent="0.3">
      <c r="A5464" s="714">
        <f t="shared" si="157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5"/>
        <v>01,26</v>
      </c>
      <c r="L5464" s="535" t="s">
        <v>266</v>
      </c>
      <c r="M5464" s="535">
        <v>9287.3200000000015</v>
      </c>
      <c r="N5464" s="539">
        <v>0.54166666666666663</v>
      </c>
    </row>
    <row r="5465" spans="1:14" ht="19.5" hidden="1" thickBot="1" x14ac:dyDescent="0.3">
      <c r="A5465" s="716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5"/>
        <v>01,26</v>
      </c>
      <c r="L5465" s="567" t="s">
        <v>266</v>
      </c>
      <c r="M5465" s="567">
        <v>4605.9600000000019</v>
      </c>
      <c r="N5465" s="571">
        <v>0.54166666666666663</v>
      </c>
    </row>
    <row r="5466" spans="1:14" ht="19.5" hidden="1" thickBot="1" x14ac:dyDescent="0.3">
      <c r="A5466" s="716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5"/>
        <v>01,26</v>
      </c>
      <c r="L5466" s="594" t="s">
        <v>266</v>
      </c>
      <c r="M5466" s="594">
        <v>3015</v>
      </c>
      <c r="N5466" s="598">
        <v>0.54166666666666663</v>
      </c>
    </row>
    <row r="5467" spans="1:14" ht="19.5" hidden="1" thickBot="1" x14ac:dyDescent="0.3">
      <c r="A5467" s="711">
        <f t="shared" si="157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5"/>
        <v>01,26</v>
      </c>
      <c r="L5467" s="483" t="s">
        <v>265</v>
      </c>
      <c r="M5467" s="483">
        <v>15395.74</v>
      </c>
      <c r="N5467" s="486">
        <v>0.375</v>
      </c>
    </row>
    <row r="5468" spans="1:14" ht="19.5" hidden="1" thickBot="1" x14ac:dyDescent="0.3">
      <c r="A5468" s="712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5"/>
        <v>01,26</v>
      </c>
      <c r="L5468" s="649" t="s">
        <v>265</v>
      </c>
      <c r="M5468" s="649">
        <v>2072.6999999999998</v>
      </c>
      <c r="N5468" s="653">
        <v>0.375</v>
      </c>
    </row>
    <row r="5469" spans="1:14" ht="19.5" hidden="1" thickBot="1" x14ac:dyDescent="0.3">
      <c r="A5469" s="503">
        <f t="shared" si="157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5"/>
        <v>01,26</v>
      </c>
      <c r="L5469" s="508" t="s">
        <v>266</v>
      </c>
      <c r="M5469" s="508">
        <v>12250.32</v>
      </c>
      <c r="N5469" s="512">
        <v>0.41666666666666669</v>
      </c>
    </row>
    <row r="5470" spans="1:14" ht="19.5" hidden="1" thickBot="1" x14ac:dyDescent="0.3">
      <c r="A5470" s="711">
        <f t="shared" si="157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5"/>
        <v>01,26</v>
      </c>
      <c r="L5470" s="483" t="s">
        <v>265</v>
      </c>
      <c r="M5470" s="483">
        <v>17206.269999999997</v>
      </c>
      <c r="N5470" s="486">
        <v>0.375</v>
      </c>
    </row>
    <row r="5471" spans="1:14" ht="38.25" hidden="1" thickBot="1" x14ac:dyDescent="0.3">
      <c r="A5471" s="712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5"/>
        <v>01,26</v>
      </c>
      <c r="L5471" s="649" t="s">
        <v>265</v>
      </c>
      <c r="M5471" s="649">
        <v>444.00000000000006</v>
      </c>
      <c r="N5471" s="653">
        <v>0.375</v>
      </c>
    </row>
    <row r="5472" spans="1:14" ht="19.5" hidden="1" thickBot="1" x14ac:dyDescent="0.3">
      <c r="A5472" s="714">
        <f t="shared" si="157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5"/>
        <v>01,26</v>
      </c>
      <c r="L5472" s="535" t="s">
        <v>28</v>
      </c>
      <c r="M5472" s="535">
        <v>8556.4000000000015</v>
      </c>
      <c r="N5472" s="539">
        <v>0.41666666666666669</v>
      </c>
    </row>
    <row r="5473" spans="1:14" ht="57" hidden="1" thickBot="1" x14ac:dyDescent="0.3">
      <c r="A5473" s="716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5"/>
        <v>01,26</v>
      </c>
      <c r="L5473" s="567" t="s">
        <v>28</v>
      </c>
      <c r="M5473" s="567">
        <v>1312.8</v>
      </c>
      <c r="N5473" s="571">
        <v>0.41666666666666669</v>
      </c>
    </row>
    <row r="5474" spans="1:14" ht="19.5" hidden="1" thickBot="1" x14ac:dyDescent="0.3">
      <c r="A5474" s="715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5"/>
        <v>01,26</v>
      </c>
      <c r="L5474" s="640" t="s">
        <v>28</v>
      </c>
      <c r="M5474" s="640">
        <v>7342.8</v>
      </c>
      <c r="N5474" s="644">
        <v>0.41666666666666669</v>
      </c>
    </row>
    <row r="5475" spans="1:14" ht="19.5" hidden="1" thickBot="1" x14ac:dyDescent="0.3">
      <c r="A5475" s="513">
        <f t="shared" si="157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5"/>
        <v>01,26</v>
      </c>
      <c r="L5475" s="518" t="s">
        <v>265</v>
      </c>
      <c r="M5475" s="518">
        <v>12544.32</v>
      </c>
      <c r="N5475" s="522">
        <v>0.375</v>
      </c>
    </row>
    <row r="5476" spans="1:14" ht="19.5" hidden="1" thickBot="1" x14ac:dyDescent="0.3">
      <c r="A5476" s="714">
        <f t="shared" si="157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5"/>
        <v>01,26</v>
      </c>
      <c r="L5476" s="535" t="s">
        <v>266</v>
      </c>
      <c r="M5476" s="535">
        <v>3627.5400000000004</v>
      </c>
      <c r="N5476" s="539">
        <v>0.45833333333333331</v>
      </c>
    </row>
    <row r="5477" spans="1:14" ht="19.5" hidden="1" thickBot="1" x14ac:dyDescent="0.3">
      <c r="A5477" s="716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5"/>
        <v>01,26</v>
      </c>
      <c r="L5477" s="567" t="s">
        <v>28</v>
      </c>
      <c r="M5477" s="567">
        <v>1229.58</v>
      </c>
      <c r="N5477" s="571">
        <v>0.45833333333333331</v>
      </c>
    </row>
    <row r="5478" spans="1:14" ht="19.5" hidden="1" thickBot="1" x14ac:dyDescent="0.3">
      <c r="A5478" s="715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5"/>
        <v>01,26</v>
      </c>
      <c r="L5478" s="640" t="s">
        <v>28</v>
      </c>
      <c r="M5478" s="640">
        <v>12532.46</v>
      </c>
      <c r="N5478" s="644">
        <v>0.45833333333333331</v>
      </c>
    </row>
    <row r="5479" spans="1:14" ht="19.5" hidden="1" thickBot="1" x14ac:dyDescent="0.3">
      <c r="A5479" s="711">
        <f t="shared" si="157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5"/>
        <v>01,26</v>
      </c>
      <c r="L5479" s="483" t="s">
        <v>28</v>
      </c>
      <c r="M5479" s="483">
        <v>2025</v>
      </c>
      <c r="N5479" s="486">
        <v>0.5</v>
      </c>
    </row>
    <row r="5480" spans="1:14" ht="19.5" hidden="1" thickBot="1" x14ac:dyDescent="0.3">
      <c r="A5480" s="713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5"/>
        <v>01,26</v>
      </c>
      <c r="L5480" s="527" t="s">
        <v>28</v>
      </c>
      <c r="M5480" s="527">
        <v>14188.970000000001</v>
      </c>
      <c r="N5480" s="530">
        <v>0.5</v>
      </c>
    </row>
    <row r="5481" spans="1:14" ht="19.5" hidden="1" thickBot="1" x14ac:dyDescent="0.3">
      <c r="A5481" s="712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5"/>
        <v>01,26</v>
      </c>
      <c r="L5481" s="649" t="s">
        <v>28</v>
      </c>
      <c r="M5481" s="649">
        <v>1197.04</v>
      </c>
      <c r="N5481" s="653">
        <v>0.5</v>
      </c>
    </row>
    <row r="5482" spans="1:14" ht="19.5" hidden="1" thickBot="1" x14ac:dyDescent="0.3">
      <c r="A5482" s="714">
        <f t="shared" si="157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5"/>
        <v>01,26</v>
      </c>
      <c r="L5482" s="535" t="s">
        <v>28</v>
      </c>
      <c r="M5482" s="535">
        <v>4882.13</v>
      </c>
      <c r="N5482" s="539">
        <v>0.54166666666666663</v>
      </c>
    </row>
    <row r="5483" spans="1:14" ht="19.5" hidden="1" thickBot="1" x14ac:dyDescent="0.3">
      <c r="A5483" s="716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5"/>
        <v>01,26</v>
      </c>
      <c r="L5483" s="567" t="s">
        <v>28</v>
      </c>
      <c r="M5483" s="567">
        <v>6505.7999999999993</v>
      </c>
      <c r="N5483" s="571">
        <v>0.54166666666666663</v>
      </c>
    </row>
    <row r="5484" spans="1:14" ht="19.5" hidden="1" thickBot="1" x14ac:dyDescent="0.3">
      <c r="A5484" s="715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5"/>
        <v>01,26</v>
      </c>
      <c r="L5484" s="640" t="s">
        <v>28</v>
      </c>
      <c r="M5484" s="640">
        <v>5985.72</v>
      </c>
      <c r="N5484" s="644">
        <v>0.54166666666666663</v>
      </c>
    </row>
    <row r="5485" spans="1:14" ht="19.5" hidden="1" thickBot="1" x14ac:dyDescent="0.3">
      <c r="A5485" s="711">
        <f t="shared" si="157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5"/>
        <v>01,26</v>
      </c>
      <c r="L5485" s="483" t="s">
        <v>265</v>
      </c>
      <c r="M5485" s="483">
        <v>15389.899999999998</v>
      </c>
      <c r="N5485" s="486">
        <v>0.375</v>
      </c>
    </row>
    <row r="5486" spans="1:14" ht="19.5" hidden="1" thickBot="1" x14ac:dyDescent="0.3">
      <c r="A5486" s="713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5"/>
        <v>01,26</v>
      </c>
      <c r="L5486" s="499" t="s">
        <v>266</v>
      </c>
      <c r="M5486" s="499">
        <v>1975.4999999999998</v>
      </c>
      <c r="N5486" s="502">
        <v>0.375</v>
      </c>
    </row>
    <row r="5487" spans="1:14" ht="19.5" hidden="1" thickBot="1" x14ac:dyDescent="0.3">
      <c r="A5487" s="503">
        <f t="shared" si="157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5"/>
        <v>01,26</v>
      </c>
      <c r="L5487" s="508" t="s">
        <v>28</v>
      </c>
      <c r="M5487" s="508">
        <v>11061.36</v>
      </c>
      <c r="N5487" s="512">
        <v>0.41666666666666669</v>
      </c>
    </row>
    <row r="5488" spans="1:14" ht="19.5" hidden="1" thickBot="1" x14ac:dyDescent="0.3">
      <c r="A5488" s="513">
        <f t="shared" si="157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5"/>
        <v>01,26</v>
      </c>
      <c r="L5488" s="518" t="s">
        <v>265</v>
      </c>
      <c r="M5488" s="518">
        <v>11592.84</v>
      </c>
      <c r="N5488" s="522">
        <v>0.375</v>
      </c>
    </row>
    <row r="5489" spans="1:14" ht="19.5" hidden="1" thickBot="1" x14ac:dyDescent="0.3">
      <c r="A5489" s="714">
        <f t="shared" si="157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717" t="s">
        <v>1206</v>
      </c>
      <c r="H5489" s="535" t="s">
        <v>1205</v>
      </c>
      <c r="I5489" s="537" t="s">
        <v>1205</v>
      </c>
      <c r="J5489" s="538"/>
      <c r="K5489" s="535" t="str">
        <f t="shared" si="155"/>
        <v>01,26</v>
      </c>
      <c r="L5489" s="535" t="s">
        <v>28</v>
      </c>
      <c r="M5489" s="535">
        <v>7185.22</v>
      </c>
      <c r="N5489" s="539">
        <v>0.41666666666666669</v>
      </c>
    </row>
    <row r="5490" spans="1:14" ht="19.5" hidden="1" thickBot="1" x14ac:dyDescent="0.3">
      <c r="A5490" s="715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718"/>
      <c r="H5490" s="640" t="s">
        <v>1205</v>
      </c>
      <c r="I5490" s="642" t="s">
        <v>1205</v>
      </c>
      <c r="J5490" s="643"/>
      <c r="K5490" s="640" t="str">
        <f t="shared" si="155"/>
        <v>01,26</v>
      </c>
      <c r="L5490" s="640" t="s">
        <v>28</v>
      </c>
      <c r="M5490" s="640">
        <v>2242.9000000000005</v>
      </c>
      <c r="N5490" s="644">
        <v>0.41666666666666669</v>
      </c>
    </row>
    <row r="5491" spans="1:14" ht="38.25" hidden="1" thickBot="1" x14ac:dyDescent="0.3">
      <c r="A5491" s="513">
        <f t="shared" si="157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5"/>
        <v>01,26</v>
      </c>
      <c r="L5491" s="518" t="s">
        <v>266</v>
      </c>
      <c r="M5491" s="518">
        <v>14826.3</v>
      </c>
      <c r="N5491" s="522">
        <v>0.45833333333333331</v>
      </c>
    </row>
    <row r="5492" spans="1:14" ht="19.5" hidden="1" thickBot="1" x14ac:dyDescent="0.3">
      <c r="A5492" s="503">
        <f t="shared" si="157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5"/>
        <v>01,26</v>
      </c>
      <c r="L5492" s="508" t="s">
        <v>265</v>
      </c>
      <c r="M5492" s="508">
        <v>17673.060000000001</v>
      </c>
      <c r="N5492" s="512">
        <v>0.375</v>
      </c>
    </row>
    <row r="5493" spans="1:14" ht="19.5" hidden="1" thickBot="1" x14ac:dyDescent="0.3">
      <c r="A5493" s="711">
        <f t="shared" si="157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5"/>
        <v>01,26</v>
      </c>
      <c r="L5493" s="483" t="s">
        <v>28</v>
      </c>
      <c r="M5493" s="483">
        <v>2021.5400000000002</v>
      </c>
      <c r="N5493" s="486">
        <v>0.41666666666666669</v>
      </c>
    </row>
    <row r="5494" spans="1:14" ht="19.5" hidden="1" thickBot="1" x14ac:dyDescent="0.3">
      <c r="A5494" s="713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5"/>
        <v>01,26</v>
      </c>
      <c r="L5494" s="527" t="s">
        <v>28</v>
      </c>
      <c r="M5494" s="527">
        <v>13816.050000000001</v>
      </c>
      <c r="N5494" s="530">
        <v>0.41666666666666669</v>
      </c>
    </row>
    <row r="5495" spans="1:14" ht="19.5" hidden="1" thickBot="1" x14ac:dyDescent="0.3">
      <c r="A5495" s="712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8">RIGHT(I5495,5)</f>
        <v>01,26</v>
      </c>
      <c r="L5495" s="649" t="s">
        <v>28</v>
      </c>
      <c r="M5495" s="649">
        <v>1500</v>
      </c>
      <c r="N5495" s="653">
        <v>0.41666666666666669</v>
      </c>
    </row>
    <row r="5496" spans="1:14" ht="19.5" hidden="1" thickBot="1" x14ac:dyDescent="0.3">
      <c r="A5496" s="503">
        <f t="shared" si="157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8"/>
        <v>01,26</v>
      </c>
      <c r="L5496" s="508" t="s">
        <v>28</v>
      </c>
      <c r="M5496" s="508">
        <v>17211.36</v>
      </c>
      <c r="N5496" s="512">
        <v>0.45833333333333331</v>
      </c>
    </row>
    <row r="5497" spans="1:14" ht="19.5" hidden="1" thickBot="1" x14ac:dyDescent="0.3">
      <c r="A5497" s="711">
        <f t="shared" si="157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8"/>
        <v>01,26</v>
      </c>
      <c r="L5497" s="483" t="s">
        <v>28</v>
      </c>
      <c r="M5497" s="483">
        <v>3358.6800000000003</v>
      </c>
      <c r="N5497" s="486">
        <v>0.41666666666666669</v>
      </c>
    </row>
    <row r="5498" spans="1:14" ht="19.5" hidden="1" thickBot="1" x14ac:dyDescent="0.3">
      <c r="A5498" s="712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8"/>
        <v>01,26</v>
      </c>
      <c r="L5498" s="649" t="s">
        <v>28</v>
      </c>
      <c r="M5498" s="649">
        <v>8727.6</v>
      </c>
      <c r="N5498" s="653">
        <v>0.41666666666666669</v>
      </c>
    </row>
    <row r="5499" spans="1:14" ht="19.5" hidden="1" thickBot="1" x14ac:dyDescent="0.3">
      <c r="A5499" s="714">
        <f t="shared" si="157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8"/>
        <v>01,26</v>
      </c>
      <c r="L5499" s="535" t="s">
        <v>28</v>
      </c>
      <c r="M5499" s="535">
        <v>1491.6</v>
      </c>
      <c r="N5499" s="539">
        <v>0.45833333333333331</v>
      </c>
    </row>
    <row r="5500" spans="1:14" ht="19.5" hidden="1" thickBot="1" x14ac:dyDescent="0.3">
      <c r="A5500" s="715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8"/>
        <v>01,26</v>
      </c>
      <c r="L5500" s="640" t="s">
        <v>28</v>
      </c>
      <c r="M5500" s="640">
        <v>8926.84</v>
      </c>
      <c r="N5500" s="644">
        <v>0.45833333333333331</v>
      </c>
    </row>
    <row r="5501" spans="1:14" ht="19.5" hidden="1" thickBot="1" x14ac:dyDescent="0.3">
      <c r="A5501" s="711">
        <f t="shared" si="157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8"/>
        <v>01,26</v>
      </c>
      <c r="L5501" s="483" t="s">
        <v>28</v>
      </c>
      <c r="M5501" s="483">
        <v>4416.8</v>
      </c>
      <c r="N5501" s="486">
        <v>0.5</v>
      </c>
    </row>
    <row r="5502" spans="1:14" ht="19.5" hidden="1" thickBot="1" x14ac:dyDescent="0.3">
      <c r="A5502" s="712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8"/>
        <v>01,26</v>
      </c>
      <c r="L5502" s="649" t="s">
        <v>28</v>
      </c>
      <c r="M5502" s="649">
        <v>6702.72</v>
      </c>
      <c r="N5502" s="653">
        <v>0.5</v>
      </c>
    </row>
    <row r="5503" spans="1:14" ht="19.5" hidden="1" thickBot="1" x14ac:dyDescent="0.3">
      <c r="A5503" s="551">
        <f t="shared" si="157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8"/>
        <v>01,26</v>
      </c>
      <c r="L5503" s="556" t="s">
        <v>266</v>
      </c>
      <c r="M5503" s="556">
        <v>18062.420000000002</v>
      </c>
      <c r="N5503" s="560">
        <v>0.5</v>
      </c>
    </row>
    <row r="5504" spans="1:14" ht="19.5" hidden="1" thickBot="1" x14ac:dyDescent="0.3">
      <c r="A5504" s="711">
        <f t="shared" si="157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720" t="s">
        <v>1209</v>
      </c>
      <c r="H5504" s="483" t="s">
        <v>1208</v>
      </c>
      <c r="I5504" s="484" t="s">
        <v>1211</v>
      </c>
      <c r="J5504" s="485"/>
      <c r="K5504" s="483" t="str">
        <f t="shared" si="158"/>
        <v>01,26</v>
      </c>
      <c r="L5504" s="483" t="s">
        <v>28</v>
      </c>
      <c r="M5504" s="483">
        <v>5632.6200000000008</v>
      </c>
      <c r="N5504" s="486">
        <v>0.41666666666666669</v>
      </c>
    </row>
    <row r="5505" spans="1:14" ht="19.5" hidden="1" thickBot="1" x14ac:dyDescent="0.3">
      <c r="A5505" s="712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721"/>
      <c r="H5505" s="649" t="s">
        <v>1208</v>
      </c>
      <c r="I5505" s="651" t="s">
        <v>1211</v>
      </c>
      <c r="J5505" s="652"/>
      <c r="K5505" s="649" t="str">
        <f t="shared" si="158"/>
        <v>01,26</v>
      </c>
      <c r="L5505" s="649" t="s">
        <v>28</v>
      </c>
      <c r="M5505" s="649">
        <v>4526.7000000000007</v>
      </c>
      <c r="N5505" s="653">
        <v>0.41666666666666669</v>
      </c>
    </row>
    <row r="5506" spans="1:14" ht="38.25" hidden="1" thickBot="1" x14ac:dyDescent="0.3">
      <c r="A5506" s="503">
        <f t="shared" si="157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8"/>
        <v>01,26</v>
      </c>
      <c r="L5506" s="508" t="s">
        <v>266</v>
      </c>
      <c r="M5506" s="508">
        <v>14519.400000000001</v>
      </c>
      <c r="N5506" s="512">
        <v>0.45833333333333331</v>
      </c>
    </row>
    <row r="5507" spans="1:14" ht="19.5" hidden="1" thickBot="1" x14ac:dyDescent="0.3">
      <c r="A5507" s="711">
        <f t="shared" si="157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8"/>
        <v>01,26</v>
      </c>
      <c r="L5507" s="483" t="s">
        <v>266</v>
      </c>
      <c r="M5507" s="483">
        <v>11804.050000000001</v>
      </c>
      <c r="N5507" s="486">
        <v>0.5</v>
      </c>
    </row>
    <row r="5508" spans="1:14" ht="19.5" hidden="1" thickBot="1" x14ac:dyDescent="0.3">
      <c r="A5508" s="712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8"/>
        <v>01,26</v>
      </c>
      <c r="L5508" s="649" t="s">
        <v>266</v>
      </c>
      <c r="M5508" s="649">
        <v>2330.9300000000003</v>
      </c>
      <c r="N5508" s="653">
        <v>0.5</v>
      </c>
    </row>
    <row r="5509" spans="1:14" ht="19.5" hidden="1" thickBot="1" x14ac:dyDescent="0.3">
      <c r="A5509" s="503">
        <f t="shared" si="157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8"/>
        <v>01,26</v>
      </c>
      <c r="L5509" s="508" t="s">
        <v>266</v>
      </c>
      <c r="M5509" s="508">
        <v>17914.5</v>
      </c>
      <c r="N5509" s="512">
        <v>0.41666666666666669</v>
      </c>
    </row>
    <row r="5510" spans="1:14" ht="19.5" hidden="1" thickBot="1" x14ac:dyDescent="0.3">
      <c r="A5510" s="572">
        <f t="shared" si="157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8"/>
        <v>01,26</v>
      </c>
      <c r="L5510" s="577" t="s">
        <v>266</v>
      </c>
      <c r="M5510" s="577">
        <v>18033.170000000002</v>
      </c>
      <c r="N5510" s="581">
        <v>0.45833333333333331</v>
      </c>
    </row>
    <row r="5511" spans="1:14" ht="19.5" hidden="1" thickBot="1" x14ac:dyDescent="0.3">
      <c r="A5511" s="714">
        <f t="shared" si="157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8"/>
        <v>01,26</v>
      </c>
      <c r="L5511" s="535" t="s">
        <v>265</v>
      </c>
      <c r="M5511" s="535">
        <v>11332.949999999997</v>
      </c>
      <c r="N5511" s="539">
        <v>0.375</v>
      </c>
    </row>
    <row r="5512" spans="1:14" ht="19.5" hidden="1" thickBot="1" x14ac:dyDescent="0.3">
      <c r="A5512" s="715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8"/>
        <v>01,26</v>
      </c>
      <c r="L5512" s="640" t="s">
        <v>265</v>
      </c>
      <c r="M5512" s="640">
        <v>5843.7</v>
      </c>
      <c r="N5512" s="644">
        <v>0.375</v>
      </c>
    </row>
    <row r="5513" spans="1:14" ht="19.5" hidden="1" thickBot="1" x14ac:dyDescent="0.3">
      <c r="A5513" s="711">
        <f t="shared" si="157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8"/>
        <v>01,26</v>
      </c>
      <c r="L5513" s="483" t="s">
        <v>266</v>
      </c>
      <c r="M5513" s="483">
        <v>13280.520000000002</v>
      </c>
      <c r="N5513" s="486">
        <v>0.41666666666666669</v>
      </c>
    </row>
    <row r="5514" spans="1:14" ht="19.5" hidden="1" thickBot="1" x14ac:dyDescent="0.3">
      <c r="A5514" s="712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8"/>
        <v>01,26</v>
      </c>
      <c r="L5514" s="649" t="s">
        <v>266</v>
      </c>
      <c r="M5514" s="649">
        <v>3909.85</v>
      </c>
      <c r="N5514" s="653">
        <v>0.41666666666666669</v>
      </c>
    </row>
    <row r="5515" spans="1:14" ht="19.5" hidden="1" thickBot="1" x14ac:dyDescent="0.3">
      <c r="A5515" s="714">
        <f t="shared" si="157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717" t="s">
        <v>467</v>
      </c>
      <c r="H5515" s="535" t="s">
        <v>1212</v>
      </c>
      <c r="I5515" s="537" t="s">
        <v>1213</v>
      </c>
      <c r="J5515" s="538"/>
      <c r="K5515" s="535" t="str">
        <f t="shared" si="158"/>
        <v>01,26</v>
      </c>
      <c r="L5515" s="535" t="s">
        <v>266</v>
      </c>
      <c r="M5515" s="535">
        <v>4138.5599999999995</v>
      </c>
      <c r="N5515" s="539">
        <v>0.45833333333333331</v>
      </c>
    </row>
    <row r="5516" spans="1:14" ht="19.5" hidden="1" thickBot="1" x14ac:dyDescent="0.3">
      <c r="A5516" s="715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718"/>
      <c r="H5516" s="640" t="s">
        <v>1212</v>
      </c>
      <c r="I5516" s="642" t="s">
        <v>1213</v>
      </c>
      <c r="J5516" s="643"/>
      <c r="K5516" s="640" t="str">
        <f t="shared" si="158"/>
        <v>01,26</v>
      </c>
      <c r="L5516" s="640" t="s">
        <v>266</v>
      </c>
      <c r="M5516" s="640">
        <v>3564.8</v>
      </c>
      <c r="N5516" s="644">
        <v>0.45833333333333331</v>
      </c>
    </row>
    <row r="5517" spans="1:14" ht="19.5" hidden="1" thickBot="1" x14ac:dyDescent="0.3">
      <c r="A5517" s="513">
        <f t="shared" si="157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8"/>
        <v>01,26</v>
      </c>
      <c r="L5517" s="518" t="s">
        <v>265</v>
      </c>
      <c r="M5517" s="518">
        <v>17705.539999999997</v>
      </c>
      <c r="N5517" s="522">
        <v>0.375</v>
      </c>
    </row>
    <row r="5518" spans="1:14" ht="19.5" hidden="1" thickBot="1" x14ac:dyDescent="0.3">
      <c r="A5518" s="714">
        <f t="shared" si="157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8"/>
        <v>01,26</v>
      </c>
      <c r="L5518" s="535" t="s">
        <v>28</v>
      </c>
      <c r="M5518" s="535">
        <v>1493.7000000000003</v>
      </c>
      <c r="N5518" s="539">
        <v>0.41666666666666669</v>
      </c>
    </row>
    <row r="5519" spans="1:14" ht="19.5" hidden="1" thickBot="1" x14ac:dyDescent="0.3">
      <c r="A5519" s="716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8"/>
        <v>01,26</v>
      </c>
      <c r="L5519" s="567" t="s">
        <v>28</v>
      </c>
      <c r="M5519" s="567">
        <v>1568.2799999999997</v>
      </c>
      <c r="N5519" s="571">
        <v>0.41666666666666669</v>
      </c>
    </row>
    <row r="5520" spans="1:14" ht="57" hidden="1" thickBot="1" x14ac:dyDescent="0.3">
      <c r="A5520" s="716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8"/>
        <v>01,26</v>
      </c>
      <c r="L5520" s="567" t="s">
        <v>28</v>
      </c>
      <c r="M5520" s="567">
        <v>1362.24</v>
      </c>
      <c r="N5520" s="571">
        <v>0.41666666666666669</v>
      </c>
    </row>
    <row r="5521" spans="1:14" ht="19.5" hidden="1" thickBot="1" x14ac:dyDescent="0.3">
      <c r="A5521" s="716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8"/>
        <v>01,26</v>
      </c>
      <c r="L5521" s="567" t="s">
        <v>28</v>
      </c>
      <c r="M5521" s="567">
        <v>5167.7199999999993</v>
      </c>
      <c r="N5521" s="571">
        <v>0.41666666666666669</v>
      </c>
    </row>
    <row r="5522" spans="1:14" ht="19.5" hidden="1" thickBot="1" x14ac:dyDescent="0.3">
      <c r="A5522" s="715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8"/>
        <v>01,26</v>
      </c>
      <c r="L5522" s="640" t="s">
        <v>28</v>
      </c>
      <c r="M5522" s="640">
        <v>8351.7200000000012</v>
      </c>
      <c r="N5522" s="644">
        <v>0.41666666666666669</v>
      </c>
    </row>
    <row r="5523" spans="1:14" ht="19.5" hidden="1" thickBot="1" x14ac:dyDescent="0.3">
      <c r="A5523" s="711">
        <f t="shared" ref="A5523:A5584" si="159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8"/>
        <v>01,26</v>
      </c>
      <c r="L5523" s="483" t="s">
        <v>28</v>
      </c>
      <c r="M5523" s="483">
        <v>4936.93</v>
      </c>
      <c r="N5523" s="486">
        <v>0.45833333333333331</v>
      </c>
    </row>
    <row r="5524" spans="1:14" ht="19.5" hidden="1" thickBot="1" x14ac:dyDescent="0.3">
      <c r="A5524" s="713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8"/>
        <v>01,26</v>
      </c>
      <c r="L5524" s="527" t="s">
        <v>28</v>
      </c>
      <c r="M5524" s="527">
        <v>2166.0299999999997</v>
      </c>
      <c r="N5524" s="530">
        <v>0.45833333333333331</v>
      </c>
    </row>
    <row r="5525" spans="1:14" ht="19.5" hidden="1" thickBot="1" x14ac:dyDescent="0.3">
      <c r="A5525" s="712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8"/>
        <v>01,26</v>
      </c>
      <c r="L5525" s="649" t="s">
        <v>28</v>
      </c>
      <c r="M5525" s="649">
        <v>10466.16</v>
      </c>
      <c r="N5525" s="653">
        <v>0.45833333333333331</v>
      </c>
    </row>
    <row r="5526" spans="1:14" ht="19.5" hidden="1" thickBot="1" x14ac:dyDescent="0.3">
      <c r="A5526" s="503">
        <f t="shared" si="159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8"/>
        <v>01,26</v>
      </c>
      <c r="L5526" s="508" t="s">
        <v>265</v>
      </c>
      <c r="M5526" s="508">
        <v>12140.16</v>
      </c>
      <c r="N5526" s="512">
        <v>0.375</v>
      </c>
    </row>
    <row r="5527" spans="1:14" ht="19.5" hidden="1" thickBot="1" x14ac:dyDescent="0.3">
      <c r="A5527" s="711">
        <f t="shared" si="159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8"/>
        <v>01,26</v>
      </c>
      <c r="L5527" s="483" t="s">
        <v>265</v>
      </c>
      <c r="M5527" s="483">
        <v>15180.859999999999</v>
      </c>
      <c r="N5527" s="486">
        <v>0.375</v>
      </c>
    </row>
    <row r="5528" spans="1:14" ht="19.5" hidden="1" thickBot="1" x14ac:dyDescent="0.3">
      <c r="A5528" s="713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8"/>
        <v>01,26</v>
      </c>
      <c r="L5528" s="499" t="s">
        <v>266</v>
      </c>
      <c r="M5528" s="499">
        <v>2377.9199999999996</v>
      </c>
      <c r="N5528" s="502">
        <v>0.375</v>
      </c>
    </row>
    <row r="5529" spans="1:14" ht="19.5" hidden="1" thickBot="1" x14ac:dyDescent="0.3">
      <c r="A5529" s="503">
        <f t="shared" si="159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8"/>
        <v>01,26</v>
      </c>
      <c r="L5529" s="508" t="s">
        <v>265</v>
      </c>
      <c r="M5529" s="508">
        <v>13880.28</v>
      </c>
      <c r="N5529" s="512">
        <v>0.375</v>
      </c>
    </row>
    <row r="5530" spans="1:14" ht="19.5" hidden="1" thickBot="1" x14ac:dyDescent="0.3">
      <c r="A5530" s="513">
        <f t="shared" si="159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8"/>
        <v>01,26</v>
      </c>
      <c r="L5530" s="518" t="s">
        <v>28</v>
      </c>
      <c r="M5530" s="518">
        <v>9602.64</v>
      </c>
      <c r="N5530" s="522">
        <v>0.41666666666666669</v>
      </c>
    </row>
    <row r="5531" spans="1:14" ht="19.5" hidden="1" thickBot="1" x14ac:dyDescent="0.3">
      <c r="A5531" s="714">
        <f t="shared" si="159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717" t="s">
        <v>1152</v>
      </c>
      <c r="H5531" s="535" t="s">
        <v>1214</v>
      </c>
      <c r="I5531" s="537" t="s">
        <v>1214</v>
      </c>
      <c r="J5531" s="538"/>
      <c r="K5531" s="535" t="str">
        <f t="shared" si="158"/>
        <v>01,26</v>
      </c>
      <c r="L5531" s="535" t="s">
        <v>28</v>
      </c>
      <c r="M5531" s="535">
        <v>6405.5300000000007</v>
      </c>
      <c r="N5531" s="539">
        <v>0.41666666666666669</v>
      </c>
    </row>
    <row r="5532" spans="1:14" ht="19.5" hidden="1" thickBot="1" x14ac:dyDescent="0.3">
      <c r="A5532" s="715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718"/>
      <c r="H5532" s="640" t="s">
        <v>1214</v>
      </c>
      <c r="I5532" s="642" t="s">
        <v>1214</v>
      </c>
      <c r="J5532" s="643"/>
      <c r="K5532" s="640" t="str">
        <f t="shared" si="158"/>
        <v>01,26</v>
      </c>
      <c r="L5532" s="640" t="s">
        <v>28</v>
      </c>
      <c r="M5532" s="640">
        <v>7049</v>
      </c>
      <c r="N5532" s="644">
        <v>0.41666666666666669</v>
      </c>
    </row>
    <row r="5533" spans="1:14" ht="19.5" hidden="1" thickBot="1" x14ac:dyDescent="0.3">
      <c r="A5533" s="513">
        <f t="shared" si="159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8"/>
        <v>01,26</v>
      </c>
      <c r="L5533" s="518" t="s">
        <v>265</v>
      </c>
      <c r="M5533" s="518">
        <v>17714.829999999998</v>
      </c>
      <c r="N5533" s="522">
        <v>0.375</v>
      </c>
    </row>
    <row r="5534" spans="1:14" ht="19.5" hidden="1" thickBot="1" x14ac:dyDescent="0.3">
      <c r="A5534" s="714">
        <f t="shared" si="159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717" t="s">
        <v>1217</v>
      </c>
      <c r="H5534" s="535" t="s">
        <v>1215</v>
      </c>
      <c r="I5534" s="537" t="s">
        <v>1216</v>
      </c>
      <c r="J5534" s="538"/>
      <c r="K5534" s="535" t="str">
        <f t="shared" si="158"/>
        <v>01,26</v>
      </c>
      <c r="L5534" s="535" t="s">
        <v>28</v>
      </c>
      <c r="M5534" s="535">
        <v>3575.6900000000005</v>
      </c>
      <c r="N5534" s="539">
        <v>0.41666666666666669</v>
      </c>
    </row>
    <row r="5535" spans="1:14" ht="19.5" hidden="1" thickBot="1" x14ac:dyDescent="0.3">
      <c r="A5535" s="716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719"/>
      <c r="H5535" s="567" t="s">
        <v>1215</v>
      </c>
      <c r="I5535" s="569" t="s">
        <v>1216</v>
      </c>
      <c r="J5535" s="677" t="s">
        <v>644</v>
      </c>
      <c r="K5535" s="567" t="str">
        <f t="shared" si="158"/>
        <v>01,26</v>
      </c>
      <c r="L5535" s="567" t="s">
        <v>28</v>
      </c>
      <c r="M5535" s="567">
        <v>17.760000000000002</v>
      </c>
      <c r="N5535" s="571">
        <v>0.41666666666666669</v>
      </c>
    </row>
    <row r="5536" spans="1:14" ht="19.5" hidden="1" thickBot="1" x14ac:dyDescent="0.3">
      <c r="A5536" s="716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719"/>
      <c r="H5536" s="567" t="s">
        <v>1215</v>
      </c>
      <c r="I5536" s="569" t="s">
        <v>1216</v>
      </c>
      <c r="J5536" s="570"/>
      <c r="K5536" s="567" t="str">
        <f t="shared" si="158"/>
        <v>01,26</v>
      </c>
      <c r="L5536" s="567" t="s">
        <v>28</v>
      </c>
      <c r="M5536" s="567">
        <v>2990.49</v>
      </c>
      <c r="N5536" s="571">
        <v>0.41666666666666669</v>
      </c>
    </row>
    <row r="5537" spans="1:14" ht="19.5" hidden="1" thickBot="1" x14ac:dyDescent="0.3">
      <c r="A5537" s="716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719"/>
      <c r="H5537" s="567" t="s">
        <v>1215</v>
      </c>
      <c r="I5537" s="569" t="s">
        <v>1216</v>
      </c>
      <c r="J5537" s="677" t="s">
        <v>644</v>
      </c>
      <c r="K5537" s="567" t="str">
        <f t="shared" si="158"/>
        <v>01,26</v>
      </c>
      <c r="L5537" s="567" t="s">
        <v>28</v>
      </c>
      <c r="M5537" s="567">
        <v>28.860000000000003</v>
      </c>
      <c r="N5537" s="571">
        <v>0.41666666666666669</v>
      </c>
    </row>
    <row r="5538" spans="1:14" ht="19.5" hidden="1" thickBot="1" x14ac:dyDescent="0.3">
      <c r="A5538" s="715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718"/>
      <c r="H5538" s="640" t="s">
        <v>1215</v>
      </c>
      <c r="I5538" s="642" t="s">
        <v>1216</v>
      </c>
      <c r="J5538" s="643"/>
      <c r="K5538" s="640" t="str">
        <f t="shared" si="158"/>
        <v>01,26</v>
      </c>
      <c r="L5538" s="640" t="s">
        <v>28</v>
      </c>
      <c r="M5538" s="640">
        <v>9196.8599999999988</v>
      </c>
      <c r="N5538" s="644">
        <v>0.41666666666666669</v>
      </c>
    </row>
    <row r="5539" spans="1:14" ht="19.5" hidden="1" thickBot="1" x14ac:dyDescent="0.3">
      <c r="A5539" s="711">
        <f t="shared" si="159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8"/>
        <v>01,26</v>
      </c>
      <c r="L5539" s="483" t="s">
        <v>266</v>
      </c>
      <c r="M5539" s="483">
        <v>13939.980000000001</v>
      </c>
      <c r="N5539" s="486">
        <v>0.45833333333333331</v>
      </c>
    </row>
    <row r="5540" spans="1:14" ht="19.5" hidden="1" thickBot="1" x14ac:dyDescent="0.3">
      <c r="A5540" s="713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8"/>
        <v>01,26</v>
      </c>
      <c r="L5540" s="527" t="s">
        <v>28</v>
      </c>
      <c r="M5540" s="527">
        <v>3493.17</v>
      </c>
      <c r="N5540" s="530">
        <v>0.45833333333333331</v>
      </c>
    </row>
    <row r="5541" spans="1:14" ht="19.5" hidden="1" thickBot="1" x14ac:dyDescent="0.3">
      <c r="A5541" s="712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8"/>
        <v>01,26</v>
      </c>
      <c r="L5541" s="649" t="s">
        <v>28</v>
      </c>
      <c r="M5541" s="649">
        <v>44.400000000000006</v>
      </c>
      <c r="N5541" s="653">
        <v>0.45833333333333331</v>
      </c>
    </row>
    <row r="5542" spans="1:14" ht="19.5" hidden="1" thickBot="1" x14ac:dyDescent="0.3">
      <c r="A5542" s="714">
        <f t="shared" si="159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8"/>
        <v>01,26</v>
      </c>
      <c r="L5542" s="535" t="s">
        <v>266</v>
      </c>
      <c r="M5542" s="535">
        <v>7347.9</v>
      </c>
      <c r="N5542" s="539">
        <v>0.5</v>
      </c>
    </row>
    <row r="5543" spans="1:14" ht="19.5" hidden="1" thickBot="1" x14ac:dyDescent="0.3">
      <c r="A5543" s="716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8"/>
        <v>01,26</v>
      </c>
      <c r="L5543" s="567" t="s">
        <v>28</v>
      </c>
      <c r="M5543" s="567">
        <v>5437.0800000000008</v>
      </c>
      <c r="N5543" s="571">
        <v>0.5</v>
      </c>
    </row>
    <row r="5544" spans="1:14" ht="19.5" hidden="1" thickBot="1" x14ac:dyDescent="0.3">
      <c r="A5544" s="716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8"/>
        <v>01,26</v>
      </c>
      <c r="L5544" s="567" t="s">
        <v>28</v>
      </c>
      <c r="M5544" s="567">
        <v>44.400000000000006</v>
      </c>
      <c r="N5544" s="571">
        <v>0.5</v>
      </c>
    </row>
    <row r="5545" spans="1:14" ht="19.5" hidden="1" thickBot="1" x14ac:dyDescent="0.3">
      <c r="A5545" s="716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8"/>
        <v>01,26</v>
      </c>
      <c r="L5545" s="567" t="s">
        <v>28</v>
      </c>
      <c r="M5545" s="567">
        <v>2440.92</v>
      </c>
      <c r="N5545" s="571">
        <v>0.5</v>
      </c>
    </row>
    <row r="5546" spans="1:14" ht="19.5" hidden="1" thickBot="1" x14ac:dyDescent="0.3">
      <c r="A5546" s="715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8"/>
        <v>01,26</v>
      </c>
      <c r="L5546" s="640" t="s">
        <v>28</v>
      </c>
      <c r="M5546" s="640">
        <v>1938.3600000000001</v>
      </c>
      <c r="N5546" s="644">
        <v>0.5</v>
      </c>
    </row>
    <row r="5547" spans="1:14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8"/>
        <v>01,26</v>
      </c>
      <c r="L5547" s="518" t="s">
        <v>266</v>
      </c>
      <c r="M5547" s="518">
        <v>17037.8</v>
      </c>
      <c r="N5547" s="522">
        <v>0.33333333333333331</v>
      </c>
    </row>
    <row r="5548" spans="1:14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8"/>
        <v>01,26</v>
      </c>
      <c r="L5548" s="508" t="s">
        <v>265</v>
      </c>
      <c r="M5548" s="508">
        <v>17721.960000000003</v>
      </c>
      <c r="N5548" s="512">
        <v>0.375</v>
      </c>
    </row>
    <row r="5549" spans="1:14" ht="27.75" hidden="1" customHeight="1" x14ac:dyDescent="0.25">
      <c r="A5549" s="711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720" t="s">
        <v>1218</v>
      </c>
      <c r="H5549" s="483" t="s">
        <v>1215</v>
      </c>
      <c r="I5549" s="484" t="s">
        <v>1215</v>
      </c>
      <c r="J5549" s="485"/>
      <c r="K5549" s="483" t="str">
        <f t="shared" si="158"/>
        <v>01,26</v>
      </c>
      <c r="L5549" s="483" t="s">
        <v>28</v>
      </c>
      <c r="M5549" s="483">
        <v>7957.7999999999993</v>
      </c>
      <c r="N5549" s="486">
        <v>0.41666666666666669</v>
      </c>
    </row>
    <row r="5550" spans="1:14" ht="27.75" hidden="1" customHeight="1" thickBot="1" x14ac:dyDescent="0.3">
      <c r="A5550" s="712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721"/>
      <c r="H5550" s="649" t="s">
        <v>1215</v>
      </c>
      <c r="I5550" s="651" t="s">
        <v>1215</v>
      </c>
      <c r="J5550" s="652"/>
      <c r="K5550" s="649" t="str">
        <f t="shared" si="158"/>
        <v>01,26</v>
      </c>
      <c r="L5550" s="649" t="s">
        <v>28</v>
      </c>
      <c r="M5550" s="649">
        <v>1628.16</v>
      </c>
      <c r="N5550" s="653">
        <v>0.41666666666666669</v>
      </c>
    </row>
    <row r="5551" spans="1:14" ht="19.5" hidden="1" thickBot="1" x14ac:dyDescent="0.3">
      <c r="A5551" s="714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8"/>
        <v>01,26</v>
      </c>
      <c r="L5551" s="535" t="s">
        <v>28</v>
      </c>
      <c r="M5551" s="535">
        <v>7814.4400000000014</v>
      </c>
      <c r="N5551" s="539">
        <v>0.45833333333333331</v>
      </c>
    </row>
    <row r="5552" spans="1:14" ht="19.5" hidden="1" thickBot="1" x14ac:dyDescent="0.3">
      <c r="A5552" s="715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8"/>
        <v>01,26</v>
      </c>
      <c r="L5552" s="640" t="s">
        <v>28</v>
      </c>
      <c r="M5552" s="640">
        <v>5664.4800000000005</v>
      </c>
      <c r="N5552" s="644">
        <v>0.45833333333333331</v>
      </c>
    </row>
    <row r="5553" spans="1:14" ht="19.5" hidden="1" thickBot="1" x14ac:dyDescent="0.3">
      <c r="A5553" s="711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8"/>
        <v>01,26</v>
      </c>
      <c r="L5553" s="483" t="s">
        <v>28</v>
      </c>
      <c r="M5553" s="483">
        <v>4014.96</v>
      </c>
      <c r="N5553" s="486">
        <v>0.5</v>
      </c>
    </row>
    <row r="5554" spans="1:14" ht="19.5" hidden="1" thickBot="1" x14ac:dyDescent="0.3">
      <c r="A5554" s="713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8"/>
        <v>01,26</v>
      </c>
      <c r="L5554" s="527" t="s">
        <v>28</v>
      </c>
      <c r="M5554" s="527">
        <v>4923.2</v>
      </c>
      <c r="N5554" s="530">
        <v>0.5</v>
      </c>
    </row>
    <row r="5555" spans="1:14" ht="19.5" hidden="1" thickBot="1" x14ac:dyDescent="0.3">
      <c r="A5555" s="712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8"/>
        <v>01,26</v>
      </c>
      <c r="L5555" s="649" t="s">
        <v>28</v>
      </c>
      <c r="M5555" s="649">
        <v>4802.6799999999994</v>
      </c>
      <c r="N5555" s="653">
        <v>0.5</v>
      </c>
    </row>
    <row r="5556" spans="1:14" ht="19.5" hidden="1" thickBot="1" x14ac:dyDescent="0.3">
      <c r="A5556" s="503">
        <f t="shared" ref="A5556:A5561" si="160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8"/>
        <v>01,26</v>
      </c>
      <c r="L5556" s="508" t="s">
        <v>28</v>
      </c>
      <c r="M5556" s="508">
        <v>8870.64</v>
      </c>
      <c r="N5556" s="512">
        <v>0.54166666666666663</v>
      </c>
    </row>
    <row r="5557" spans="1:14" ht="19.5" hidden="1" thickBot="1" x14ac:dyDescent="0.3">
      <c r="A5557" s="513">
        <f t="shared" si="160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8"/>
        <v>01,26</v>
      </c>
      <c r="L5557" s="518" t="s">
        <v>266</v>
      </c>
      <c r="M5557" s="518">
        <v>18148.900000000001</v>
      </c>
      <c r="N5557" s="522">
        <v>0.41666666666666669</v>
      </c>
    </row>
    <row r="5558" spans="1:14" ht="38.25" hidden="1" thickBot="1" x14ac:dyDescent="0.3">
      <c r="A5558" s="551">
        <f t="shared" si="160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8"/>
        <v>01,26</v>
      </c>
      <c r="L5558" s="556" t="s">
        <v>266</v>
      </c>
      <c r="M5558" s="556">
        <v>17421.900000000001</v>
      </c>
      <c r="N5558" s="560">
        <v>0.41666666666666669</v>
      </c>
    </row>
    <row r="5559" spans="1:14" ht="19.5" hidden="1" thickBot="1" x14ac:dyDescent="0.3">
      <c r="A5559" s="513">
        <f t="shared" si="160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576" si="161">RIGHT(I5559,5)</f>
        <v>01,26</v>
      </c>
      <c r="L5559" s="518" t="s">
        <v>266</v>
      </c>
      <c r="M5559" s="518">
        <v>18067.14</v>
      </c>
      <c r="N5559" s="522">
        <v>0.41666666666666669</v>
      </c>
    </row>
    <row r="5560" spans="1:14" ht="19.5" hidden="1" thickBot="1" x14ac:dyDescent="0.3">
      <c r="A5560" s="503">
        <f t="shared" si="160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1"/>
        <v>01,26</v>
      </c>
      <c r="L5560" s="508" t="s">
        <v>266</v>
      </c>
      <c r="M5560" s="508">
        <v>17970.34</v>
      </c>
      <c r="N5560" s="512">
        <v>0.45833333333333331</v>
      </c>
    </row>
    <row r="5561" spans="1:14" ht="19.5" hidden="1" thickBot="1" x14ac:dyDescent="0.3">
      <c r="A5561" s="711">
        <f t="shared" si="160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1"/>
        <v>01,26</v>
      </c>
      <c r="L5561" s="483" t="s">
        <v>266</v>
      </c>
      <c r="M5561" s="483">
        <v>10775.11</v>
      </c>
      <c r="N5561" s="486">
        <v>0.5</v>
      </c>
    </row>
    <row r="5562" spans="1:14" ht="19.5" hidden="1" thickBot="1" x14ac:dyDescent="0.3">
      <c r="A5562" s="712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1"/>
        <v>01,26</v>
      </c>
      <c r="L5562" s="649" t="s">
        <v>266</v>
      </c>
      <c r="M5562" s="649">
        <v>6525</v>
      </c>
      <c r="N5562" s="653">
        <v>0.5</v>
      </c>
    </row>
    <row r="5563" spans="1:14" ht="19.5" hidden="1" thickBot="1" x14ac:dyDescent="0.3">
      <c r="A5563" s="551">
        <f t="shared" si="159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1"/>
        <v>01,26</v>
      </c>
      <c r="L5563" s="556" t="s">
        <v>266</v>
      </c>
      <c r="M5563" s="556">
        <v>10156.560000000001</v>
      </c>
      <c r="N5563" s="560">
        <v>0.54166666666666663</v>
      </c>
    </row>
    <row r="5564" spans="1:14" ht="19.5" hidden="1" thickBot="1" x14ac:dyDescent="0.3">
      <c r="A5564" s="711">
        <f t="shared" si="159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1"/>
        <v>01,26</v>
      </c>
      <c r="L5564" s="483" t="s">
        <v>265</v>
      </c>
      <c r="M5564" s="483">
        <v>11200.539999999999</v>
      </c>
      <c r="N5564" s="486">
        <v>0.375</v>
      </c>
    </row>
    <row r="5565" spans="1:14" ht="19.5" hidden="1" thickBot="1" x14ac:dyDescent="0.3">
      <c r="A5565" s="712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1"/>
        <v>01,26</v>
      </c>
      <c r="L5565" s="649" t="s">
        <v>265</v>
      </c>
      <c r="M5565" s="649">
        <v>6001.119999999999</v>
      </c>
      <c r="N5565" s="653">
        <v>0.375</v>
      </c>
    </row>
    <row r="5566" spans="1:14" ht="19.5" hidden="1" thickBot="1" x14ac:dyDescent="0.3">
      <c r="A5566" s="503">
        <f t="shared" si="159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1"/>
        <v>01,26</v>
      </c>
      <c r="L5566" s="508" t="s">
        <v>265</v>
      </c>
      <c r="M5566" s="508">
        <v>17696.570000000003</v>
      </c>
      <c r="N5566" s="512">
        <v>0.41666666666666669</v>
      </c>
    </row>
    <row r="5567" spans="1:14" ht="19.5" hidden="1" thickBot="1" x14ac:dyDescent="0.3">
      <c r="A5567" s="513">
        <f t="shared" si="159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1"/>
        <v>01,26</v>
      </c>
      <c r="L5567" s="518" t="s">
        <v>265</v>
      </c>
      <c r="M5567" s="518">
        <v>17749.739999999998</v>
      </c>
      <c r="N5567" s="522">
        <v>0.375</v>
      </c>
    </row>
    <row r="5568" spans="1:14" ht="19.5" hidden="1" thickBot="1" x14ac:dyDescent="0.3">
      <c r="A5568" s="503">
        <f t="shared" si="159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1"/>
        <v>01,26</v>
      </c>
      <c r="L5568" s="508" t="s">
        <v>265</v>
      </c>
      <c r="M5568" s="508">
        <v>11049.6</v>
      </c>
      <c r="N5568" s="512">
        <v>0.375</v>
      </c>
    </row>
    <row r="5569" spans="1:14" ht="19.5" hidden="1" thickBot="1" x14ac:dyDescent="0.3">
      <c r="A5569" s="513">
        <f t="shared" si="159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1"/>
        <v>01,26</v>
      </c>
      <c r="L5569" s="518" t="s">
        <v>265</v>
      </c>
      <c r="M5569" s="518">
        <v>12942.6</v>
      </c>
      <c r="N5569" s="522">
        <v>0.41666666666666669</v>
      </c>
    </row>
    <row r="5570" spans="1:14" ht="19.5" hidden="1" thickBot="1" x14ac:dyDescent="0.3">
      <c r="A5570" s="714">
        <f t="shared" si="159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1"/>
        <v>01,26</v>
      </c>
      <c r="L5570" s="535" t="s">
        <v>28</v>
      </c>
      <c r="M5570" s="535">
        <v>7087.78</v>
      </c>
      <c r="N5570" s="539">
        <v>0.41666666666666669</v>
      </c>
    </row>
    <row r="5571" spans="1:14" ht="19.5" hidden="1" thickBot="1" x14ac:dyDescent="0.3">
      <c r="A5571" s="716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1"/>
        <v>01,26</v>
      </c>
      <c r="L5571" s="567" t="s">
        <v>28</v>
      </c>
      <c r="M5571" s="567">
        <v>2183.4000000000005</v>
      </c>
      <c r="N5571" s="571">
        <v>0.41666666666666669</v>
      </c>
    </row>
    <row r="5572" spans="1:14" ht="19.5" hidden="1" thickBot="1" x14ac:dyDescent="0.3">
      <c r="A5572" s="715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1"/>
        <v>01,26</v>
      </c>
      <c r="L5572" s="640" t="s">
        <v>28</v>
      </c>
      <c r="M5572" s="640">
        <v>8039.09</v>
      </c>
      <c r="N5572" s="644">
        <v>0.41666666666666669</v>
      </c>
    </row>
    <row r="5573" spans="1:14" ht="19.5" hidden="1" thickBot="1" x14ac:dyDescent="0.3">
      <c r="A5573" s="711">
        <f t="shared" si="159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1"/>
        <v>01,26</v>
      </c>
      <c r="L5573" s="483" t="s">
        <v>28</v>
      </c>
      <c r="M5573" s="483">
        <v>11630.26</v>
      </c>
      <c r="N5573" s="486">
        <v>0.45833333333333331</v>
      </c>
    </row>
    <row r="5574" spans="1:14" ht="19.5" hidden="1" thickBot="1" x14ac:dyDescent="0.3">
      <c r="A5574" s="712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1"/>
        <v>01,26</v>
      </c>
      <c r="L5574" s="649" t="s">
        <v>28</v>
      </c>
      <c r="M5574" s="649">
        <v>5785.2</v>
      </c>
      <c r="N5574" s="653">
        <v>0.45833333333333331</v>
      </c>
    </row>
    <row r="5575" spans="1:14" ht="19.5" hidden="1" thickBot="1" x14ac:dyDescent="0.3">
      <c r="A5575" s="714">
        <f t="shared" si="159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1"/>
        <v>01,26</v>
      </c>
      <c r="L5575" s="535" t="s">
        <v>28</v>
      </c>
      <c r="M5575" s="535">
        <v>6120.4800000000014</v>
      </c>
      <c r="N5575" s="539">
        <v>0.5</v>
      </c>
    </row>
    <row r="5576" spans="1:14" ht="19.5" hidden="1" thickBot="1" x14ac:dyDescent="0.3">
      <c r="A5576" s="715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1"/>
        <v>01,26</v>
      </c>
      <c r="L5576" s="640" t="s">
        <v>28</v>
      </c>
      <c r="M5576" s="640">
        <v>11037.220000000001</v>
      </c>
      <c r="N5576" s="644">
        <v>0.5</v>
      </c>
    </row>
    <row r="5577" spans="1:14" x14ac:dyDescent="0.25">
      <c r="A5577" s="711">
        <f t="shared" si="159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79"/>
      <c r="L5577" s="483" t="s">
        <v>265</v>
      </c>
      <c r="M5577" s="483">
        <v>15673.199999999999</v>
      </c>
      <c r="N5577" s="486">
        <v>0.375</v>
      </c>
    </row>
    <row r="5578" spans="1:14" ht="19.5" thickBot="1" x14ac:dyDescent="0.3">
      <c r="A5578" s="713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5"/>
      <c r="L5578" s="499" t="s">
        <v>266</v>
      </c>
      <c r="M5578" s="499">
        <v>1906.5600000000004</v>
      </c>
      <c r="N5578" s="502">
        <v>0.375</v>
      </c>
    </row>
    <row r="5579" spans="1:14" ht="19.5" thickBot="1" x14ac:dyDescent="0.3">
      <c r="A5579" s="503">
        <f t="shared" si="159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4"/>
      <c r="L5579" s="508" t="s">
        <v>265</v>
      </c>
      <c r="M5579" s="508">
        <v>12598.199999999997</v>
      </c>
      <c r="N5579" s="512">
        <v>0.375</v>
      </c>
    </row>
    <row r="5580" spans="1:14" ht="19.5" thickBot="1" x14ac:dyDescent="0.3">
      <c r="A5580" s="513">
        <f t="shared" si="159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4"/>
      <c r="L5580" s="518" t="s">
        <v>28</v>
      </c>
      <c r="M5580" s="518">
        <v>8971.32</v>
      </c>
      <c r="N5580" s="522">
        <v>0.41666666666666669</v>
      </c>
    </row>
    <row r="5581" spans="1:14" ht="38.25" thickBot="1" x14ac:dyDescent="0.3">
      <c r="A5581" s="503">
        <f t="shared" si="159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4"/>
      <c r="L5581" s="508" t="s">
        <v>266</v>
      </c>
      <c r="M5581" s="508">
        <v>14017.2</v>
      </c>
      <c r="N5581" s="512">
        <v>0.41666666666666669</v>
      </c>
    </row>
    <row r="5582" spans="1:14" ht="38.25" thickBot="1" x14ac:dyDescent="0.3">
      <c r="A5582" s="513">
        <f t="shared" si="159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4"/>
      <c r="L5582" s="518" t="s">
        <v>28</v>
      </c>
      <c r="M5582" s="518">
        <v>10692.560000000001</v>
      </c>
      <c r="N5582" s="522">
        <v>0.45833333333333331</v>
      </c>
    </row>
    <row r="5583" spans="1:14" ht="19.5" thickBot="1" x14ac:dyDescent="0.3">
      <c r="A5583" s="503">
        <f t="shared" si="159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4"/>
      <c r="L5583" s="508" t="s">
        <v>265</v>
      </c>
      <c r="M5583" s="508">
        <v>17759.920000000002</v>
      </c>
      <c r="N5583" s="512">
        <v>0.375</v>
      </c>
    </row>
    <row r="5584" spans="1:14" x14ac:dyDescent="0.25">
      <c r="A5584" s="711">
        <f t="shared" si="159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79"/>
      <c r="L5584" s="483" t="s">
        <v>266</v>
      </c>
      <c r="M5584" s="483">
        <v>3929.42</v>
      </c>
      <c r="N5584" s="486">
        <v>0.41666666666666669</v>
      </c>
    </row>
    <row r="5585" spans="1:14" x14ac:dyDescent="0.25">
      <c r="A5585" s="713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3"/>
      <c r="L5585" s="527" t="s">
        <v>28</v>
      </c>
      <c r="M5585" s="527">
        <v>1657.8299999999997</v>
      </c>
      <c r="N5585" s="530">
        <v>0.41666666666666669</v>
      </c>
    </row>
    <row r="5586" spans="1:14" x14ac:dyDescent="0.25">
      <c r="A5586" s="713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3"/>
      <c r="L5586" s="527" t="s">
        <v>28</v>
      </c>
      <c r="M5586" s="527">
        <v>2325</v>
      </c>
      <c r="N5586" s="530">
        <v>0.41666666666666669</v>
      </c>
    </row>
    <row r="5587" spans="1:14" ht="19.5" thickBot="1" x14ac:dyDescent="0.3">
      <c r="A5587" s="712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5"/>
      <c r="L5587" s="649" t="s">
        <v>28</v>
      </c>
      <c r="M5587" s="649">
        <v>9985.5000000000018</v>
      </c>
      <c r="N5587" s="653">
        <v>0.41666666666666669</v>
      </c>
    </row>
    <row r="5588" spans="1:14" x14ac:dyDescent="0.25">
      <c r="A5588" s="714">
        <f t="shared" ref="A5588:A5651" si="162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1"/>
      <c r="L5588" s="535" t="s">
        <v>266</v>
      </c>
      <c r="M5588" s="535">
        <v>14195.099999999999</v>
      </c>
      <c r="N5588" s="539">
        <v>0.45833333333333331</v>
      </c>
    </row>
    <row r="5589" spans="1:14" ht="19.5" thickBot="1" x14ac:dyDescent="0.3">
      <c r="A5589" s="715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36"/>
      <c r="L5589" s="640" t="s">
        <v>28</v>
      </c>
      <c r="M5589" s="640">
        <v>2917.7400000000002</v>
      </c>
      <c r="N5589" s="644">
        <v>0.45833333333333331</v>
      </c>
    </row>
    <row r="5590" spans="1:14" x14ac:dyDescent="0.25">
      <c r="A5590" s="711">
        <f t="shared" si="162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79"/>
      <c r="L5590" s="483" t="s">
        <v>28</v>
      </c>
      <c r="M5590" s="483">
        <v>7906.56</v>
      </c>
      <c r="N5590" s="486">
        <v>0.5</v>
      </c>
    </row>
    <row r="5591" spans="1:14" x14ac:dyDescent="0.25">
      <c r="A5591" s="713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3"/>
      <c r="L5591" s="527" t="s">
        <v>28</v>
      </c>
      <c r="M5591" s="527">
        <v>5870.1600000000008</v>
      </c>
      <c r="N5591" s="530">
        <v>0.5</v>
      </c>
    </row>
    <row r="5592" spans="1:14" ht="19.5" thickBot="1" x14ac:dyDescent="0.3">
      <c r="A5592" s="712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5"/>
      <c r="L5592" s="649" t="s">
        <v>28</v>
      </c>
      <c r="M5592" s="649">
        <v>3555.46</v>
      </c>
      <c r="N5592" s="653">
        <v>0.5</v>
      </c>
    </row>
    <row r="5593" spans="1:14" x14ac:dyDescent="0.25">
      <c r="A5593" s="714">
        <f t="shared" si="162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1"/>
      <c r="L5593" s="535" t="s">
        <v>28</v>
      </c>
      <c r="M5593" s="535">
        <v>7136.8</v>
      </c>
      <c r="N5593" s="539">
        <v>0.41666666666666669</v>
      </c>
    </row>
    <row r="5594" spans="1:14" ht="19.5" thickBot="1" x14ac:dyDescent="0.3">
      <c r="A5594" s="715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36"/>
      <c r="L5594" s="640" t="s">
        <v>28</v>
      </c>
      <c r="M5594" s="640">
        <v>5992.3200000000006</v>
      </c>
      <c r="N5594" s="644">
        <v>0.41666666666666669</v>
      </c>
    </row>
    <row r="5595" spans="1:14" x14ac:dyDescent="0.25">
      <c r="A5595" s="711">
        <f t="shared" si="162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79"/>
      <c r="L5595" s="483" t="s">
        <v>28</v>
      </c>
      <c r="M5595" s="483">
        <v>5292.56</v>
      </c>
      <c r="N5595" s="486">
        <v>0.45833333333333331</v>
      </c>
    </row>
    <row r="5596" spans="1:14" ht="19.5" thickBot="1" x14ac:dyDescent="0.3">
      <c r="A5596" s="712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5"/>
      <c r="L5596" s="649" t="s">
        <v>28</v>
      </c>
      <c r="M5596" s="649">
        <v>6446.24</v>
      </c>
      <c r="N5596" s="653">
        <v>0.45833333333333331</v>
      </c>
    </row>
    <row r="5597" spans="1:14" ht="19.5" thickBot="1" x14ac:dyDescent="0.3">
      <c r="A5597" s="503">
        <f t="shared" si="162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4"/>
      <c r="L5597" s="508" t="s">
        <v>28</v>
      </c>
      <c r="M5597" s="508">
        <v>7969.2</v>
      </c>
      <c r="N5597" s="512">
        <v>0.5</v>
      </c>
    </row>
    <row r="5598" spans="1:14" ht="19.5" thickBot="1" x14ac:dyDescent="0.3">
      <c r="A5598" s="572">
        <f t="shared" si="162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3"/>
      <c r="L5598" s="577" t="s">
        <v>28</v>
      </c>
      <c r="M5598" s="577">
        <v>11050.04</v>
      </c>
      <c r="N5598" s="581">
        <v>0.54166666666666663</v>
      </c>
    </row>
    <row r="5599" spans="1:14" x14ac:dyDescent="0.25">
      <c r="A5599" s="714">
        <f t="shared" si="162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717" t="s">
        <v>1229</v>
      </c>
      <c r="H5599" s="535" t="s">
        <v>1228</v>
      </c>
      <c r="I5599" s="537" t="s">
        <v>1231</v>
      </c>
      <c r="J5599" s="538"/>
      <c r="K5599" s="531"/>
      <c r="L5599" s="535" t="s">
        <v>28</v>
      </c>
      <c r="M5599" s="535">
        <v>5868.4800000000005</v>
      </c>
      <c r="N5599" s="539">
        <v>0.41666666666666669</v>
      </c>
    </row>
    <row r="5600" spans="1:14" ht="19.5" thickBot="1" x14ac:dyDescent="0.3">
      <c r="A5600" s="715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718"/>
      <c r="H5600" s="640" t="s">
        <v>1228</v>
      </c>
      <c r="I5600" s="642" t="s">
        <v>1231</v>
      </c>
      <c r="J5600" s="643"/>
      <c r="K5600" s="636"/>
      <c r="L5600" s="640" t="s">
        <v>28</v>
      </c>
      <c r="M5600" s="640">
        <v>5357.92</v>
      </c>
      <c r="N5600" s="644">
        <v>0.41666666666666669</v>
      </c>
    </row>
    <row r="5601" spans="1:14" ht="38.25" thickBot="1" x14ac:dyDescent="0.3">
      <c r="A5601" s="513">
        <f t="shared" si="162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4"/>
      <c r="L5601" s="518" t="s">
        <v>266</v>
      </c>
      <c r="M5601" s="518">
        <v>15557.28</v>
      </c>
      <c r="N5601" s="522">
        <v>0.45833333333333331</v>
      </c>
    </row>
    <row r="5602" spans="1:14" x14ac:dyDescent="0.25">
      <c r="A5602" s="714">
        <f t="shared" si="162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1"/>
      <c r="L5602" s="535" t="s">
        <v>266</v>
      </c>
      <c r="M5602" s="535">
        <v>12754.819999999998</v>
      </c>
      <c r="N5602" s="539">
        <v>0.5</v>
      </c>
    </row>
    <row r="5603" spans="1:14" ht="19.5" thickBot="1" x14ac:dyDescent="0.3">
      <c r="A5603" s="716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0"/>
      <c r="L5603" s="594" t="s">
        <v>266</v>
      </c>
      <c r="M5603" s="594">
        <v>1703.0899999999997</v>
      </c>
      <c r="N5603" s="598">
        <v>0.5</v>
      </c>
    </row>
    <row r="5604" spans="1:14" ht="19.5" thickBot="1" x14ac:dyDescent="0.3">
      <c r="A5604" s="513">
        <f t="shared" si="162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4"/>
      <c r="L5604" s="518" t="s">
        <v>266</v>
      </c>
      <c r="M5604" s="518">
        <v>17976.520000000004</v>
      </c>
      <c r="N5604" s="522">
        <v>0.41666666666666669</v>
      </c>
    </row>
    <row r="5605" spans="1:14" ht="19.5" thickBot="1" x14ac:dyDescent="0.3">
      <c r="A5605" s="503">
        <f t="shared" si="162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4"/>
      <c r="L5605" s="508" t="s">
        <v>266</v>
      </c>
      <c r="M5605" s="508">
        <v>18027.259999999998</v>
      </c>
      <c r="N5605" s="512">
        <v>0.45833333333333331</v>
      </c>
    </row>
    <row r="5606" spans="1:14" x14ac:dyDescent="0.25">
      <c r="A5606" s="711">
        <f t="shared" si="162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79"/>
      <c r="L5606" s="483" t="s">
        <v>266</v>
      </c>
      <c r="M5606" s="483">
        <v>13332.490000000002</v>
      </c>
      <c r="N5606" s="486">
        <v>0.5</v>
      </c>
    </row>
    <row r="5607" spans="1:14" ht="19.5" thickBot="1" x14ac:dyDescent="0.3">
      <c r="A5607" s="712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5"/>
      <c r="L5607" s="649" t="s">
        <v>266</v>
      </c>
      <c r="M5607" s="649">
        <v>4003.7999999999997</v>
      </c>
      <c r="N5607" s="653">
        <v>0.5</v>
      </c>
    </row>
    <row r="5608" spans="1:14" ht="19.5" thickBot="1" x14ac:dyDescent="0.3">
      <c r="A5608" s="551">
        <f t="shared" si="162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2"/>
      <c r="L5608" s="556" t="s">
        <v>266</v>
      </c>
      <c r="M5608" s="556">
        <v>18187.68</v>
      </c>
      <c r="N5608" s="560">
        <v>0.54166666666666663</v>
      </c>
    </row>
    <row r="5609" spans="1:14" x14ac:dyDescent="0.25">
      <c r="A5609" s="711">
        <f t="shared" si="162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79"/>
      <c r="L5609" s="483" t="s">
        <v>265</v>
      </c>
      <c r="M5609" s="483">
        <v>13135.38</v>
      </c>
      <c r="N5609" s="486">
        <v>0.375</v>
      </c>
    </row>
    <row r="5610" spans="1:14" ht="19.5" thickBot="1" x14ac:dyDescent="0.3">
      <c r="A5610" s="712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5"/>
      <c r="L5610" s="649" t="s">
        <v>265</v>
      </c>
      <c r="M5610" s="649">
        <v>4379.0999999999995</v>
      </c>
      <c r="N5610" s="653">
        <v>0.375</v>
      </c>
    </row>
    <row r="5611" spans="1:14" ht="19.5" thickBot="1" x14ac:dyDescent="0.3">
      <c r="A5611" s="503">
        <f t="shared" si="162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4"/>
      <c r="L5611" s="508" t="s">
        <v>265</v>
      </c>
      <c r="M5611" s="508">
        <v>17748.520000000004</v>
      </c>
      <c r="N5611" s="512">
        <v>0.375</v>
      </c>
    </row>
    <row r="5612" spans="1:14" x14ac:dyDescent="0.25">
      <c r="A5612" s="711">
        <f t="shared" si="162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79"/>
      <c r="L5612" s="483" t="s">
        <v>28</v>
      </c>
      <c r="M5612" s="483">
        <v>1282.92</v>
      </c>
      <c r="N5612" s="486">
        <v>0.41666666666666669</v>
      </c>
    </row>
    <row r="5613" spans="1:14" ht="56.25" x14ac:dyDescent="0.25">
      <c r="A5613" s="713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3"/>
      <c r="L5613" s="527" t="s">
        <v>28</v>
      </c>
      <c r="M5613" s="527">
        <v>1520.64</v>
      </c>
      <c r="N5613" s="530">
        <v>0.41666666666666669</v>
      </c>
    </row>
    <row r="5614" spans="1:14" x14ac:dyDescent="0.25">
      <c r="A5614" s="713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3"/>
      <c r="L5614" s="527" t="s">
        <v>28</v>
      </c>
      <c r="M5614" s="527">
        <v>8143.3200000000006</v>
      </c>
      <c r="N5614" s="530">
        <v>0.41666666666666669</v>
      </c>
    </row>
    <row r="5615" spans="1:14" ht="19.5" thickBot="1" x14ac:dyDescent="0.3">
      <c r="A5615" s="712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5"/>
      <c r="L5615" s="649" t="s">
        <v>28</v>
      </c>
      <c r="M5615" s="649">
        <v>6269.04</v>
      </c>
      <c r="N5615" s="653">
        <v>0.41666666666666669</v>
      </c>
    </row>
    <row r="5616" spans="1:14" ht="19.5" thickBot="1" x14ac:dyDescent="0.3">
      <c r="A5616" s="503">
        <f t="shared" si="162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4"/>
      <c r="L5616" s="508" t="s">
        <v>265</v>
      </c>
      <c r="M5616" s="508">
        <v>12531.120000000003</v>
      </c>
      <c r="N5616" s="512">
        <v>0.375</v>
      </c>
    </row>
    <row r="5617" spans="1:14" x14ac:dyDescent="0.25">
      <c r="A5617" s="711">
        <f t="shared" si="162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79"/>
      <c r="L5617" s="483" t="s">
        <v>28</v>
      </c>
      <c r="M5617" s="483">
        <v>11229.630000000001</v>
      </c>
      <c r="N5617" s="486">
        <v>0.45833333333333331</v>
      </c>
    </row>
    <row r="5618" spans="1:14" ht="19.5" thickBot="1" x14ac:dyDescent="0.3">
      <c r="A5618" s="712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5"/>
      <c r="L5618" s="649" t="s">
        <v>28</v>
      </c>
      <c r="M5618" s="649">
        <v>6592.4400000000005</v>
      </c>
      <c r="N5618" s="653">
        <v>0.45833333333333331</v>
      </c>
    </row>
    <row r="5619" spans="1:14" x14ac:dyDescent="0.25">
      <c r="A5619" s="714">
        <f t="shared" si="162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1"/>
      <c r="L5619" s="535" t="s">
        <v>28</v>
      </c>
      <c r="M5619" s="535">
        <v>12621.18</v>
      </c>
      <c r="N5619" s="539">
        <v>0.5</v>
      </c>
    </row>
    <row r="5620" spans="1:14" ht="19.5" thickBot="1" x14ac:dyDescent="0.3">
      <c r="A5620" s="715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36"/>
      <c r="L5620" s="640" t="s">
        <v>28</v>
      </c>
      <c r="M5620" s="640">
        <v>5229.0499999999993</v>
      </c>
      <c r="N5620" s="644">
        <v>0.5</v>
      </c>
    </row>
    <row r="5621" spans="1:14" x14ac:dyDescent="0.25">
      <c r="A5621" s="711">
        <f t="shared" si="162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79"/>
      <c r="L5621" s="483" t="s">
        <v>28</v>
      </c>
      <c r="M5621" s="483">
        <v>8038.5</v>
      </c>
      <c r="N5621" s="486">
        <v>0.54166666666666663</v>
      </c>
    </row>
    <row r="5622" spans="1:14" ht="19.5" thickBot="1" x14ac:dyDescent="0.3">
      <c r="A5622" s="712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5"/>
      <c r="L5622" s="649" t="s">
        <v>28</v>
      </c>
      <c r="M5622" s="649">
        <v>9674.1399999999976</v>
      </c>
      <c r="N5622" s="653">
        <v>0.54166666666666663</v>
      </c>
    </row>
    <row r="5623" spans="1:14" ht="29.25" customHeight="1" x14ac:dyDescent="0.25">
      <c r="A5623" s="714">
        <f t="shared" si="162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717" t="s">
        <v>1234</v>
      </c>
      <c r="H5623" s="535" t="s">
        <v>1233</v>
      </c>
      <c r="I5623" s="537" t="s">
        <v>1235</v>
      </c>
      <c r="J5623" s="538"/>
      <c r="K5623" s="531"/>
      <c r="L5623" s="535" t="s">
        <v>28</v>
      </c>
      <c r="M5623" s="535">
        <v>7399.2</v>
      </c>
      <c r="N5623" s="539">
        <v>0.58333333333333337</v>
      </c>
    </row>
    <row r="5624" spans="1:14" ht="29.25" customHeight="1" thickBot="1" x14ac:dyDescent="0.3">
      <c r="A5624" s="715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718"/>
      <c r="H5624" s="640" t="s">
        <v>1233</v>
      </c>
      <c r="I5624" s="642" t="s">
        <v>1235</v>
      </c>
      <c r="J5624" s="643"/>
      <c r="K5624" s="636"/>
      <c r="L5624" s="640" t="s">
        <v>28</v>
      </c>
      <c r="M5624" s="640">
        <v>7845.42</v>
      </c>
      <c r="N5624" s="644">
        <v>0.58333333333333337</v>
      </c>
    </row>
    <row r="5625" spans="1:14" x14ac:dyDescent="0.25">
      <c r="A5625" s="711">
        <f t="shared" si="162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79"/>
      <c r="L5625" s="483" t="s">
        <v>265</v>
      </c>
      <c r="M5625" s="483">
        <v>16368.32</v>
      </c>
      <c r="N5625" s="486">
        <v>0.375</v>
      </c>
    </row>
    <row r="5626" spans="1:14" ht="19.5" thickBot="1" x14ac:dyDescent="0.3">
      <c r="A5626" s="712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5"/>
      <c r="L5626" s="649" t="s">
        <v>266</v>
      </c>
      <c r="M5626" s="649">
        <v>1070.7</v>
      </c>
      <c r="N5626" s="653">
        <v>0.375</v>
      </c>
    </row>
    <row r="5627" spans="1:14" x14ac:dyDescent="0.25">
      <c r="A5627" s="676">
        <f t="shared" si="162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/>
      <c r="L5627" s="676" t="s">
        <v>265</v>
      </c>
      <c r="M5627" s="676">
        <v>13402.56</v>
      </c>
      <c r="N5627" s="676" t="s">
        <v>1236</v>
      </c>
    </row>
    <row r="5628" spans="1:14" x14ac:dyDescent="0.25">
      <c r="A5628" s="678">
        <f t="shared" si="162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/>
      <c r="L5628" s="678" t="s">
        <v>28</v>
      </c>
      <c r="M5628" s="678">
        <v>9966.36</v>
      </c>
      <c r="N5628" s="678" t="s">
        <v>1237</v>
      </c>
    </row>
    <row r="5629" spans="1:14" x14ac:dyDescent="0.25">
      <c r="A5629" s="676">
        <f t="shared" si="162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/>
      <c r="L5629" s="676" t="s">
        <v>265</v>
      </c>
      <c r="M5629" s="676">
        <v>17714.04</v>
      </c>
      <c r="N5629" s="676" t="s">
        <v>1236</v>
      </c>
    </row>
    <row r="5630" spans="1:14" x14ac:dyDescent="0.25">
      <c r="A5630" s="676">
        <f t="shared" si="162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/>
      <c r="L5630" s="678" t="s">
        <v>28</v>
      </c>
      <c r="M5630" s="678">
        <v>2988.06</v>
      </c>
      <c r="N5630" s="678" t="s">
        <v>1237</v>
      </c>
    </row>
    <row r="5631" spans="1:14" x14ac:dyDescent="0.25">
      <c r="A5631" s="676">
        <f t="shared" si="162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/>
      <c r="L5631" s="678" t="s">
        <v>28</v>
      </c>
      <c r="M5631" s="678">
        <v>15273.48</v>
      </c>
      <c r="N5631" s="678" t="s">
        <v>1237</v>
      </c>
    </row>
    <row r="5632" spans="1:14" x14ac:dyDescent="0.25">
      <c r="A5632" s="676">
        <f t="shared" si="162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/>
      <c r="L5632" s="676" t="s">
        <v>28</v>
      </c>
      <c r="M5632" s="676">
        <v>3424.1</v>
      </c>
      <c r="N5632" s="676" t="s">
        <v>1239</v>
      </c>
    </row>
    <row r="5633" spans="1:14" x14ac:dyDescent="0.25">
      <c r="A5633" s="676">
        <f t="shared" si="162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/>
      <c r="L5633" s="676" t="s">
        <v>28</v>
      </c>
      <c r="M5633" s="676">
        <v>6685.88</v>
      </c>
      <c r="N5633" s="676" t="s">
        <v>1239</v>
      </c>
    </row>
    <row r="5634" spans="1:14" x14ac:dyDescent="0.25">
      <c r="A5634" s="676">
        <f t="shared" si="162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/>
      <c r="L5634" s="676" t="s">
        <v>266</v>
      </c>
      <c r="M5634" s="676">
        <v>7562.98</v>
      </c>
      <c r="N5634" s="676" t="s">
        <v>1239</v>
      </c>
    </row>
    <row r="5635" spans="1:14" x14ac:dyDescent="0.25">
      <c r="A5635" s="676">
        <f t="shared" si="162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/>
      <c r="L5635" s="678" t="s">
        <v>28</v>
      </c>
      <c r="M5635" s="678">
        <v>976.02</v>
      </c>
      <c r="N5635" s="678" t="s">
        <v>1240</v>
      </c>
    </row>
    <row r="5636" spans="1:14" x14ac:dyDescent="0.25">
      <c r="A5636" s="676">
        <f t="shared" si="162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/>
      <c r="L5636" s="678" t="s">
        <v>28</v>
      </c>
      <c r="M5636" s="678">
        <v>7660.48</v>
      </c>
      <c r="N5636" s="678" t="s">
        <v>1240</v>
      </c>
    </row>
    <row r="5637" spans="1:14" x14ac:dyDescent="0.25">
      <c r="A5637" s="676">
        <f t="shared" si="162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/>
      <c r="L5637" s="678" t="s">
        <v>28</v>
      </c>
      <c r="M5637" s="678">
        <v>9005.69</v>
      </c>
      <c r="N5637" s="678" t="s">
        <v>1240</v>
      </c>
    </row>
    <row r="5638" spans="1:14" x14ac:dyDescent="0.25">
      <c r="A5638" s="676">
        <f t="shared" si="162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/>
      <c r="L5638" s="676" t="s">
        <v>266</v>
      </c>
      <c r="M5638" s="676">
        <v>7032.05</v>
      </c>
      <c r="N5638" s="676" t="s">
        <v>1241</v>
      </c>
    </row>
    <row r="5639" spans="1:14" x14ac:dyDescent="0.25">
      <c r="A5639" s="676">
        <f t="shared" si="162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/>
      <c r="L5639" s="678" t="s">
        <v>28</v>
      </c>
      <c r="M5639" s="678">
        <v>12202.32</v>
      </c>
      <c r="N5639" s="678" t="s">
        <v>1237</v>
      </c>
    </row>
    <row r="5640" spans="1:14" x14ac:dyDescent="0.25">
      <c r="A5640" s="676">
        <f t="shared" si="162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/>
      <c r="L5640" s="676" t="s">
        <v>28</v>
      </c>
      <c r="M5640" s="676">
        <v>12782.56</v>
      </c>
      <c r="N5640" s="676" t="s">
        <v>1239</v>
      </c>
    </row>
    <row r="5641" spans="1:14" x14ac:dyDescent="0.25">
      <c r="A5641" s="676">
        <f t="shared" si="162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/>
      <c r="L5641" s="678" t="s">
        <v>28</v>
      </c>
      <c r="M5641" s="678">
        <v>1584</v>
      </c>
      <c r="N5641" s="678" t="s">
        <v>1240</v>
      </c>
    </row>
    <row r="5642" spans="1:14" x14ac:dyDescent="0.25">
      <c r="A5642" s="676">
        <f t="shared" si="162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/>
      <c r="L5642" s="678" t="s">
        <v>28</v>
      </c>
      <c r="M5642" s="678">
        <v>8716.56</v>
      </c>
      <c r="N5642" s="678" t="s">
        <v>1240</v>
      </c>
    </row>
    <row r="5643" spans="1:14" x14ac:dyDescent="0.25">
      <c r="A5643" s="676">
        <f t="shared" si="162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/>
      <c r="L5643" s="676" t="s">
        <v>28</v>
      </c>
      <c r="M5643" s="676">
        <v>2821.04</v>
      </c>
      <c r="N5643" s="676" t="s">
        <v>1241</v>
      </c>
    </row>
    <row r="5644" spans="1:14" x14ac:dyDescent="0.25">
      <c r="A5644" s="676">
        <f t="shared" si="162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/>
      <c r="L5644" s="676" t="s">
        <v>28</v>
      </c>
      <c r="M5644" s="676">
        <v>7907.52</v>
      </c>
      <c r="N5644" s="676" t="s">
        <v>1241</v>
      </c>
    </row>
    <row r="5645" spans="1:14" ht="37.5" x14ac:dyDescent="0.25">
      <c r="A5645" s="676">
        <f t="shared" si="162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/>
      <c r="L5645" s="678" t="s">
        <v>28</v>
      </c>
      <c r="M5645" s="678">
        <v>3161.28</v>
      </c>
      <c r="N5645" s="678" t="s">
        <v>1242</v>
      </c>
    </row>
    <row r="5646" spans="1:14" x14ac:dyDescent="0.25">
      <c r="A5646" s="676">
        <f t="shared" si="162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/>
      <c r="L5646" s="678" t="s">
        <v>28</v>
      </c>
      <c r="M5646" s="678">
        <v>7035.6</v>
      </c>
      <c r="N5646" s="678" t="s">
        <v>1242</v>
      </c>
    </row>
    <row r="5647" spans="1:14" x14ac:dyDescent="0.25">
      <c r="A5647" s="676">
        <f t="shared" si="162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/>
      <c r="L5647" s="676" t="s">
        <v>265</v>
      </c>
      <c r="M5647" s="676">
        <v>17656.16</v>
      </c>
      <c r="N5647" s="676" t="s">
        <v>1236</v>
      </c>
    </row>
    <row r="5648" spans="1:14" x14ac:dyDescent="0.25">
      <c r="A5648" s="676">
        <f t="shared" si="162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/>
      <c r="L5648" s="678" t="s">
        <v>266</v>
      </c>
      <c r="M5648" s="678">
        <v>17004.939999999999</v>
      </c>
      <c r="N5648" s="685" t="s">
        <v>1246</v>
      </c>
    </row>
    <row r="5649" spans="1:14" x14ac:dyDescent="0.25">
      <c r="A5649" s="676">
        <f t="shared" si="162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/>
      <c r="L5649" s="678" t="s">
        <v>266</v>
      </c>
      <c r="M5649" s="678">
        <v>699.8</v>
      </c>
      <c r="N5649" s="685" t="s">
        <v>1246</v>
      </c>
    </row>
    <row r="5650" spans="1:14" x14ac:dyDescent="0.25">
      <c r="A5650" s="676">
        <f t="shared" si="162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/>
      <c r="L5650" s="676" t="s">
        <v>266</v>
      </c>
      <c r="M5650" s="676">
        <v>16328.7</v>
      </c>
      <c r="N5650" s="676" t="s">
        <v>1237</v>
      </c>
    </row>
    <row r="5651" spans="1:14" x14ac:dyDescent="0.25">
      <c r="A5651" s="676">
        <f t="shared" si="162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/>
      <c r="L5651" s="527" t="s">
        <v>266</v>
      </c>
      <c r="M5651" s="527">
        <v>18120.439999999999</v>
      </c>
      <c r="N5651" s="527" t="s">
        <v>1239</v>
      </c>
    </row>
    <row r="5652" spans="1:14" x14ac:dyDescent="0.25">
      <c r="A5652" s="676">
        <f t="shared" ref="A5652:A5715" si="163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/>
      <c r="L5652" s="676" t="s">
        <v>266</v>
      </c>
      <c r="M5652" s="676">
        <v>17888.09</v>
      </c>
      <c r="N5652" s="676" t="s">
        <v>1240</v>
      </c>
    </row>
    <row r="5653" spans="1:14" x14ac:dyDescent="0.25">
      <c r="A5653" s="676">
        <f t="shared" si="163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/>
      <c r="L5653" s="678" t="s">
        <v>266</v>
      </c>
      <c r="M5653" s="678">
        <v>18080.5</v>
      </c>
      <c r="N5653" s="678" t="s">
        <v>1237</v>
      </c>
    </row>
    <row r="5654" spans="1:14" x14ac:dyDescent="0.25">
      <c r="A5654" s="676">
        <f t="shared" si="163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/>
      <c r="L5654" s="676" t="s">
        <v>266</v>
      </c>
      <c r="M5654" s="676">
        <v>18104.16</v>
      </c>
      <c r="N5654" s="676" t="s">
        <v>1239</v>
      </c>
    </row>
    <row r="5655" spans="1:14" x14ac:dyDescent="0.25">
      <c r="A5655" s="676">
        <f t="shared" si="163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/>
      <c r="L5655" s="678" t="s">
        <v>266</v>
      </c>
      <c r="M5655" s="678">
        <v>12779.14</v>
      </c>
      <c r="N5655" s="678" t="s">
        <v>1240</v>
      </c>
    </row>
    <row r="5656" spans="1:14" x14ac:dyDescent="0.25">
      <c r="A5656" s="676">
        <f t="shared" si="163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/>
      <c r="L5656" s="678" t="s">
        <v>266</v>
      </c>
      <c r="M5656" s="678">
        <v>2005.8</v>
      </c>
      <c r="N5656" s="678" t="s">
        <v>1240</v>
      </c>
    </row>
    <row r="5657" spans="1:14" x14ac:dyDescent="0.25">
      <c r="A5657" s="676">
        <f t="shared" si="163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/>
      <c r="L5657" s="676" t="s">
        <v>265</v>
      </c>
      <c r="M5657" s="676">
        <v>9728.76</v>
      </c>
      <c r="N5657" s="676" t="s">
        <v>1236</v>
      </c>
    </row>
    <row r="5658" spans="1:14" x14ac:dyDescent="0.25">
      <c r="A5658" s="676">
        <f t="shared" si="163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/>
      <c r="L5658" s="676" t="s">
        <v>265</v>
      </c>
      <c r="M5658" s="676">
        <v>7193.1</v>
      </c>
      <c r="N5658" s="676" t="s">
        <v>1236</v>
      </c>
    </row>
    <row r="5659" spans="1:14" x14ac:dyDescent="0.25">
      <c r="A5659" s="676">
        <f t="shared" si="163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/>
      <c r="L5659" s="678" t="s">
        <v>265</v>
      </c>
      <c r="M5659" s="678">
        <v>13187.16</v>
      </c>
      <c r="N5659" s="678" t="s">
        <v>1236</v>
      </c>
    </row>
    <row r="5660" spans="1:14" x14ac:dyDescent="0.25">
      <c r="A5660" s="676">
        <f t="shared" si="163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/>
      <c r="L5660" s="676" t="s">
        <v>265</v>
      </c>
      <c r="M5660" s="676">
        <v>17666.82</v>
      </c>
      <c r="N5660" s="676" t="s">
        <v>1236</v>
      </c>
    </row>
    <row r="5661" spans="1:14" ht="93.75" x14ac:dyDescent="0.25">
      <c r="A5661" s="676">
        <f t="shared" si="163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/>
      <c r="L5661" s="678" t="s">
        <v>28</v>
      </c>
      <c r="M5661" s="678">
        <v>6683.6</v>
      </c>
      <c r="N5661" s="678" t="s">
        <v>1237</v>
      </c>
    </row>
    <row r="5662" spans="1:14" x14ac:dyDescent="0.25">
      <c r="A5662" s="676">
        <f t="shared" si="163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/>
      <c r="L5662" s="678" t="s">
        <v>28</v>
      </c>
      <c r="M5662" s="678">
        <v>4477.42</v>
      </c>
      <c r="N5662" s="678" t="s">
        <v>1237</v>
      </c>
    </row>
    <row r="5663" spans="1:14" x14ac:dyDescent="0.25">
      <c r="A5663" s="676">
        <f t="shared" si="163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/>
      <c r="L5663" s="678" t="s">
        <v>28</v>
      </c>
      <c r="M5663" s="678">
        <v>4243.41</v>
      </c>
      <c r="N5663" s="678" t="s">
        <v>1237</v>
      </c>
    </row>
    <row r="5664" spans="1:14" x14ac:dyDescent="0.25">
      <c r="A5664" s="676">
        <f t="shared" si="163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/>
      <c r="L5664" s="678" t="s">
        <v>28</v>
      </c>
      <c r="M5664" s="678">
        <v>1422.42</v>
      </c>
      <c r="N5664" s="678" t="s">
        <v>1237</v>
      </c>
    </row>
    <row r="5665" spans="1:14" x14ac:dyDescent="0.25">
      <c r="A5665" s="676">
        <f t="shared" si="163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/>
      <c r="L5665" s="676" t="s">
        <v>28</v>
      </c>
      <c r="M5665" s="676">
        <v>6437.7</v>
      </c>
      <c r="N5665" s="676" t="s">
        <v>1239</v>
      </c>
    </row>
    <row r="5666" spans="1:14" ht="56.25" x14ac:dyDescent="0.25">
      <c r="A5666" s="676">
        <f t="shared" si="163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/>
      <c r="L5666" s="676" t="s">
        <v>28</v>
      </c>
      <c r="M5666" s="676">
        <v>1309.92</v>
      </c>
      <c r="N5666" s="676" t="s">
        <v>1239</v>
      </c>
    </row>
    <row r="5667" spans="1:14" x14ac:dyDescent="0.25">
      <c r="A5667" s="676">
        <f t="shared" si="163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/>
      <c r="L5667" s="676" t="s">
        <v>28</v>
      </c>
      <c r="M5667" s="676">
        <v>10024.4</v>
      </c>
      <c r="N5667" s="676" t="s">
        <v>1239</v>
      </c>
    </row>
    <row r="5668" spans="1:14" x14ac:dyDescent="0.25">
      <c r="A5668" s="676">
        <f t="shared" si="163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/>
      <c r="L5668" s="678" t="s">
        <v>28</v>
      </c>
      <c r="M5668" s="678">
        <v>8425.2900000000009</v>
      </c>
      <c r="N5668" s="678" t="s">
        <v>1240</v>
      </c>
    </row>
    <row r="5669" spans="1:14" x14ac:dyDescent="0.25">
      <c r="A5669" s="676">
        <f t="shared" si="163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/>
      <c r="L5669" s="678" t="s">
        <v>28</v>
      </c>
      <c r="M5669" s="678">
        <v>8950.3799999999992</v>
      </c>
      <c r="N5669" s="678" t="s">
        <v>1240</v>
      </c>
    </row>
    <row r="5670" spans="1:14" ht="19.5" thickBot="1" x14ac:dyDescent="0.3">
      <c r="A5670" s="676">
        <f t="shared" si="163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/>
      <c r="L5670" s="676" t="s">
        <v>28</v>
      </c>
      <c r="M5670" s="676">
        <v>10394.040000000001</v>
      </c>
      <c r="N5670" s="676" t="s">
        <v>1237</v>
      </c>
    </row>
    <row r="5671" spans="1:14" x14ac:dyDescent="0.25">
      <c r="A5671" s="676">
        <f t="shared" si="163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79"/>
      <c r="L5671" s="483" t="s">
        <v>265</v>
      </c>
      <c r="M5671" s="483">
        <v>16139.1</v>
      </c>
      <c r="N5671" s="486">
        <v>0.375</v>
      </c>
    </row>
    <row r="5672" spans="1:14" ht="19.5" thickBot="1" x14ac:dyDescent="0.3">
      <c r="A5672" s="676">
        <f t="shared" si="163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5"/>
      <c r="L5672" s="649" t="s">
        <v>266</v>
      </c>
      <c r="M5672" s="649">
        <v>1209.78</v>
      </c>
      <c r="N5672" s="653">
        <v>0.375</v>
      </c>
    </row>
    <row r="5673" spans="1:14" x14ac:dyDescent="0.25">
      <c r="A5673" s="676">
        <f t="shared" si="163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/>
      <c r="L5673" s="676" t="s">
        <v>28</v>
      </c>
      <c r="M5673" s="676">
        <v>10834.36</v>
      </c>
      <c r="N5673" s="676" t="s">
        <v>1237</v>
      </c>
    </row>
    <row r="5674" spans="1:14" x14ac:dyDescent="0.25">
      <c r="A5674" s="676">
        <f t="shared" si="163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/>
      <c r="L5674" s="678" t="s">
        <v>265</v>
      </c>
      <c r="M5674" s="678">
        <v>12116.48</v>
      </c>
      <c r="N5674" s="678" t="s">
        <v>1236</v>
      </c>
    </row>
    <row r="5675" spans="1:14" ht="37.5" x14ac:dyDescent="0.25">
      <c r="A5675" s="676">
        <f t="shared" si="163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/>
      <c r="L5675" s="676" t="s">
        <v>28</v>
      </c>
      <c r="M5675" s="676">
        <v>6040.8</v>
      </c>
      <c r="N5675" s="676" t="s">
        <v>1237</v>
      </c>
    </row>
    <row r="5676" spans="1:14" x14ac:dyDescent="0.25">
      <c r="A5676" s="676">
        <f t="shared" si="163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/>
      <c r="L5676" s="678" t="s">
        <v>265</v>
      </c>
      <c r="M5676" s="678">
        <v>17722.780000000002</v>
      </c>
      <c r="N5676" s="678" t="s">
        <v>1236</v>
      </c>
    </row>
    <row r="5677" spans="1:14" x14ac:dyDescent="0.25">
      <c r="A5677" s="676">
        <f t="shared" si="163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/>
      <c r="L5677" s="676" t="s">
        <v>265</v>
      </c>
      <c r="M5677" s="676">
        <v>17635.25</v>
      </c>
      <c r="N5677" s="676" t="s">
        <v>1236</v>
      </c>
    </row>
    <row r="5678" spans="1:14" x14ac:dyDescent="0.25">
      <c r="A5678" s="676">
        <f t="shared" ref="A5678:A5689" si="164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/>
      <c r="L5678" s="678" t="s">
        <v>28</v>
      </c>
      <c r="M5678" s="678">
        <v>7603.6200000000008</v>
      </c>
      <c r="N5678" s="678" t="s">
        <v>1237</v>
      </c>
    </row>
    <row r="5679" spans="1:14" x14ac:dyDescent="0.25">
      <c r="A5679" s="676">
        <f t="shared" si="164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/>
      <c r="L5679" s="678" t="s">
        <v>28</v>
      </c>
      <c r="M5679" s="678">
        <v>3580.3200000000006</v>
      </c>
      <c r="N5679" s="678" t="s">
        <v>1237</v>
      </c>
    </row>
    <row r="5680" spans="1:14" x14ac:dyDescent="0.25">
      <c r="A5680" s="676">
        <f t="shared" si="164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/>
      <c r="L5680" s="678" t="s">
        <v>28</v>
      </c>
      <c r="M5680" s="678">
        <v>5911.53</v>
      </c>
      <c r="N5680" s="678" t="s">
        <v>1237</v>
      </c>
    </row>
    <row r="5681" spans="1:14" x14ac:dyDescent="0.25">
      <c r="A5681" s="676">
        <f t="shared" si="164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/>
      <c r="L5681" s="676" t="s">
        <v>28</v>
      </c>
      <c r="M5681" s="676">
        <v>2115</v>
      </c>
      <c r="N5681" s="676" t="s">
        <v>1239</v>
      </c>
    </row>
    <row r="5682" spans="1:14" x14ac:dyDescent="0.25">
      <c r="A5682" s="676">
        <f t="shared" si="164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/>
      <c r="L5682" s="676" t="s">
        <v>28</v>
      </c>
      <c r="M5682" s="676">
        <v>15119.439999999999</v>
      </c>
      <c r="N5682" s="676" t="s">
        <v>1239</v>
      </c>
    </row>
    <row r="5683" spans="1:14" x14ac:dyDescent="0.25">
      <c r="A5683" s="676">
        <f t="shared" si="164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/>
      <c r="L5683" s="678" t="s">
        <v>28</v>
      </c>
      <c r="M5683" s="678">
        <v>12917.169999999998</v>
      </c>
      <c r="N5683" s="678" t="s">
        <v>1240</v>
      </c>
    </row>
    <row r="5684" spans="1:14" x14ac:dyDescent="0.25">
      <c r="A5684" s="676">
        <f t="shared" si="164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/>
      <c r="L5684" s="678" t="s">
        <v>266</v>
      </c>
      <c r="M5684" s="678">
        <v>4147.1200000000008</v>
      </c>
      <c r="N5684" s="678" t="s">
        <v>1240</v>
      </c>
    </row>
    <row r="5685" spans="1:14" x14ac:dyDescent="0.25">
      <c r="A5685" s="676">
        <f t="shared" si="164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/>
      <c r="L5685" s="676" t="s">
        <v>266</v>
      </c>
      <c r="M5685" s="676">
        <v>5969.4400000000005</v>
      </c>
      <c r="N5685" s="676" t="s">
        <v>1237</v>
      </c>
    </row>
    <row r="5686" spans="1:14" x14ac:dyDescent="0.25">
      <c r="A5686" s="676">
        <f t="shared" si="164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/>
      <c r="L5686" s="676" t="s">
        <v>28</v>
      </c>
      <c r="M5686" s="676">
        <v>6655.8000000000011</v>
      </c>
      <c r="N5686" s="676" t="s">
        <v>1237</v>
      </c>
    </row>
    <row r="5687" spans="1:14" x14ac:dyDescent="0.25">
      <c r="A5687" s="676">
        <f t="shared" si="164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/>
      <c r="L5687" s="678" t="s">
        <v>28</v>
      </c>
      <c r="M5687" s="678">
        <v>3883.6</v>
      </c>
      <c r="N5687" s="678" t="s">
        <v>1239</v>
      </c>
    </row>
    <row r="5688" spans="1:14" x14ac:dyDescent="0.25">
      <c r="A5688" s="676">
        <f t="shared" si="164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/>
      <c r="L5688" s="678" t="s">
        <v>28</v>
      </c>
      <c r="M5688" s="678">
        <v>7016.4000000000005</v>
      </c>
      <c r="N5688" s="678" t="s">
        <v>1239</v>
      </c>
    </row>
    <row r="5689" spans="1:14" x14ac:dyDescent="0.25">
      <c r="A5689" s="676">
        <f t="shared" si="164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/>
      <c r="L5689" s="676" t="s">
        <v>28</v>
      </c>
      <c r="M5689" s="676">
        <v>9205.1200000000008</v>
      </c>
      <c r="N5689" s="676" t="s">
        <v>1240</v>
      </c>
    </row>
    <row r="5690" spans="1:14" x14ac:dyDescent="0.25">
      <c r="A5690" s="676">
        <f t="shared" si="163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/>
      <c r="L5690" s="676" t="s">
        <v>28</v>
      </c>
      <c r="M5690" s="676">
        <v>1905.96</v>
      </c>
      <c r="N5690" s="676" t="s">
        <v>1240</v>
      </c>
    </row>
    <row r="5691" spans="1:14" x14ac:dyDescent="0.25">
      <c r="A5691" s="676">
        <f t="shared" si="163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/>
      <c r="L5691" s="678" t="s">
        <v>28</v>
      </c>
      <c r="M5691" s="678">
        <v>8380.7200000000012</v>
      </c>
      <c r="N5691" s="678" t="s">
        <v>1241</v>
      </c>
    </row>
    <row r="5692" spans="1:14" x14ac:dyDescent="0.25">
      <c r="A5692" s="676">
        <f t="shared" si="163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/>
      <c r="L5692" s="678" t="s">
        <v>28</v>
      </c>
      <c r="M5692" s="678">
        <v>5024.88</v>
      </c>
      <c r="N5692" s="678" t="s">
        <v>1241</v>
      </c>
    </row>
    <row r="5693" spans="1:14" x14ac:dyDescent="0.25">
      <c r="A5693" s="676">
        <f t="shared" si="163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/>
      <c r="L5693" s="676" t="s">
        <v>266</v>
      </c>
      <c r="M5693" s="676">
        <v>1430.55</v>
      </c>
      <c r="N5693" s="676" t="s">
        <v>1240</v>
      </c>
    </row>
    <row r="5694" spans="1:14" x14ac:dyDescent="0.25">
      <c r="A5694" s="676">
        <f t="shared" si="163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/>
      <c r="L5694" s="676" t="s">
        <v>266</v>
      </c>
      <c r="M5694" s="676">
        <v>12957.47</v>
      </c>
      <c r="N5694" s="676" t="s">
        <v>1240</v>
      </c>
    </row>
    <row r="5695" spans="1:14" x14ac:dyDescent="0.25">
      <c r="A5695" s="676">
        <f t="shared" si="163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/>
      <c r="L5695" s="687" t="s">
        <v>266</v>
      </c>
      <c r="M5695" s="687">
        <v>18144.68</v>
      </c>
      <c r="N5695" s="687" t="s">
        <v>1237</v>
      </c>
    </row>
    <row r="5696" spans="1:14" x14ac:dyDescent="0.25">
      <c r="A5696" s="676">
        <f t="shared" si="163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/>
      <c r="L5696" s="676" t="s">
        <v>266</v>
      </c>
      <c r="M5696" s="676">
        <v>18075.939999999999</v>
      </c>
      <c r="N5696" s="676" t="s">
        <v>1239</v>
      </c>
    </row>
    <row r="5697" spans="1:14" x14ac:dyDescent="0.25">
      <c r="A5697" s="676">
        <f t="shared" si="163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/>
      <c r="L5697" s="687" t="s">
        <v>266</v>
      </c>
      <c r="M5697" s="687">
        <v>8248.7199999999993</v>
      </c>
      <c r="N5697" s="687" t="s">
        <v>1240</v>
      </c>
    </row>
    <row r="5698" spans="1:14" x14ac:dyDescent="0.25">
      <c r="A5698" s="676">
        <f t="shared" si="163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/>
      <c r="L5698" s="687" t="s">
        <v>28</v>
      </c>
      <c r="M5698" s="687">
        <v>8719.3799999999992</v>
      </c>
      <c r="N5698" s="687" t="s">
        <v>1240</v>
      </c>
    </row>
    <row r="5699" spans="1:14" x14ac:dyDescent="0.25">
      <c r="A5699" s="676">
        <f t="shared" si="163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/>
      <c r="L5699" s="676" t="s">
        <v>265</v>
      </c>
      <c r="M5699" s="676">
        <v>11370.92</v>
      </c>
      <c r="N5699" s="676" t="s">
        <v>1236</v>
      </c>
    </row>
    <row r="5700" spans="1:14" x14ac:dyDescent="0.25">
      <c r="A5700" s="676">
        <f t="shared" si="163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/>
      <c r="L5700" s="678" t="s">
        <v>265</v>
      </c>
      <c r="M5700" s="678">
        <v>17613.759999999998</v>
      </c>
      <c r="N5700" s="678" t="s">
        <v>1236</v>
      </c>
    </row>
    <row r="5701" spans="1:14" x14ac:dyDescent="0.25">
      <c r="A5701" s="676">
        <f t="shared" si="163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/>
      <c r="L5701" s="676" t="s">
        <v>265</v>
      </c>
      <c r="M5701" s="676">
        <v>17570.919999999998</v>
      </c>
      <c r="N5701" s="676" t="s">
        <v>1236</v>
      </c>
    </row>
    <row r="5702" spans="1:14" x14ac:dyDescent="0.25">
      <c r="A5702" s="676">
        <f t="shared" si="163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/>
      <c r="L5702" s="678" t="s">
        <v>28</v>
      </c>
      <c r="M5702" s="678">
        <v>11289.640000000001</v>
      </c>
      <c r="N5702" s="678" t="s">
        <v>1237</v>
      </c>
    </row>
    <row r="5703" spans="1:14" x14ac:dyDescent="0.25">
      <c r="A5703" s="676">
        <f t="shared" si="163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/>
      <c r="L5703" s="678" t="s">
        <v>28</v>
      </c>
      <c r="M5703" s="678">
        <v>4379.4800000000005</v>
      </c>
      <c r="N5703" s="678" t="s">
        <v>1237</v>
      </c>
    </row>
    <row r="5704" spans="1:14" x14ac:dyDescent="0.25">
      <c r="A5704" s="676">
        <f t="shared" si="163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/>
      <c r="L5704" s="678" t="s">
        <v>28</v>
      </c>
      <c r="M5704" s="678">
        <v>1454.2199999999998</v>
      </c>
      <c r="N5704" s="678" t="s">
        <v>1237</v>
      </c>
    </row>
    <row r="5705" spans="1:14" x14ac:dyDescent="0.25">
      <c r="A5705" s="676">
        <f t="shared" si="163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/>
      <c r="L5705" s="676" t="s">
        <v>28</v>
      </c>
      <c r="M5705" s="676">
        <v>5516.6399999999994</v>
      </c>
      <c r="N5705" s="676" t="s">
        <v>1239</v>
      </c>
    </row>
    <row r="5706" spans="1:14" ht="56.25" x14ac:dyDescent="0.25">
      <c r="A5706" s="676">
        <f t="shared" si="163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/>
      <c r="L5706" s="676" t="s">
        <v>28</v>
      </c>
      <c r="M5706" s="676">
        <v>3220.3199999999997</v>
      </c>
      <c r="N5706" s="676" t="s">
        <v>1239</v>
      </c>
    </row>
    <row r="5707" spans="1:14" x14ac:dyDescent="0.25">
      <c r="A5707" s="676">
        <f t="shared" si="163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/>
      <c r="L5707" s="676" t="s">
        <v>28</v>
      </c>
      <c r="M5707" s="676">
        <v>8396.4</v>
      </c>
      <c r="N5707" s="676" t="s">
        <v>1239</v>
      </c>
    </row>
    <row r="5708" spans="1:14" x14ac:dyDescent="0.25">
      <c r="A5708" s="676">
        <f t="shared" si="163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/>
      <c r="L5708" s="678" t="s">
        <v>28</v>
      </c>
      <c r="M5708" s="678">
        <v>9297.91</v>
      </c>
      <c r="N5708" s="678" t="s">
        <v>1241</v>
      </c>
    </row>
    <row r="5709" spans="1:14" x14ac:dyDescent="0.25">
      <c r="A5709" s="676">
        <f t="shared" si="163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/>
      <c r="L5709" s="678" t="s">
        <v>28</v>
      </c>
      <c r="M5709" s="678">
        <v>7691.8399999999983</v>
      </c>
      <c r="N5709" s="678" t="s">
        <v>1241</v>
      </c>
    </row>
    <row r="5710" spans="1:14" x14ac:dyDescent="0.25">
      <c r="A5710" s="676">
        <f t="shared" si="163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/>
      <c r="L5710" s="676" t="s">
        <v>265</v>
      </c>
      <c r="M5710" s="676">
        <v>15967.019999999999</v>
      </c>
      <c r="N5710" s="676" t="s">
        <v>1236</v>
      </c>
    </row>
    <row r="5711" spans="1:14" x14ac:dyDescent="0.25">
      <c r="A5711" s="676">
        <f t="shared" si="163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/>
      <c r="L5711" s="676" t="s">
        <v>266</v>
      </c>
      <c r="M5711" s="676">
        <v>1493.9999999999995</v>
      </c>
      <c r="N5711" s="676" t="s">
        <v>1236</v>
      </c>
    </row>
    <row r="5712" spans="1:14" x14ac:dyDescent="0.25">
      <c r="A5712" s="676">
        <f t="shared" si="163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/>
      <c r="L5712" s="678" t="s">
        <v>28</v>
      </c>
      <c r="M5712" s="678">
        <v>5338.38</v>
      </c>
      <c r="N5712" s="678" t="s">
        <v>1237</v>
      </c>
    </row>
    <row r="5713" spans="1:14" ht="37.5" x14ac:dyDescent="0.25">
      <c r="A5713" s="676">
        <f t="shared" si="163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/>
      <c r="L5713" s="678" t="s">
        <v>28</v>
      </c>
      <c r="M5713" s="678">
        <v>7367.2800000000007</v>
      </c>
      <c r="N5713" s="678" t="s">
        <v>1237</v>
      </c>
    </row>
    <row r="5714" spans="1:14" x14ac:dyDescent="0.25">
      <c r="A5714" s="676">
        <f t="shared" si="163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/>
      <c r="L5714" s="676" t="s">
        <v>265</v>
      </c>
      <c r="M5714" s="676">
        <v>11790.44</v>
      </c>
      <c r="N5714" s="676" t="s">
        <v>1236</v>
      </c>
    </row>
    <row r="5715" spans="1:14" x14ac:dyDescent="0.25">
      <c r="A5715" s="676">
        <f t="shared" si="163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/>
      <c r="L5715" s="678" t="s">
        <v>28</v>
      </c>
      <c r="M5715" s="678">
        <v>10622.16</v>
      </c>
      <c r="N5715" s="678" t="s">
        <v>1237</v>
      </c>
    </row>
    <row r="5716" spans="1:14" x14ac:dyDescent="0.25">
      <c r="A5716" s="676">
        <f t="shared" ref="A5716:A5779" si="165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/>
      <c r="L5716" s="676" t="s">
        <v>28</v>
      </c>
      <c r="M5716" s="676">
        <v>5085.5600000000004</v>
      </c>
      <c r="N5716" s="676" t="s">
        <v>1240</v>
      </c>
    </row>
    <row r="5717" spans="1:14" x14ac:dyDescent="0.25">
      <c r="A5717" s="676">
        <f t="shared" si="165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/>
      <c r="L5717" s="676" t="s">
        <v>28</v>
      </c>
      <c r="M5717" s="676">
        <v>4011.12</v>
      </c>
      <c r="N5717" s="676" t="s">
        <v>1240</v>
      </c>
    </row>
    <row r="5718" spans="1:14" x14ac:dyDescent="0.25">
      <c r="A5718" s="676">
        <f t="shared" si="165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/>
      <c r="L5718" s="678" t="s">
        <v>265</v>
      </c>
      <c r="M5718" s="678">
        <v>17631.959999999995</v>
      </c>
      <c r="N5718" s="678" t="s">
        <v>1236</v>
      </c>
    </row>
    <row r="5719" spans="1:14" x14ac:dyDescent="0.25">
      <c r="A5719" s="676">
        <f t="shared" si="165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/>
      <c r="L5719" s="676" t="s">
        <v>28</v>
      </c>
      <c r="M5719" s="676">
        <v>8326.42</v>
      </c>
      <c r="N5719" s="676" t="s">
        <v>1237</v>
      </c>
    </row>
    <row r="5720" spans="1:14" x14ac:dyDescent="0.25">
      <c r="A5720" s="676">
        <f t="shared" si="165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/>
      <c r="L5720" s="676" t="s">
        <v>28</v>
      </c>
      <c r="M5720" s="676">
        <v>2561.5200000000004</v>
      </c>
      <c r="N5720" s="676" t="s">
        <v>1237</v>
      </c>
    </row>
    <row r="5721" spans="1:14" x14ac:dyDescent="0.25">
      <c r="A5721" s="676">
        <f t="shared" si="165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/>
      <c r="L5721" s="676" t="s">
        <v>28</v>
      </c>
      <c r="M5721" s="676">
        <v>2829.58</v>
      </c>
      <c r="N5721" s="676" t="s">
        <v>1237</v>
      </c>
    </row>
    <row r="5722" spans="1:14" x14ac:dyDescent="0.25">
      <c r="A5722" s="676">
        <f t="shared" si="165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/>
      <c r="L5722" s="676" t="s">
        <v>28</v>
      </c>
      <c r="M5722" s="676">
        <v>3513</v>
      </c>
      <c r="N5722" s="676" t="s">
        <v>1237</v>
      </c>
    </row>
    <row r="5723" spans="1:14" x14ac:dyDescent="0.25">
      <c r="A5723" s="676">
        <f t="shared" si="165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/>
      <c r="L5723" s="678" t="s">
        <v>28</v>
      </c>
      <c r="M5723" s="678">
        <v>10953.36</v>
      </c>
      <c r="N5723" s="678" t="s">
        <v>1239</v>
      </c>
    </row>
    <row r="5724" spans="1:14" x14ac:dyDescent="0.25">
      <c r="A5724" s="676">
        <f t="shared" si="165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/>
      <c r="L5724" s="678" t="s">
        <v>266</v>
      </c>
      <c r="M5724" s="678">
        <v>6497.22</v>
      </c>
      <c r="N5724" s="678" t="s">
        <v>1239</v>
      </c>
    </row>
    <row r="5725" spans="1:14" x14ac:dyDescent="0.25">
      <c r="A5725" s="676">
        <f t="shared" si="165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/>
      <c r="L5725" s="676" t="s">
        <v>28</v>
      </c>
      <c r="M5725" s="676">
        <v>17127.16</v>
      </c>
      <c r="N5725" s="676" t="s">
        <v>1240</v>
      </c>
    </row>
    <row r="5726" spans="1:14" x14ac:dyDescent="0.25">
      <c r="A5726" s="676">
        <f t="shared" si="165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/>
      <c r="L5726" s="678" t="s">
        <v>28</v>
      </c>
      <c r="M5726" s="678">
        <v>2905.16</v>
      </c>
      <c r="N5726" s="678" t="s">
        <v>1237</v>
      </c>
    </row>
    <row r="5727" spans="1:14" x14ac:dyDescent="0.25">
      <c r="A5727" s="676">
        <f t="shared" si="165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/>
      <c r="L5727" s="678" t="s">
        <v>28</v>
      </c>
      <c r="M5727" s="678">
        <v>1463.7199999999998</v>
      </c>
      <c r="N5727" s="678" t="s">
        <v>1237</v>
      </c>
    </row>
    <row r="5728" spans="1:14" x14ac:dyDescent="0.25">
      <c r="A5728" s="676">
        <f t="shared" si="165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/>
      <c r="L5728" s="678" t="s">
        <v>28</v>
      </c>
      <c r="M5728" s="678">
        <v>7838.3200000000006</v>
      </c>
      <c r="N5728" s="678" t="s">
        <v>1237</v>
      </c>
    </row>
    <row r="5729" spans="1:14" x14ac:dyDescent="0.25">
      <c r="A5729" s="676">
        <f t="shared" si="165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/>
      <c r="L5729" s="676" t="s">
        <v>28</v>
      </c>
      <c r="M5729" s="676">
        <v>9549.119999999999</v>
      </c>
      <c r="N5729" s="676" t="s">
        <v>1239</v>
      </c>
    </row>
    <row r="5730" spans="1:14" x14ac:dyDescent="0.25">
      <c r="A5730" s="678">
        <f t="shared" si="165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/>
      <c r="L5730" s="678" t="s">
        <v>266</v>
      </c>
      <c r="M5730" s="678">
        <v>17049.34</v>
      </c>
      <c r="N5730" s="678" t="s">
        <v>1236</v>
      </c>
    </row>
    <row r="5731" spans="1:14" x14ac:dyDescent="0.25">
      <c r="A5731" s="676">
        <f t="shared" si="165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/>
      <c r="L5731" s="676" t="s">
        <v>266</v>
      </c>
      <c r="M5731" s="676">
        <v>18265.579999999998</v>
      </c>
      <c r="N5731" s="676" t="s">
        <v>1237</v>
      </c>
    </row>
    <row r="5732" spans="1:14" x14ac:dyDescent="0.25">
      <c r="A5732" s="678">
        <f t="shared" si="165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/>
      <c r="L5732" s="678" t="s">
        <v>266</v>
      </c>
      <c r="M5732" s="678">
        <v>18140.560000000001</v>
      </c>
      <c r="N5732" s="678" t="s">
        <v>1239</v>
      </c>
    </row>
    <row r="5733" spans="1:14" x14ac:dyDescent="0.25">
      <c r="A5733" s="676">
        <f t="shared" si="165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/>
      <c r="L5733" s="676" t="s">
        <v>266</v>
      </c>
      <c r="M5733" s="676">
        <v>18075.96</v>
      </c>
      <c r="N5733" s="676" t="s">
        <v>1240</v>
      </c>
    </row>
    <row r="5734" spans="1:14" x14ac:dyDescent="0.25">
      <c r="A5734" s="678">
        <f t="shared" si="165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/>
      <c r="L5734" s="678" t="s">
        <v>266</v>
      </c>
      <c r="M5734" s="678">
        <v>7323.6999999999989</v>
      </c>
      <c r="N5734" s="678" t="s">
        <v>1241</v>
      </c>
    </row>
    <row r="5735" spans="1:14" x14ac:dyDescent="0.25">
      <c r="A5735" s="678">
        <f t="shared" si="165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/>
      <c r="L5735" s="678" t="s">
        <v>266</v>
      </c>
      <c r="M5735" s="678">
        <v>7278.2699999999995</v>
      </c>
      <c r="N5735" s="678" t="s">
        <v>1241</v>
      </c>
    </row>
    <row r="5736" spans="1:14" x14ac:dyDescent="0.25">
      <c r="A5736" s="676">
        <f t="shared" si="165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/>
      <c r="L5736" s="676" t="s">
        <v>265</v>
      </c>
      <c r="M5736" s="676">
        <v>17282.759999999998</v>
      </c>
      <c r="N5736" s="676" t="s">
        <v>1236</v>
      </c>
    </row>
    <row r="5737" spans="1:14" x14ac:dyDescent="0.25">
      <c r="A5737" s="678">
        <f t="shared" si="165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/>
      <c r="L5737" s="678" t="s">
        <v>265</v>
      </c>
      <c r="M5737" s="678">
        <v>17445.300000000003</v>
      </c>
      <c r="N5737" s="678" t="s">
        <v>1236</v>
      </c>
    </row>
    <row r="5738" spans="1:14" x14ac:dyDescent="0.25">
      <c r="A5738" s="676">
        <f t="shared" si="165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/>
      <c r="L5738" s="676" t="s">
        <v>28</v>
      </c>
      <c r="M5738" s="676">
        <v>3310.2</v>
      </c>
      <c r="N5738" s="676" t="s">
        <v>1237</v>
      </c>
    </row>
    <row r="5739" spans="1:14" x14ac:dyDescent="0.25">
      <c r="A5739" s="676">
        <f t="shared" si="165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/>
      <c r="L5739" s="676" t="s">
        <v>28</v>
      </c>
      <c r="M5739" s="676">
        <v>1584.48</v>
      </c>
      <c r="N5739" s="676" t="s">
        <v>1237</v>
      </c>
    </row>
    <row r="5740" spans="1:14" x14ac:dyDescent="0.25">
      <c r="A5740" s="676">
        <f t="shared" si="165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/>
      <c r="L5740" s="676" t="s">
        <v>28</v>
      </c>
      <c r="M5740" s="676">
        <v>7596.4</v>
      </c>
      <c r="N5740" s="676" t="s">
        <v>1237</v>
      </c>
    </row>
    <row r="5741" spans="1:14" x14ac:dyDescent="0.25">
      <c r="A5741" s="676">
        <f t="shared" si="165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/>
      <c r="L5741" s="676" t="s">
        <v>28</v>
      </c>
      <c r="M5741" s="676">
        <v>4727.7</v>
      </c>
      <c r="N5741" s="676" t="s">
        <v>1237</v>
      </c>
    </row>
    <row r="5742" spans="1:14" x14ac:dyDescent="0.25">
      <c r="A5742" s="678">
        <f t="shared" si="165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/>
      <c r="L5742" s="678" t="s">
        <v>28</v>
      </c>
      <c r="M5742" s="678">
        <v>8840.16</v>
      </c>
      <c r="N5742" s="678" t="s">
        <v>1239</v>
      </c>
    </row>
    <row r="5743" spans="1:14" ht="56.25" x14ac:dyDescent="0.25">
      <c r="A5743" s="678">
        <f t="shared" si="165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/>
      <c r="L5743" s="678" t="s">
        <v>28</v>
      </c>
      <c r="M5743" s="678">
        <v>2532.48</v>
      </c>
      <c r="N5743" s="678" t="s">
        <v>1239</v>
      </c>
    </row>
    <row r="5744" spans="1:14" x14ac:dyDescent="0.25">
      <c r="A5744" s="678">
        <f t="shared" si="165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/>
      <c r="L5744" s="678" t="s">
        <v>28</v>
      </c>
      <c r="M5744" s="678">
        <v>5631.16</v>
      </c>
      <c r="N5744" s="678" t="s">
        <v>1239</v>
      </c>
    </row>
    <row r="5745" spans="1:14" x14ac:dyDescent="0.25">
      <c r="A5745" s="676">
        <f t="shared" si="165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/>
      <c r="L5745" s="676" t="s">
        <v>28</v>
      </c>
      <c r="M5745" s="676">
        <v>7424.64</v>
      </c>
      <c r="N5745" s="676" t="s">
        <v>1240</v>
      </c>
    </row>
    <row r="5746" spans="1:14" x14ac:dyDescent="0.25">
      <c r="A5746" s="676">
        <f t="shared" si="165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/>
      <c r="L5746" s="676" t="s">
        <v>28</v>
      </c>
      <c r="M5746" s="676">
        <v>10092.27</v>
      </c>
      <c r="N5746" s="676" t="s">
        <v>1240</v>
      </c>
    </row>
    <row r="5747" spans="1:14" x14ac:dyDescent="0.25">
      <c r="A5747" s="678">
        <f t="shared" si="165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/>
      <c r="L5747" s="678" t="s">
        <v>28</v>
      </c>
      <c r="M5747" s="678">
        <v>14335.439999999999</v>
      </c>
      <c r="N5747" s="678" t="s">
        <v>1241</v>
      </c>
    </row>
    <row r="5748" spans="1:14" x14ac:dyDescent="0.25">
      <c r="A5748" s="678">
        <f t="shared" si="165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/>
      <c r="L5748" s="678" t="s">
        <v>28</v>
      </c>
      <c r="M5748" s="678">
        <v>1316.82</v>
      </c>
      <c r="N5748" s="678" t="s">
        <v>1241</v>
      </c>
    </row>
    <row r="5749" spans="1:14" x14ac:dyDescent="0.25">
      <c r="A5749" s="678">
        <f t="shared" si="165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/>
      <c r="L5749" s="678" t="s">
        <v>28</v>
      </c>
      <c r="M5749" s="678">
        <v>1520.1</v>
      </c>
      <c r="N5749" s="678" t="s">
        <v>1241</v>
      </c>
    </row>
    <row r="5750" spans="1:14" x14ac:dyDescent="0.25">
      <c r="A5750" s="676">
        <f t="shared" si="165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/>
      <c r="L5750" s="676" t="s">
        <v>28</v>
      </c>
      <c r="M5750" s="676">
        <v>17212.78</v>
      </c>
      <c r="N5750" s="676" t="s">
        <v>1242</v>
      </c>
    </row>
    <row r="5751" spans="1:14" x14ac:dyDescent="0.25">
      <c r="A5751" s="678">
        <f t="shared" si="165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/>
      <c r="L5751" s="678" t="s">
        <v>265</v>
      </c>
      <c r="M5751" s="678">
        <v>12283.880000000001</v>
      </c>
      <c r="N5751" s="678" t="s">
        <v>1236</v>
      </c>
    </row>
    <row r="5752" spans="1:14" x14ac:dyDescent="0.25">
      <c r="A5752" s="678">
        <f t="shared" si="165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/>
      <c r="L5752" s="678" t="s">
        <v>265</v>
      </c>
      <c r="M5752" s="678">
        <v>386.4</v>
      </c>
      <c r="N5752" s="678" t="s">
        <v>1236</v>
      </c>
    </row>
    <row r="5753" spans="1:14" x14ac:dyDescent="0.25">
      <c r="A5753" s="676">
        <f t="shared" si="165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/>
      <c r="L5753" s="676" t="s">
        <v>265</v>
      </c>
      <c r="M5753" s="676">
        <v>15799.320000000002</v>
      </c>
      <c r="N5753" s="676" t="s">
        <v>1236</v>
      </c>
    </row>
    <row r="5754" spans="1:14" x14ac:dyDescent="0.25">
      <c r="A5754" s="676">
        <f t="shared" si="165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/>
      <c r="L5754" s="676" t="s">
        <v>266</v>
      </c>
      <c r="M5754" s="676">
        <v>1561.56</v>
      </c>
      <c r="N5754" s="676" t="s">
        <v>1236</v>
      </c>
    </row>
    <row r="5755" spans="1:14" ht="37.5" x14ac:dyDescent="0.25">
      <c r="A5755" s="678">
        <f t="shared" si="165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/>
      <c r="L5755" s="678" t="s">
        <v>28</v>
      </c>
      <c r="M5755" s="678">
        <v>11107.740000000002</v>
      </c>
      <c r="N5755" s="678" t="s">
        <v>1237</v>
      </c>
    </row>
    <row r="5756" spans="1:14" x14ac:dyDescent="0.25">
      <c r="A5756" s="676">
        <f t="shared" si="165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/>
      <c r="L5756" s="676" t="s">
        <v>28</v>
      </c>
      <c r="M5756" s="676">
        <v>6249.96</v>
      </c>
      <c r="N5756" s="676" t="s">
        <v>1237</v>
      </c>
    </row>
    <row r="5757" spans="1:14" x14ac:dyDescent="0.25">
      <c r="A5757" s="676">
        <f t="shared" si="165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/>
      <c r="L5757" s="676" t="s">
        <v>28</v>
      </c>
      <c r="M5757" s="676">
        <v>5542.2</v>
      </c>
      <c r="N5757" s="676" t="s">
        <v>1237</v>
      </c>
    </row>
    <row r="5758" spans="1:14" x14ac:dyDescent="0.25">
      <c r="A5758" s="678">
        <f t="shared" si="165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/>
      <c r="L5758" s="678" t="s">
        <v>28</v>
      </c>
      <c r="M5758" s="678">
        <v>11174.88</v>
      </c>
      <c r="N5758" s="678" t="s">
        <v>1239</v>
      </c>
    </row>
    <row r="5759" spans="1:14" x14ac:dyDescent="0.25">
      <c r="A5759" s="676">
        <f t="shared" si="165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/>
      <c r="L5759" s="676" t="s">
        <v>265</v>
      </c>
      <c r="M5759" s="676">
        <v>17329.38</v>
      </c>
      <c r="N5759" s="676" t="s">
        <v>1236</v>
      </c>
    </row>
    <row r="5760" spans="1:14" x14ac:dyDescent="0.25">
      <c r="A5760" s="527">
        <f t="shared" si="165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/>
      <c r="L5760" s="527" t="s">
        <v>28</v>
      </c>
      <c r="M5760" s="527">
        <v>8921.9</v>
      </c>
      <c r="N5760" s="527" t="s">
        <v>1237</v>
      </c>
    </row>
    <row r="5761" spans="1:14" x14ac:dyDescent="0.25">
      <c r="A5761" s="527">
        <f t="shared" si="165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/>
      <c r="L5761" s="527" t="s">
        <v>28</v>
      </c>
      <c r="M5761" s="527">
        <v>3031.6800000000003</v>
      </c>
      <c r="N5761" s="527" t="s">
        <v>1237</v>
      </c>
    </row>
    <row r="5762" spans="1:14" x14ac:dyDescent="0.25">
      <c r="A5762" s="527">
        <f t="shared" si="165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/>
      <c r="L5762" s="527" t="s">
        <v>28</v>
      </c>
      <c r="M5762" s="527">
        <v>5304.66</v>
      </c>
      <c r="N5762" s="527" t="s">
        <v>1237</v>
      </c>
    </row>
    <row r="5763" spans="1:14" x14ac:dyDescent="0.25">
      <c r="A5763" s="676">
        <f t="shared" si="165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/>
      <c r="L5763" s="676" t="s">
        <v>28</v>
      </c>
      <c r="M5763" s="676">
        <v>8341.08</v>
      </c>
      <c r="N5763" s="676" t="s">
        <v>1239</v>
      </c>
    </row>
    <row r="5764" spans="1:14" x14ac:dyDescent="0.25">
      <c r="A5764" s="676">
        <f t="shared" si="165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/>
      <c r="L5764" s="676" t="s">
        <v>266</v>
      </c>
      <c r="M5764" s="676">
        <v>8959.5600000000013</v>
      </c>
      <c r="N5764" s="676" t="s">
        <v>1239</v>
      </c>
    </row>
    <row r="5765" spans="1:14" x14ac:dyDescent="0.25">
      <c r="A5765" s="678">
        <f t="shared" si="165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/>
      <c r="L5765" s="678" t="s">
        <v>28</v>
      </c>
      <c r="M5765" s="678">
        <v>1309.08</v>
      </c>
      <c r="N5765" s="678" t="s">
        <v>1240</v>
      </c>
    </row>
    <row r="5766" spans="1:14" ht="37.5" x14ac:dyDescent="0.25">
      <c r="A5766" s="678">
        <f t="shared" si="165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/>
      <c r="L5766" s="678" t="s">
        <v>28</v>
      </c>
      <c r="M5766" s="678">
        <v>14234.52</v>
      </c>
      <c r="N5766" s="678" t="s">
        <v>1240</v>
      </c>
    </row>
    <row r="5767" spans="1:14" x14ac:dyDescent="0.25">
      <c r="A5767" s="676">
        <f t="shared" si="165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/>
      <c r="L5767" s="676" t="s">
        <v>28</v>
      </c>
      <c r="M5767" s="676">
        <v>2268.48</v>
      </c>
      <c r="N5767" s="676" t="s">
        <v>1237</v>
      </c>
    </row>
    <row r="5768" spans="1:14" x14ac:dyDescent="0.25">
      <c r="A5768" s="676">
        <f t="shared" si="165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/>
      <c r="L5768" s="676" t="s">
        <v>28</v>
      </c>
      <c r="M5768" s="676">
        <v>7950</v>
      </c>
      <c r="N5768" s="676" t="s">
        <v>1237</v>
      </c>
    </row>
    <row r="5769" spans="1:14" x14ac:dyDescent="0.25">
      <c r="A5769" s="678">
        <f t="shared" si="165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/>
      <c r="L5769" s="678" t="s">
        <v>266</v>
      </c>
      <c r="M5769" s="678">
        <v>12349.92</v>
      </c>
      <c r="N5769" s="678" t="s">
        <v>1239</v>
      </c>
    </row>
    <row r="5770" spans="1:14" x14ac:dyDescent="0.25">
      <c r="A5770" s="676">
        <f t="shared" si="165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/>
      <c r="L5770" s="676" t="s">
        <v>28</v>
      </c>
      <c r="M5770" s="676">
        <v>4737.68</v>
      </c>
      <c r="N5770" s="676" t="s">
        <v>1240</v>
      </c>
    </row>
    <row r="5771" spans="1:14" x14ac:dyDescent="0.25">
      <c r="A5771" s="676">
        <f t="shared" si="165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/>
      <c r="L5771" s="676" t="s">
        <v>28</v>
      </c>
      <c r="M5771" s="676">
        <v>1496.16</v>
      </c>
      <c r="N5771" s="676" t="s">
        <v>1240</v>
      </c>
    </row>
    <row r="5772" spans="1:14" x14ac:dyDescent="0.25">
      <c r="A5772" s="676">
        <f t="shared" si="165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/>
      <c r="L5772" s="676" t="s">
        <v>28</v>
      </c>
      <c r="M5772" s="676">
        <v>5165.6799999999994</v>
      </c>
      <c r="N5772" s="676" t="s">
        <v>1240</v>
      </c>
    </row>
    <row r="5773" spans="1:14" x14ac:dyDescent="0.25">
      <c r="A5773" s="678">
        <f t="shared" si="165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/>
      <c r="L5773" s="678" t="s">
        <v>266</v>
      </c>
      <c r="M5773" s="678">
        <v>1661.61</v>
      </c>
      <c r="N5773" s="678" t="s">
        <v>1240</v>
      </c>
    </row>
    <row r="5774" spans="1:14" x14ac:dyDescent="0.25">
      <c r="A5774" s="678">
        <f t="shared" si="165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/>
      <c r="L5774" s="678" t="s">
        <v>266</v>
      </c>
      <c r="M5774" s="678">
        <v>11097.840000000004</v>
      </c>
      <c r="N5774" s="678" t="s">
        <v>1240</v>
      </c>
    </row>
    <row r="5775" spans="1:14" x14ac:dyDescent="0.25">
      <c r="A5775" s="676">
        <f t="shared" si="165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/>
      <c r="L5775" s="676" t="s">
        <v>266</v>
      </c>
      <c r="M5775" s="676">
        <v>18168.059999999998</v>
      </c>
      <c r="N5775" s="676" t="s">
        <v>1237</v>
      </c>
    </row>
    <row r="5776" spans="1:14" x14ac:dyDescent="0.25">
      <c r="A5776" s="678">
        <f t="shared" si="165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/>
      <c r="L5776" s="678" t="s">
        <v>266</v>
      </c>
      <c r="M5776" s="678">
        <v>18113.499999999996</v>
      </c>
      <c r="N5776" s="678" t="s">
        <v>1239</v>
      </c>
    </row>
    <row r="5777" spans="1:14" x14ac:dyDescent="0.25">
      <c r="A5777" s="676">
        <f t="shared" si="165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/>
      <c r="L5777" s="676" t="s">
        <v>266</v>
      </c>
      <c r="M5777" s="676">
        <v>18031.2</v>
      </c>
      <c r="N5777" s="676" t="s">
        <v>1240</v>
      </c>
    </row>
    <row r="5778" spans="1:14" x14ac:dyDescent="0.25">
      <c r="A5778" s="678">
        <f t="shared" si="165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/>
      <c r="L5778" s="678" t="s">
        <v>266</v>
      </c>
      <c r="M5778" s="678">
        <v>18098.34</v>
      </c>
      <c r="N5778" s="678" t="s">
        <v>1241</v>
      </c>
    </row>
    <row r="5779" spans="1:14" x14ac:dyDescent="0.25">
      <c r="A5779" s="676">
        <f t="shared" si="165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/>
      <c r="L5779" s="676" t="s">
        <v>266</v>
      </c>
      <c r="M5779" s="676">
        <v>18176.140000000003</v>
      </c>
      <c r="N5779" s="676" t="s">
        <v>1242</v>
      </c>
    </row>
    <row r="5780" spans="1:14" x14ac:dyDescent="0.25">
      <c r="A5780" s="678">
        <f t="shared" ref="A5780:A5843" si="166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/>
      <c r="L5780" s="678" t="s">
        <v>265</v>
      </c>
      <c r="M5780" s="678">
        <v>4004</v>
      </c>
      <c r="N5780" s="678" t="s">
        <v>1236</v>
      </c>
    </row>
    <row r="5781" spans="1:14" x14ac:dyDescent="0.25">
      <c r="A5781" s="678">
        <f t="shared" si="166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/>
      <c r="L5781" s="678" t="s">
        <v>265</v>
      </c>
      <c r="M5781" s="678">
        <v>13232.039999999999</v>
      </c>
      <c r="N5781" s="678" t="s">
        <v>1236</v>
      </c>
    </row>
    <row r="5782" spans="1:14" x14ac:dyDescent="0.25">
      <c r="A5782" s="676">
        <f t="shared" si="166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/>
      <c r="L5782" s="676" t="s">
        <v>265</v>
      </c>
      <c r="M5782" s="676">
        <v>12085.24</v>
      </c>
      <c r="N5782" s="676" t="s">
        <v>1236</v>
      </c>
    </row>
    <row r="5783" spans="1:14" x14ac:dyDescent="0.25">
      <c r="A5783" s="678">
        <f t="shared" si="166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/>
      <c r="L5783" s="678" t="s">
        <v>265</v>
      </c>
      <c r="M5783" s="678">
        <v>17404</v>
      </c>
      <c r="N5783" s="678" t="s">
        <v>1236</v>
      </c>
    </row>
    <row r="5784" spans="1:14" ht="37.5" x14ac:dyDescent="0.25">
      <c r="A5784" s="676">
        <f t="shared" si="166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/>
      <c r="L5784" s="676" t="s">
        <v>28</v>
      </c>
      <c r="M5784" s="676">
        <v>2010</v>
      </c>
      <c r="N5784" s="676" t="s">
        <v>1237</v>
      </c>
    </row>
    <row r="5785" spans="1:14" x14ac:dyDescent="0.25">
      <c r="A5785" s="676">
        <f t="shared" si="166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/>
      <c r="L5785" s="676" t="s">
        <v>266</v>
      </c>
      <c r="M5785" s="676">
        <v>4147.1200000000008</v>
      </c>
      <c r="N5785" s="676" t="s">
        <v>1237</v>
      </c>
    </row>
    <row r="5786" spans="1:14" x14ac:dyDescent="0.25">
      <c r="A5786" s="676">
        <f t="shared" si="166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/>
      <c r="L5786" s="676" t="s">
        <v>28</v>
      </c>
      <c r="M5786" s="676">
        <v>11050.2</v>
      </c>
      <c r="N5786" s="676" t="s">
        <v>1237</v>
      </c>
    </row>
    <row r="5787" spans="1:14" x14ac:dyDescent="0.25">
      <c r="A5787" s="678">
        <f t="shared" si="166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/>
      <c r="L5787" s="678" t="s">
        <v>28</v>
      </c>
      <c r="M5787" s="678">
        <v>2079.6</v>
      </c>
      <c r="N5787" s="678" t="s">
        <v>1239</v>
      </c>
    </row>
    <row r="5788" spans="1:14" x14ac:dyDescent="0.25">
      <c r="A5788" s="678">
        <f t="shared" si="166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/>
      <c r="L5788" s="678" t="s">
        <v>28</v>
      </c>
      <c r="M5788" s="678">
        <v>7324.2000000000007</v>
      </c>
      <c r="N5788" s="678" t="s">
        <v>1239</v>
      </c>
    </row>
    <row r="5789" spans="1:14" x14ac:dyDescent="0.25">
      <c r="A5789" s="678">
        <f t="shared" si="166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/>
      <c r="L5789" s="678" t="s">
        <v>28</v>
      </c>
      <c r="M5789" s="678">
        <v>3471.73</v>
      </c>
      <c r="N5789" s="678" t="s">
        <v>1239</v>
      </c>
    </row>
    <row r="5790" spans="1:14" x14ac:dyDescent="0.25">
      <c r="A5790" s="678">
        <f t="shared" si="166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/>
      <c r="L5790" s="678" t="s">
        <v>28</v>
      </c>
      <c r="M5790" s="678">
        <v>4324.5600000000004</v>
      </c>
      <c r="N5790" s="678" t="s">
        <v>1239</v>
      </c>
    </row>
    <row r="5791" spans="1:14" x14ac:dyDescent="0.25">
      <c r="A5791" s="676">
        <f t="shared" si="166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/>
      <c r="L5791" s="676" t="s">
        <v>28</v>
      </c>
      <c r="M5791" s="676">
        <v>7644.6</v>
      </c>
      <c r="N5791" s="676" t="s">
        <v>1240</v>
      </c>
    </row>
    <row r="5792" spans="1:14" x14ac:dyDescent="0.25">
      <c r="A5792" s="676">
        <f t="shared" si="166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/>
      <c r="L5792" s="676" t="s">
        <v>28</v>
      </c>
      <c r="M5792" s="676">
        <v>9461.880000000001</v>
      </c>
      <c r="N5792" s="676" t="s">
        <v>1240</v>
      </c>
    </row>
    <row r="5793" spans="1:14" x14ac:dyDescent="0.25">
      <c r="A5793" s="678">
        <f t="shared" si="166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/>
      <c r="L5793" s="678" t="s">
        <v>28</v>
      </c>
      <c r="M5793" s="678">
        <v>7953.6200000000008</v>
      </c>
      <c r="N5793" s="678" t="s">
        <v>1241</v>
      </c>
    </row>
    <row r="5794" spans="1:14" x14ac:dyDescent="0.25">
      <c r="A5794" s="678">
        <f t="shared" si="166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/>
      <c r="L5794" s="678" t="s">
        <v>28</v>
      </c>
      <c r="M5794" s="678">
        <v>1280.94</v>
      </c>
      <c r="N5794" s="678" t="s">
        <v>1241</v>
      </c>
    </row>
    <row r="5795" spans="1:14" x14ac:dyDescent="0.25">
      <c r="A5795" s="678">
        <f t="shared" si="166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/>
      <c r="L5795" s="678" t="s">
        <v>28</v>
      </c>
      <c r="M5795" s="678">
        <v>7885.2700000000023</v>
      </c>
      <c r="N5795" s="678" t="s">
        <v>1241</v>
      </c>
    </row>
    <row r="5796" spans="1:14" x14ac:dyDescent="0.25">
      <c r="A5796" s="676">
        <f t="shared" si="166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/>
      <c r="L5796" s="676" t="s">
        <v>265</v>
      </c>
      <c r="M5796" s="676">
        <v>15740.58</v>
      </c>
      <c r="N5796" s="676" t="s">
        <v>1236</v>
      </c>
    </row>
    <row r="5797" spans="1:14" x14ac:dyDescent="0.25">
      <c r="A5797" s="676">
        <f t="shared" si="166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/>
      <c r="L5797" s="676" t="s">
        <v>266</v>
      </c>
      <c r="M5797" s="676">
        <v>1440.72</v>
      </c>
      <c r="N5797" s="676" t="s">
        <v>1236</v>
      </c>
    </row>
    <row r="5798" spans="1:14" x14ac:dyDescent="0.25">
      <c r="A5798" s="678">
        <f t="shared" si="166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/>
      <c r="L5798" s="678" t="s">
        <v>265</v>
      </c>
      <c r="M5798" s="678">
        <v>12011.28</v>
      </c>
      <c r="N5798" s="678" t="s">
        <v>1236</v>
      </c>
    </row>
    <row r="5799" spans="1:14" x14ac:dyDescent="0.25">
      <c r="A5799" s="678">
        <f t="shared" si="166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/>
      <c r="L5799" s="678" t="s">
        <v>265</v>
      </c>
      <c r="M5799" s="678">
        <v>774</v>
      </c>
      <c r="N5799" s="678" t="s">
        <v>1236</v>
      </c>
    </row>
    <row r="5800" spans="1:14" x14ac:dyDescent="0.25">
      <c r="A5800" s="676">
        <f t="shared" si="166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/>
      <c r="L5800" s="676" t="s">
        <v>28</v>
      </c>
      <c r="M5800" s="676">
        <v>12313.64</v>
      </c>
      <c r="N5800" s="676" t="s">
        <v>1237</v>
      </c>
    </row>
    <row r="5801" spans="1:14" ht="37.5" x14ac:dyDescent="0.25">
      <c r="A5801" s="678">
        <f t="shared" si="166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/>
      <c r="L5801" s="678" t="s">
        <v>28</v>
      </c>
      <c r="M5801" s="678">
        <v>13136.880000000001</v>
      </c>
      <c r="N5801" s="678" t="s">
        <v>1237</v>
      </c>
    </row>
    <row r="5802" spans="1:14" x14ac:dyDescent="0.25">
      <c r="A5802" s="676">
        <f t="shared" si="166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/>
      <c r="L5802" s="676" t="s">
        <v>265</v>
      </c>
      <c r="M5802" s="676">
        <v>17537.259999999998</v>
      </c>
      <c r="N5802" s="676" t="s">
        <v>1236</v>
      </c>
    </row>
    <row r="5803" spans="1:14" x14ac:dyDescent="0.25">
      <c r="A5803" s="678">
        <f t="shared" si="166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/>
      <c r="L5803" s="678" t="s">
        <v>28</v>
      </c>
      <c r="M5803" s="678">
        <v>3419.1</v>
      </c>
      <c r="N5803" s="678" t="s">
        <v>1237</v>
      </c>
    </row>
    <row r="5804" spans="1:14" x14ac:dyDescent="0.25">
      <c r="A5804" s="678">
        <f t="shared" si="166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/>
      <c r="L5804" s="678" t="s">
        <v>28</v>
      </c>
      <c r="M5804" s="678">
        <v>1079.1600000000001</v>
      </c>
      <c r="N5804" s="678" t="s">
        <v>1237</v>
      </c>
    </row>
    <row r="5805" spans="1:14" x14ac:dyDescent="0.25">
      <c r="A5805" s="678">
        <f t="shared" si="166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/>
      <c r="L5805" s="678" t="s">
        <v>28</v>
      </c>
      <c r="M5805" s="678">
        <v>2611.1600000000003</v>
      </c>
      <c r="N5805" s="678" t="s">
        <v>1237</v>
      </c>
    </row>
    <row r="5806" spans="1:14" x14ac:dyDescent="0.25">
      <c r="A5806" s="678">
        <f t="shared" si="166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/>
      <c r="L5806" s="678" t="s">
        <v>28</v>
      </c>
      <c r="M5806" s="678">
        <v>9961.4599999999991</v>
      </c>
      <c r="N5806" s="678" t="s">
        <v>1237</v>
      </c>
    </row>
    <row r="5807" spans="1:14" x14ac:dyDescent="0.25">
      <c r="A5807" s="676">
        <f t="shared" si="166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/>
      <c r="L5807" s="676" t="s">
        <v>266</v>
      </c>
      <c r="M5807" s="676">
        <v>4147.1200000000008</v>
      </c>
      <c r="N5807" s="676" t="s">
        <v>1239</v>
      </c>
    </row>
    <row r="5808" spans="1:14" x14ac:dyDescent="0.25">
      <c r="A5808" s="676">
        <f t="shared" si="166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/>
      <c r="L5808" s="676" t="s">
        <v>266</v>
      </c>
      <c r="M5808" s="676">
        <v>10311</v>
      </c>
      <c r="N5808" s="676" t="s">
        <v>1239</v>
      </c>
    </row>
    <row r="5809" spans="1:14" x14ac:dyDescent="0.25">
      <c r="A5809" s="676">
        <f t="shared" si="166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/>
      <c r="L5809" s="676" t="s">
        <v>28</v>
      </c>
      <c r="M5809" s="676">
        <v>2532.36</v>
      </c>
      <c r="N5809" s="676" t="s">
        <v>1239</v>
      </c>
    </row>
    <row r="5810" spans="1:14" x14ac:dyDescent="0.25">
      <c r="A5810" s="678">
        <f t="shared" si="166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/>
      <c r="L5810" s="678" t="s">
        <v>28</v>
      </c>
      <c r="M5810" s="678">
        <v>951</v>
      </c>
      <c r="N5810" s="678" t="s">
        <v>1237</v>
      </c>
    </row>
    <row r="5811" spans="1:14" x14ac:dyDescent="0.25">
      <c r="A5811" s="678">
        <f t="shared" si="166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/>
      <c r="L5811" s="678" t="s">
        <v>28</v>
      </c>
      <c r="M5811" s="678">
        <v>4004.3599999999997</v>
      </c>
      <c r="N5811" s="678" t="s">
        <v>1237</v>
      </c>
    </row>
    <row r="5812" spans="1:14" x14ac:dyDescent="0.25">
      <c r="A5812" s="678">
        <f t="shared" si="166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/>
      <c r="L5812" s="678" t="s">
        <v>28</v>
      </c>
      <c r="M5812" s="678">
        <v>5392.08</v>
      </c>
      <c r="N5812" s="678" t="s">
        <v>1237</v>
      </c>
    </row>
    <row r="5813" spans="1:14" x14ac:dyDescent="0.25">
      <c r="A5813" s="676">
        <f t="shared" si="166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/>
      <c r="L5813" s="676" t="s">
        <v>266</v>
      </c>
      <c r="M5813" s="676">
        <v>18123.539999999997</v>
      </c>
      <c r="N5813" s="676" t="s">
        <v>1237</v>
      </c>
    </row>
    <row r="5814" spans="1:14" x14ac:dyDescent="0.25">
      <c r="A5814" s="678">
        <f t="shared" si="166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/>
      <c r="L5814" s="678" t="s">
        <v>266</v>
      </c>
      <c r="M5814" s="678">
        <v>18149.040000000005</v>
      </c>
      <c r="N5814" s="678" t="s">
        <v>1239</v>
      </c>
    </row>
    <row r="5815" spans="1:14" x14ac:dyDescent="0.25">
      <c r="A5815" s="676">
        <f t="shared" si="166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/>
      <c r="L5815" s="676" t="s">
        <v>266</v>
      </c>
      <c r="M5815" s="676">
        <v>18092.8</v>
      </c>
      <c r="N5815" s="676" t="s">
        <v>1240</v>
      </c>
    </row>
    <row r="5816" spans="1:14" x14ac:dyDescent="0.25">
      <c r="A5816" s="678">
        <f t="shared" si="166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/>
      <c r="L5816" s="678" t="s">
        <v>265</v>
      </c>
      <c r="M5816" s="678">
        <v>3190.2000000000003</v>
      </c>
      <c r="N5816" s="678" t="s">
        <v>1236</v>
      </c>
    </row>
    <row r="5817" spans="1:14" x14ac:dyDescent="0.25">
      <c r="A5817" s="678">
        <f t="shared" si="166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/>
      <c r="L5817" s="678" t="s">
        <v>265</v>
      </c>
      <c r="M5817" s="678">
        <v>14206.300000000001</v>
      </c>
      <c r="N5817" s="678" t="s">
        <v>1236</v>
      </c>
    </row>
    <row r="5818" spans="1:14" x14ac:dyDescent="0.25">
      <c r="A5818" s="676">
        <f t="shared" si="166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/>
      <c r="L5818" s="676" t="s">
        <v>265</v>
      </c>
      <c r="M5818" s="676">
        <v>12710.04</v>
      </c>
      <c r="N5818" s="676" t="s">
        <v>1236</v>
      </c>
    </row>
    <row r="5819" spans="1:14" x14ac:dyDescent="0.25">
      <c r="A5819" s="676">
        <f t="shared" si="166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/>
      <c r="L5819" s="676" t="s">
        <v>265</v>
      </c>
      <c r="M5819" s="676">
        <v>90.72</v>
      </c>
      <c r="N5819" s="676" t="s">
        <v>1236</v>
      </c>
    </row>
    <row r="5820" spans="1:14" x14ac:dyDescent="0.25">
      <c r="A5820" s="678">
        <f t="shared" si="166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/>
      <c r="L5820" s="678" t="s">
        <v>265</v>
      </c>
      <c r="M5820" s="678">
        <v>17539.689999999999</v>
      </c>
      <c r="N5820" s="678" t="s">
        <v>1236</v>
      </c>
    </row>
    <row r="5821" spans="1:14" x14ac:dyDescent="0.25">
      <c r="A5821" s="676">
        <f t="shared" si="166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/>
      <c r="L5821" s="676" t="s">
        <v>28</v>
      </c>
      <c r="M5821" s="676">
        <v>7708.7999999999993</v>
      </c>
      <c r="N5821" s="676" t="s">
        <v>1239</v>
      </c>
    </row>
    <row r="5822" spans="1:14" x14ac:dyDescent="0.25">
      <c r="A5822" s="676">
        <f t="shared" si="166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/>
      <c r="L5822" s="676" t="s">
        <v>28</v>
      </c>
      <c r="M5822" s="676">
        <v>7410.12</v>
      </c>
      <c r="N5822" s="676" t="s">
        <v>1239</v>
      </c>
    </row>
    <row r="5823" spans="1:14" ht="37.5" x14ac:dyDescent="0.25">
      <c r="A5823" s="676">
        <f t="shared" si="166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/>
      <c r="L5823" s="676" t="s">
        <v>28</v>
      </c>
      <c r="M5823" s="676">
        <v>2115</v>
      </c>
      <c r="N5823" s="676" t="s">
        <v>1239</v>
      </c>
    </row>
    <row r="5824" spans="1:14" x14ac:dyDescent="0.25">
      <c r="A5824" s="678">
        <f t="shared" si="166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/>
      <c r="L5824" s="678" t="s">
        <v>28</v>
      </c>
      <c r="M5824" s="678">
        <v>15776.789999999999</v>
      </c>
      <c r="N5824" s="678" t="s">
        <v>1240</v>
      </c>
    </row>
    <row r="5825" spans="1:14" x14ac:dyDescent="0.25">
      <c r="A5825" s="678">
        <f t="shared" si="166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/>
      <c r="L5825" s="678" t="s">
        <v>28</v>
      </c>
      <c r="M5825" s="678">
        <v>1268.76</v>
      </c>
      <c r="N5825" s="678" t="s">
        <v>1240</v>
      </c>
    </row>
    <row r="5826" spans="1:14" x14ac:dyDescent="0.25">
      <c r="A5826" s="676">
        <f t="shared" si="166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/>
      <c r="L5826" s="676" t="s">
        <v>28</v>
      </c>
      <c r="M5826" s="676">
        <v>17163.760000000002</v>
      </c>
      <c r="N5826" s="676" t="s">
        <v>1241</v>
      </c>
    </row>
    <row r="5827" spans="1:14" x14ac:dyDescent="0.25">
      <c r="A5827" s="678">
        <f t="shared" si="166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/>
      <c r="L5827" s="678" t="s">
        <v>266</v>
      </c>
      <c r="M5827" s="678">
        <v>5527.6999999999989</v>
      </c>
      <c r="N5827" s="678" t="s">
        <v>1242</v>
      </c>
    </row>
    <row r="5828" spans="1:14" x14ac:dyDescent="0.25">
      <c r="A5828" s="678">
        <f t="shared" si="166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/>
      <c r="L5828" s="678" t="s">
        <v>266</v>
      </c>
      <c r="M5828" s="678">
        <v>4701</v>
      </c>
      <c r="N5828" s="678" t="s">
        <v>1242</v>
      </c>
    </row>
    <row r="5829" spans="1:14" x14ac:dyDescent="0.25">
      <c r="A5829" s="678">
        <f t="shared" si="166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/>
      <c r="L5829" s="678" t="s">
        <v>266</v>
      </c>
      <c r="M5829" s="678">
        <v>5635.5599999999986</v>
      </c>
      <c r="N5829" s="678" t="s">
        <v>1242</v>
      </c>
    </row>
    <row r="5830" spans="1:14" x14ac:dyDescent="0.25">
      <c r="A5830" s="676">
        <f t="shared" si="166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/>
      <c r="L5830" s="676" t="s">
        <v>265</v>
      </c>
      <c r="M5830" s="676">
        <v>16175.220000000001</v>
      </c>
      <c r="N5830" s="676" t="s">
        <v>1236</v>
      </c>
    </row>
    <row r="5831" spans="1:14" x14ac:dyDescent="0.25">
      <c r="A5831" s="676">
        <f t="shared" si="166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/>
      <c r="L5831" s="676" t="s">
        <v>266</v>
      </c>
      <c r="M5831" s="676">
        <v>1286.3399999999999</v>
      </c>
      <c r="N5831" s="676" t="s">
        <v>1236</v>
      </c>
    </row>
    <row r="5832" spans="1:14" x14ac:dyDescent="0.25">
      <c r="A5832" s="678">
        <f t="shared" si="166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/>
      <c r="L5832" s="678" t="s">
        <v>265</v>
      </c>
      <c r="M5832" s="678">
        <v>12149</v>
      </c>
      <c r="N5832" s="678" t="s">
        <v>1236</v>
      </c>
    </row>
    <row r="5833" spans="1:14" x14ac:dyDescent="0.25">
      <c r="A5833" s="676">
        <f t="shared" si="166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/>
      <c r="L5833" s="676" t="s">
        <v>28</v>
      </c>
      <c r="M5833" s="676">
        <v>8758</v>
      </c>
      <c r="N5833" s="676" t="s">
        <v>1237</v>
      </c>
    </row>
    <row r="5834" spans="1:14" x14ac:dyDescent="0.25">
      <c r="A5834" s="678">
        <f t="shared" si="166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/>
      <c r="L5834" s="678" t="s">
        <v>28</v>
      </c>
      <c r="M5834" s="678">
        <v>11464.8</v>
      </c>
      <c r="N5834" s="678" t="s">
        <v>1239</v>
      </c>
    </row>
    <row r="5835" spans="1:14" x14ac:dyDescent="0.25">
      <c r="A5835" s="676">
        <f t="shared" si="166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/>
      <c r="L5835" s="676" t="s">
        <v>28</v>
      </c>
      <c r="M5835" s="676">
        <v>11812.480000000001</v>
      </c>
      <c r="N5835" s="676" t="s">
        <v>1237</v>
      </c>
    </row>
    <row r="5836" spans="1:14" ht="56.25" x14ac:dyDescent="0.25">
      <c r="A5836" s="676">
        <f t="shared" si="166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/>
      <c r="L5836" s="676" t="s">
        <v>28</v>
      </c>
      <c r="M5836" s="676">
        <v>979.2</v>
      </c>
      <c r="N5836" s="676" t="s">
        <v>1237</v>
      </c>
    </row>
    <row r="5837" spans="1:14" x14ac:dyDescent="0.25">
      <c r="A5837" s="676">
        <f t="shared" si="166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/>
      <c r="L5837" s="676" t="s">
        <v>28</v>
      </c>
      <c r="M5837" s="676">
        <v>4264.4799999999996</v>
      </c>
      <c r="N5837" s="676" t="s">
        <v>1237</v>
      </c>
    </row>
    <row r="5838" spans="1:14" ht="37.5" x14ac:dyDescent="0.25">
      <c r="A5838" s="678">
        <f t="shared" si="166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/>
      <c r="L5838" s="678" t="s">
        <v>28</v>
      </c>
      <c r="M5838" s="678">
        <v>13093.26</v>
      </c>
      <c r="N5838" s="678" t="s">
        <v>1239</v>
      </c>
    </row>
    <row r="5839" spans="1:14" x14ac:dyDescent="0.25">
      <c r="A5839" s="676">
        <f t="shared" si="166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/>
      <c r="L5839" s="676" t="s">
        <v>265</v>
      </c>
      <c r="M5839" s="676">
        <v>17634.120000000003</v>
      </c>
      <c r="N5839" s="676" t="s">
        <v>1236</v>
      </c>
    </row>
    <row r="5840" spans="1:14" x14ac:dyDescent="0.25">
      <c r="A5840" s="678">
        <f t="shared" si="166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/>
      <c r="L5840" s="678" t="s">
        <v>28</v>
      </c>
      <c r="M5840" s="678">
        <v>4342.68</v>
      </c>
      <c r="N5840" s="678" t="s">
        <v>1237</v>
      </c>
    </row>
    <row r="5841" spans="1:14" x14ac:dyDescent="0.25">
      <c r="A5841" s="678">
        <f t="shared" si="166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/>
      <c r="L5841" s="678" t="s">
        <v>28</v>
      </c>
      <c r="M5841" s="678">
        <v>5349.2400000000007</v>
      </c>
      <c r="N5841" s="678" t="s">
        <v>1237</v>
      </c>
    </row>
    <row r="5842" spans="1:14" x14ac:dyDescent="0.25">
      <c r="A5842" s="678">
        <f t="shared" si="166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/>
      <c r="L5842" s="678" t="s">
        <v>28</v>
      </c>
      <c r="M5842" s="678">
        <v>4509.92</v>
      </c>
      <c r="N5842" s="678" t="s">
        <v>1237</v>
      </c>
    </row>
    <row r="5843" spans="1:14" x14ac:dyDescent="0.25">
      <c r="A5843" s="678">
        <f t="shared" si="166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/>
      <c r="L5843" s="678" t="s">
        <v>28</v>
      </c>
      <c r="M5843" s="678">
        <v>3031.8199999999997</v>
      </c>
      <c r="N5843" s="678" t="s">
        <v>1237</v>
      </c>
    </row>
    <row r="5844" spans="1:14" x14ac:dyDescent="0.25">
      <c r="A5844" s="676">
        <f t="shared" ref="A5844:A5908" si="167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/>
      <c r="L5844" s="676" t="s">
        <v>28</v>
      </c>
      <c r="M5844" s="676">
        <v>5961.1299999999992</v>
      </c>
      <c r="N5844" s="676" t="s">
        <v>1239</v>
      </c>
    </row>
    <row r="5845" spans="1:14" x14ac:dyDescent="0.25">
      <c r="A5845" s="676">
        <f t="shared" si="167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/>
      <c r="L5845" s="676" t="s">
        <v>28</v>
      </c>
      <c r="M5845" s="676">
        <v>3025.2</v>
      </c>
      <c r="N5845" s="676" t="s">
        <v>1239</v>
      </c>
    </row>
    <row r="5846" spans="1:14" x14ac:dyDescent="0.25">
      <c r="A5846" s="676">
        <f t="shared" si="167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/>
      <c r="L5846" s="676" t="s">
        <v>266</v>
      </c>
      <c r="M5846" s="676">
        <v>8239.5300000000025</v>
      </c>
      <c r="N5846" s="676" t="s">
        <v>1239</v>
      </c>
    </row>
    <row r="5847" spans="1:14" x14ac:dyDescent="0.25">
      <c r="A5847" s="678">
        <f t="shared" si="167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/>
      <c r="L5847" s="678" t="s">
        <v>28</v>
      </c>
      <c r="M5847" s="678">
        <v>11553.880000000001</v>
      </c>
      <c r="N5847" s="678" t="s">
        <v>1237</v>
      </c>
    </row>
    <row r="5848" spans="1:14" x14ac:dyDescent="0.25">
      <c r="A5848" s="678">
        <f t="shared" si="167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/>
      <c r="L5848" s="678" t="s">
        <v>28</v>
      </c>
      <c r="M5848" s="678">
        <v>2222.56</v>
      </c>
      <c r="N5848" s="678" t="s">
        <v>1237</v>
      </c>
    </row>
    <row r="5849" spans="1:14" x14ac:dyDescent="0.25">
      <c r="A5849" s="676">
        <f t="shared" si="167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/>
      <c r="L5849" s="676" t="s">
        <v>28</v>
      </c>
      <c r="M5849" s="676">
        <v>6198.8</v>
      </c>
      <c r="N5849" s="676" t="s">
        <v>1239</v>
      </c>
    </row>
    <row r="5850" spans="1:14" x14ac:dyDescent="0.25">
      <c r="A5850" s="676">
        <f t="shared" si="167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/>
      <c r="L5850" s="676" t="s">
        <v>28</v>
      </c>
      <c r="M5850" s="676">
        <v>3880.4000000000005</v>
      </c>
      <c r="N5850" s="676" t="s">
        <v>1239</v>
      </c>
    </row>
    <row r="5851" spans="1:14" x14ac:dyDescent="0.25">
      <c r="A5851" s="676">
        <f t="shared" si="167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/>
      <c r="L5851" s="676" t="s">
        <v>28</v>
      </c>
      <c r="M5851" s="676">
        <v>971.04000000000008</v>
      </c>
      <c r="N5851" s="676" t="s">
        <v>1239</v>
      </c>
    </row>
    <row r="5852" spans="1:14" x14ac:dyDescent="0.25">
      <c r="A5852" s="678">
        <f t="shared" si="167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/>
      <c r="L5852" s="678" t="s">
        <v>28</v>
      </c>
      <c r="M5852" s="678">
        <v>5873.08</v>
      </c>
      <c r="N5852" s="678" t="s">
        <v>1240</v>
      </c>
    </row>
    <row r="5853" spans="1:14" x14ac:dyDescent="0.25">
      <c r="A5853" s="678">
        <f t="shared" si="167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/>
      <c r="L5853" s="678" t="s">
        <v>28</v>
      </c>
      <c r="M5853" s="678">
        <v>6943.2</v>
      </c>
      <c r="N5853" s="678" t="s">
        <v>1240</v>
      </c>
    </row>
    <row r="5854" spans="1:14" x14ac:dyDescent="0.25">
      <c r="A5854" s="676">
        <f t="shared" si="167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/>
      <c r="L5854" s="676" t="s">
        <v>265</v>
      </c>
      <c r="M5854" s="676">
        <v>17722.36</v>
      </c>
      <c r="N5854" s="676" t="s">
        <v>1236</v>
      </c>
    </row>
    <row r="5855" spans="1:14" x14ac:dyDescent="0.25">
      <c r="A5855" s="678">
        <f t="shared" si="167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/>
      <c r="L5855" s="678" t="s">
        <v>266</v>
      </c>
      <c r="M5855" s="678">
        <v>1709.85</v>
      </c>
      <c r="N5855" s="678" t="s">
        <v>1240</v>
      </c>
    </row>
    <row r="5856" spans="1:14" x14ac:dyDescent="0.25">
      <c r="A5856" s="678">
        <f t="shared" si="167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/>
      <c r="L5856" s="678" t="s">
        <v>266</v>
      </c>
      <c r="M5856" s="678">
        <v>12954.889999999998</v>
      </c>
      <c r="N5856" s="678" t="s">
        <v>1240</v>
      </c>
    </row>
    <row r="5857" spans="1:14" x14ac:dyDescent="0.25">
      <c r="A5857" s="676">
        <f t="shared" si="167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/>
      <c r="L5857" s="676" t="s">
        <v>266</v>
      </c>
      <c r="M5857" s="676">
        <v>18103.180000000004</v>
      </c>
      <c r="N5857" s="676" t="s">
        <v>1237</v>
      </c>
    </row>
    <row r="5858" spans="1:14" x14ac:dyDescent="0.25">
      <c r="A5858" s="678">
        <f t="shared" si="167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/>
      <c r="L5858" s="678" t="s">
        <v>266</v>
      </c>
      <c r="M5858" s="678">
        <v>18136.919999999998</v>
      </c>
      <c r="N5858" s="678" t="s">
        <v>1239</v>
      </c>
    </row>
    <row r="5859" spans="1:14" x14ac:dyDescent="0.25">
      <c r="A5859" s="676">
        <f t="shared" si="167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/>
      <c r="L5859" s="676" t="s">
        <v>266</v>
      </c>
      <c r="M5859" s="676">
        <v>17925</v>
      </c>
      <c r="N5859" s="676" t="s">
        <v>1240</v>
      </c>
    </row>
    <row r="5860" spans="1:14" x14ac:dyDescent="0.25">
      <c r="A5860" s="678">
        <f t="shared" si="167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/>
      <c r="L5860" s="678" t="s">
        <v>266</v>
      </c>
      <c r="M5860" s="678">
        <v>18137.440000000002</v>
      </c>
      <c r="N5860" s="678" t="s">
        <v>1241</v>
      </c>
    </row>
    <row r="5861" spans="1:14" x14ac:dyDescent="0.25">
      <c r="A5861" s="676">
        <f t="shared" si="167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/>
      <c r="L5861" s="676" t="s">
        <v>266</v>
      </c>
      <c r="M5861" s="676">
        <v>7107.61</v>
      </c>
      <c r="N5861" s="676" t="s">
        <v>1242</v>
      </c>
    </row>
    <row r="5862" spans="1:14" x14ac:dyDescent="0.25">
      <c r="A5862" s="676">
        <f t="shared" si="167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/>
      <c r="L5862" s="676" t="s">
        <v>266</v>
      </c>
      <c r="M5862" s="676">
        <v>1500</v>
      </c>
      <c r="N5862" s="676" t="s">
        <v>1242</v>
      </c>
    </row>
    <row r="5863" spans="1:14" x14ac:dyDescent="0.25">
      <c r="A5863" s="678">
        <f t="shared" si="167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/>
      <c r="L5863" s="678" t="s">
        <v>265</v>
      </c>
      <c r="M5863" s="678">
        <v>1740</v>
      </c>
      <c r="N5863" s="678" t="s">
        <v>1236</v>
      </c>
    </row>
    <row r="5864" spans="1:14" x14ac:dyDescent="0.25">
      <c r="A5864" s="678">
        <f t="shared" si="167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/>
      <c r="L5864" s="678" t="s">
        <v>265</v>
      </c>
      <c r="M5864" s="678">
        <v>15492.599999999999</v>
      </c>
      <c r="N5864" s="678" t="s">
        <v>1236</v>
      </c>
    </row>
    <row r="5865" spans="1:14" x14ac:dyDescent="0.25">
      <c r="A5865" s="676">
        <f t="shared" si="167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/>
      <c r="L5865" s="676" t="s">
        <v>265</v>
      </c>
      <c r="M5865" s="676">
        <v>11818.8</v>
      </c>
      <c r="N5865" s="676" t="s">
        <v>1236</v>
      </c>
    </row>
    <row r="5866" spans="1:14" x14ac:dyDescent="0.25">
      <c r="A5866" s="678">
        <f t="shared" si="167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/>
      <c r="L5866" s="678" t="s">
        <v>265</v>
      </c>
      <c r="M5866" s="678">
        <v>17550.55</v>
      </c>
      <c r="N5866" s="678" t="s">
        <v>1236</v>
      </c>
    </row>
    <row r="5867" spans="1:14" x14ac:dyDescent="0.25">
      <c r="A5867" s="676">
        <f t="shared" si="167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/>
      <c r="L5867" s="676" t="s">
        <v>28</v>
      </c>
      <c r="M5867" s="676">
        <v>2005.9</v>
      </c>
      <c r="N5867" s="676" t="s">
        <v>1237</v>
      </c>
    </row>
    <row r="5868" spans="1:14" x14ac:dyDescent="0.25">
      <c r="A5868" s="676">
        <f t="shared" si="167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/>
      <c r="L5868" s="676" t="s">
        <v>28</v>
      </c>
      <c r="M5868" s="676">
        <v>5893.7999999999993</v>
      </c>
      <c r="N5868" s="676" t="s">
        <v>1237</v>
      </c>
    </row>
    <row r="5869" spans="1:14" x14ac:dyDescent="0.25">
      <c r="A5869" s="676">
        <f t="shared" si="167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/>
      <c r="L5869" s="676" t="s">
        <v>28</v>
      </c>
      <c r="M5869" s="676">
        <v>5331.3</v>
      </c>
      <c r="N5869" s="676" t="s">
        <v>1237</v>
      </c>
    </row>
    <row r="5870" spans="1:14" x14ac:dyDescent="0.25">
      <c r="A5870" s="676">
        <f t="shared" si="167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/>
      <c r="L5870" s="676" t="s">
        <v>28</v>
      </c>
      <c r="M5870" s="676">
        <v>1140.3600000000001</v>
      </c>
      <c r="N5870" s="676" t="s">
        <v>1237</v>
      </c>
    </row>
    <row r="5871" spans="1:14" x14ac:dyDescent="0.25">
      <c r="A5871" s="676">
        <f t="shared" si="167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/>
      <c r="L5871" s="676" t="s">
        <v>28</v>
      </c>
      <c r="M5871" s="676">
        <v>3014.4</v>
      </c>
      <c r="N5871" s="676" t="s">
        <v>1237</v>
      </c>
    </row>
    <row r="5872" spans="1:14" x14ac:dyDescent="0.25">
      <c r="A5872" s="678">
        <f t="shared" si="167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/>
      <c r="L5872" s="678" t="s">
        <v>28</v>
      </c>
      <c r="M5872" s="678">
        <v>8786.119999999999</v>
      </c>
      <c r="N5872" s="678" t="s">
        <v>1239</v>
      </c>
    </row>
    <row r="5873" spans="1:14" ht="56.25" x14ac:dyDescent="0.25">
      <c r="A5873" s="678">
        <f t="shared" si="167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/>
      <c r="L5873" s="678" t="s">
        <v>28</v>
      </c>
      <c r="M5873" s="678">
        <v>1149.1199999999999</v>
      </c>
      <c r="N5873" s="678" t="s">
        <v>1239</v>
      </c>
    </row>
    <row r="5874" spans="1:14" x14ac:dyDescent="0.25">
      <c r="A5874" s="678">
        <f t="shared" si="167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/>
      <c r="L5874" s="678" t="s">
        <v>28</v>
      </c>
      <c r="M5874" s="678">
        <v>7312.0400000000009</v>
      </c>
      <c r="N5874" s="678" t="s">
        <v>1239</v>
      </c>
    </row>
    <row r="5875" spans="1:14" x14ac:dyDescent="0.25">
      <c r="A5875" s="676">
        <f t="shared" si="167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/>
      <c r="L5875" s="676" t="s">
        <v>265</v>
      </c>
      <c r="M5875" s="676">
        <v>11765.960000000001</v>
      </c>
      <c r="N5875" s="676" t="s">
        <v>1236</v>
      </c>
    </row>
    <row r="5876" spans="1:14" x14ac:dyDescent="0.25">
      <c r="A5876" s="678">
        <f t="shared" si="167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/>
      <c r="L5876" s="678" t="s">
        <v>265</v>
      </c>
      <c r="M5876" s="678">
        <v>15932.070000000002</v>
      </c>
      <c r="N5876" s="678" t="s">
        <v>1236</v>
      </c>
    </row>
    <row r="5877" spans="1:14" x14ac:dyDescent="0.25">
      <c r="A5877" s="678">
        <f t="shared" si="167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/>
      <c r="L5877" s="678" t="s">
        <v>266</v>
      </c>
      <c r="M5877" s="678">
        <v>1529.6399999999999</v>
      </c>
      <c r="N5877" s="678" t="s">
        <v>1236</v>
      </c>
    </row>
    <row r="5878" spans="1:14" x14ac:dyDescent="0.25">
      <c r="A5878" s="676">
        <f t="shared" si="167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/>
      <c r="L5878" s="676" t="s">
        <v>28</v>
      </c>
      <c r="M5878" s="676">
        <v>9918.24</v>
      </c>
      <c r="N5878" s="676" t="s">
        <v>1237</v>
      </c>
    </row>
    <row r="5879" spans="1:14" ht="75" x14ac:dyDescent="0.25">
      <c r="A5879" s="678">
        <f t="shared" si="167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/>
      <c r="L5879" s="678" t="s">
        <v>28</v>
      </c>
      <c r="M5879" s="678">
        <v>10052</v>
      </c>
      <c r="N5879" s="678" t="s">
        <v>1237</v>
      </c>
    </row>
    <row r="5880" spans="1:14" x14ac:dyDescent="0.25">
      <c r="A5880" s="676">
        <f t="shared" si="167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/>
      <c r="L5880" s="676" t="s">
        <v>265</v>
      </c>
      <c r="M5880" s="676">
        <v>17715.18</v>
      </c>
      <c r="N5880" s="676" t="s">
        <v>1236</v>
      </c>
    </row>
    <row r="5881" spans="1:14" x14ac:dyDescent="0.25">
      <c r="A5881" s="678">
        <f t="shared" si="167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/>
      <c r="L5881" s="678" t="s">
        <v>28</v>
      </c>
      <c r="M5881" s="678">
        <v>7026.48</v>
      </c>
      <c r="N5881" s="678" t="s">
        <v>1237</v>
      </c>
    </row>
    <row r="5882" spans="1:14" x14ac:dyDescent="0.25">
      <c r="A5882" s="678">
        <f t="shared" si="167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/>
      <c r="L5882" s="678" t="s">
        <v>266</v>
      </c>
      <c r="M5882" s="678">
        <v>4981.18</v>
      </c>
      <c r="N5882" s="678" t="s">
        <v>1237</v>
      </c>
    </row>
    <row r="5883" spans="1:14" x14ac:dyDescent="0.25">
      <c r="A5883" s="678">
        <f t="shared" si="167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/>
      <c r="L5883" s="678" t="s">
        <v>28</v>
      </c>
      <c r="M5883" s="678">
        <v>5123.1000000000013</v>
      </c>
      <c r="N5883" s="678" t="s">
        <v>1237</v>
      </c>
    </row>
    <row r="5884" spans="1:14" x14ac:dyDescent="0.25">
      <c r="A5884" s="676">
        <f t="shared" si="167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/>
      <c r="L5884" s="676" t="s">
        <v>28</v>
      </c>
      <c r="M5884" s="676">
        <v>7492.17</v>
      </c>
      <c r="N5884" s="676" t="s">
        <v>1239</v>
      </c>
    </row>
    <row r="5885" spans="1:14" x14ac:dyDescent="0.25">
      <c r="A5885" s="676">
        <f t="shared" si="167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/>
      <c r="L5885" s="676" t="s">
        <v>28</v>
      </c>
      <c r="M5885" s="676">
        <v>9848.6600000000017</v>
      </c>
      <c r="N5885" s="676" t="s">
        <v>1239</v>
      </c>
    </row>
    <row r="5886" spans="1:14" x14ac:dyDescent="0.25">
      <c r="A5886" s="678">
        <f t="shared" si="167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/>
      <c r="L5886" s="678" t="s">
        <v>266</v>
      </c>
      <c r="M5886" s="678">
        <v>17066.449999999997</v>
      </c>
      <c r="N5886" s="678" t="s">
        <v>1236</v>
      </c>
    </row>
    <row r="5887" spans="1:14" x14ac:dyDescent="0.25">
      <c r="A5887" s="676">
        <f t="shared" si="167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/>
      <c r="L5887" s="676" t="s">
        <v>265</v>
      </c>
      <c r="M5887" s="676">
        <v>12002.160000000002</v>
      </c>
      <c r="N5887" s="676" t="s">
        <v>1236</v>
      </c>
    </row>
    <row r="5888" spans="1:14" x14ac:dyDescent="0.25">
      <c r="A5888" s="678">
        <f t="shared" si="167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/>
      <c r="L5888" s="678" t="s">
        <v>28</v>
      </c>
      <c r="M5888" s="678">
        <v>5518.84</v>
      </c>
      <c r="N5888" s="678" t="s">
        <v>1237</v>
      </c>
    </row>
    <row r="5889" spans="1:14" x14ac:dyDescent="0.25">
      <c r="A5889" s="678">
        <f t="shared" si="167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/>
      <c r="L5889" s="678" t="s">
        <v>28</v>
      </c>
      <c r="M5889" s="678">
        <v>6873.96</v>
      </c>
      <c r="N5889" s="678" t="s">
        <v>1237</v>
      </c>
    </row>
    <row r="5890" spans="1:14" x14ac:dyDescent="0.25">
      <c r="A5890" s="676">
        <f t="shared" si="167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/>
      <c r="L5890" s="676" t="s">
        <v>28</v>
      </c>
      <c r="M5890" s="676">
        <v>7232.88</v>
      </c>
      <c r="N5890" s="676" t="s">
        <v>1239</v>
      </c>
    </row>
    <row r="5891" spans="1:14" x14ac:dyDescent="0.25">
      <c r="A5891" s="676">
        <f t="shared" si="167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/>
      <c r="L5891" s="676" t="s">
        <v>28</v>
      </c>
      <c r="M5891" s="676">
        <v>4834.92</v>
      </c>
      <c r="N5891" s="676" t="s">
        <v>1239</v>
      </c>
    </row>
    <row r="5892" spans="1:14" x14ac:dyDescent="0.25">
      <c r="A5892" s="678">
        <f t="shared" si="167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/>
      <c r="L5892" s="678" t="s">
        <v>266</v>
      </c>
      <c r="M5892" s="678">
        <v>18210.959999999995</v>
      </c>
      <c r="N5892" s="678" t="s">
        <v>1237</v>
      </c>
    </row>
    <row r="5893" spans="1:14" x14ac:dyDescent="0.25">
      <c r="A5893" s="676">
        <f t="shared" si="167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/>
      <c r="L5893" s="676" t="s">
        <v>266</v>
      </c>
      <c r="M5893" s="676">
        <v>18148.7</v>
      </c>
      <c r="N5893" s="676" t="s">
        <v>1239</v>
      </c>
    </row>
    <row r="5894" spans="1:14" x14ac:dyDescent="0.25">
      <c r="A5894" s="678">
        <f t="shared" si="167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/>
      <c r="L5894" s="678" t="s">
        <v>266</v>
      </c>
      <c r="M5894" s="678">
        <v>18167.100000000002</v>
      </c>
      <c r="N5894" s="678" t="s">
        <v>1240</v>
      </c>
    </row>
    <row r="5895" spans="1:14" x14ac:dyDescent="0.25">
      <c r="A5895" s="676">
        <f t="shared" si="167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/>
      <c r="L5895" s="676" t="s">
        <v>265</v>
      </c>
      <c r="M5895" s="676">
        <v>4650</v>
      </c>
      <c r="N5895" s="676" t="s">
        <v>1236</v>
      </c>
    </row>
    <row r="5896" spans="1:14" x14ac:dyDescent="0.25">
      <c r="A5896" s="676">
        <f t="shared" si="167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/>
      <c r="L5896" s="676" t="s">
        <v>265</v>
      </c>
      <c r="M5896" s="676">
        <v>12993.619999999999</v>
      </c>
      <c r="N5896" s="676" t="s">
        <v>1236</v>
      </c>
    </row>
    <row r="5897" spans="1:14" x14ac:dyDescent="0.25">
      <c r="A5897" s="678">
        <f t="shared" si="167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/>
      <c r="L5897" s="678" t="s">
        <v>266</v>
      </c>
      <c r="M5897" s="678">
        <v>10586.66</v>
      </c>
      <c r="N5897" s="678" t="s">
        <v>1237</v>
      </c>
    </row>
    <row r="5898" spans="1:14" x14ac:dyDescent="0.25">
      <c r="A5898" s="678">
        <f t="shared" si="167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/>
      <c r="L5898" s="678" t="s">
        <v>266</v>
      </c>
      <c r="M5898" s="678">
        <v>1036.2</v>
      </c>
      <c r="N5898" s="678" t="s">
        <v>1237</v>
      </c>
    </row>
    <row r="5899" spans="1:14" x14ac:dyDescent="0.25">
      <c r="A5899" s="678">
        <f t="shared" si="167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/>
      <c r="L5899" s="678" t="s">
        <v>266</v>
      </c>
      <c r="M5899" s="678">
        <v>3003</v>
      </c>
      <c r="N5899" s="678" t="s">
        <v>1237</v>
      </c>
    </row>
    <row r="5900" spans="1:14" x14ac:dyDescent="0.25">
      <c r="A5900" s="676">
        <f t="shared" si="167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/>
      <c r="L5900" s="676" t="s">
        <v>265</v>
      </c>
      <c r="M5900" s="676">
        <v>11104.68</v>
      </c>
      <c r="N5900" s="676" t="s">
        <v>1236</v>
      </c>
    </row>
    <row r="5901" spans="1:14" x14ac:dyDescent="0.25">
      <c r="A5901" s="678">
        <f t="shared" si="167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/>
      <c r="L5901" s="678" t="s">
        <v>265</v>
      </c>
      <c r="M5901" s="678">
        <v>17735.240000000002</v>
      </c>
      <c r="N5901" s="678" t="s">
        <v>1236</v>
      </c>
    </row>
    <row r="5902" spans="1:14" x14ac:dyDescent="0.25">
      <c r="A5902" s="676">
        <f t="shared" si="167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/>
      <c r="L5902" s="676" t="s">
        <v>28</v>
      </c>
      <c r="M5902" s="676">
        <v>9724.2199999999975</v>
      </c>
      <c r="N5902" s="676" t="s">
        <v>1237</v>
      </c>
    </row>
    <row r="5903" spans="1:14" x14ac:dyDescent="0.25">
      <c r="A5903" s="676">
        <f t="shared" si="167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/>
      <c r="L5903" s="676" t="s">
        <v>28</v>
      </c>
      <c r="M5903" s="676">
        <v>5399.38</v>
      </c>
      <c r="N5903" s="676" t="s">
        <v>1237</v>
      </c>
    </row>
    <row r="5904" spans="1:14" x14ac:dyDescent="0.25">
      <c r="A5904" s="676">
        <f t="shared" si="167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/>
      <c r="L5904" s="676" t="s">
        <v>28</v>
      </c>
      <c r="M5904" s="676">
        <v>2101.92</v>
      </c>
      <c r="N5904" s="676" t="s">
        <v>1237</v>
      </c>
    </row>
    <row r="5905" spans="1:14" x14ac:dyDescent="0.25">
      <c r="A5905" s="678">
        <f t="shared" si="167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/>
      <c r="L5905" s="678" t="s">
        <v>28</v>
      </c>
      <c r="M5905" s="678">
        <v>9135.2200000000012</v>
      </c>
      <c r="N5905" s="678" t="s">
        <v>1239</v>
      </c>
    </row>
    <row r="5906" spans="1:14" x14ac:dyDescent="0.25">
      <c r="A5906" s="678">
        <f t="shared" si="167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/>
      <c r="L5906" s="678" t="s">
        <v>28</v>
      </c>
      <c r="M5906" s="678">
        <v>8001.0400000000009</v>
      </c>
      <c r="N5906" s="678" t="s">
        <v>1239</v>
      </c>
    </row>
    <row r="5907" spans="1:14" x14ac:dyDescent="0.25">
      <c r="A5907" s="676">
        <f t="shared" si="167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/>
      <c r="L5907" s="676" t="s">
        <v>28</v>
      </c>
      <c r="M5907" s="676">
        <v>16309.080000000002</v>
      </c>
      <c r="N5907" s="676" t="s">
        <v>1240</v>
      </c>
    </row>
    <row r="5908" spans="1:14" x14ac:dyDescent="0.25">
      <c r="A5908" s="676">
        <f t="shared" si="167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/>
      <c r="L5908" s="676" t="s">
        <v>28</v>
      </c>
      <c r="M5908" s="676">
        <v>852.72</v>
      </c>
      <c r="N5908" s="676" t="s">
        <v>1240</v>
      </c>
    </row>
    <row r="5909" spans="1:14" x14ac:dyDescent="0.25">
      <c r="A5909" s="678">
        <f t="shared" ref="A5909:A5972" si="168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/>
      <c r="L5909" s="678" t="s">
        <v>265</v>
      </c>
      <c r="M5909" s="678">
        <v>16169.919999999998</v>
      </c>
      <c r="N5909" s="678" t="s">
        <v>1236</v>
      </c>
    </row>
    <row r="5910" spans="1:14" x14ac:dyDescent="0.25">
      <c r="A5910" s="678">
        <f t="shared" si="168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/>
      <c r="L5910" s="678" t="s">
        <v>266</v>
      </c>
      <c r="M5910" s="678">
        <v>1330.56</v>
      </c>
      <c r="N5910" s="678" t="s">
        <v>1236</v>
      </c>
    </row>
    <row r="5911" spans="1:14" ht="37.5" x14ac:dyDescent="0.25">
      <c r="A5911" s="676">
        <f t="shared" si="168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/>
      <c r="L5911" s="676" t="s">
        <v>265</v>
      </c>
      <c r="M5911" s="676">
        <v>11551.519999999999</v>
      </c>
      <c r="N5911" s="676" t="s">
        <v>1236</v>
      </c>
    </row>
    <row r="5912" spans="1:14" ht="75" x14ac:dyDescent="0.25">
      <c r="A5912" s="678">
        <f t="shared" si="168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/>
      <c r="L5912" s="678" t="s">
        <v>28</v>
      </c>
      <c r="M5912" s="678">
        <v>10091.100000000002</v>
      </c>
      <c r="N5912" s="678" t="s">
        <v>1237</v>
      </c>
    </row>
    <row r="5913" spans="1:14" x14ac:dyDescent="0.25">
      <c r="A5913" s="676">
        <f t="shared" si="168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/>
      <c r="L5913" s="676" t="s">
        <v>265</v>
      </c>
      <c r="M5913" s="676">
        <v>17491.580000000002</v>
      </c>
      <c r="N5913" s="676" t="s">
        <v>1236</v>
      </c>
    </row>
    <row r="5914" spans="1:14" x14ac:dyDescent="0.25">
      <c r="A5914" s="678">
        <f t="shared" si="168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/>
      <c r="L5914" s="678" t="s">
        <v>28</v>
      </c>
      <c r="M5914" s="678">
        <v>10836.72</v>
      </c>
      <c r="N5914" s="678" t="s">
        <v>1237</v>
      </c>
    </row>
    <row r="5915" spans="1:14" x14ac:dyDescent="0.25">
      <c r="A5915" s="678">
        <f t="shared" si="168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/>
      <c r="L5915" s="678" t="s">
        <v>266</v>
      </c>
      <c r="M5915" s="678">
        <v>6288.1</v>
      </c>
      <c r="N5915" s="678" t="s">
        <v>1237</v>
      </c>
    </row>
    <row r="5916" spans="1:14" x14ac:dyDescent="0.25">
      <c r="A5916" s="676">
        <f t="shared" si="168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/>
      <c r="L5916" s="676" t="s">
        <v>28</v>
      </c>
      <c r="M5916" s="676">
        <v>17121.799999999996</v>
      </c>
      <c r="N5916" s="676" t="s">
        <v>1239</v>
      </c>
    </row>
    <row r="5917" spans="1:14" x14ac:dyDescent="0.25">
      <c r="A5917" s="678">
        <f t="shared" si="168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/>
      <c r="L5917" s="678" t="s">
        <v>28</v>
      </c>
      <c r="M5917" s="678">
        <v>17079.3</v>
      </c>
      <c r="N5917" s="678" t="s">
        <v>1240</v>
      </c>
    </row>
    <row r="5918" spans="1:14" x14ac:dyDescent="0.25">
      <c r="A5918" s="676">
        <f t="shared" si="168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/>
      <c r="L5918" s="676" t="s">
        <v>28</v>
      </c>
      <c r="M5918" s="676">
        <v>17176.809999999998</v>
      </c>
      <c r="N5918" s="676" t="s">
        <v>1241</v>
      </c>
    </row>
    <row r="5919" spans="1:14" x14ac:dyDescent="0.25">
      <c r="A5919" s="678">
        <f t="shared" si="168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/>
      <c r="L5919" s="678" t="s">
        <v>28</v>
      </c>
      <c r="M5919" s="678">
        <v>7019.28</v>
      </c>
      <c r="N5919" s="678" t="s">
        <v>1242</v>
      </c>
    </row>
    <row r="5920" spans="1:14" x14ac:dyDescent="0.25">
      <c r="A5920" s="678">
        <f t="shared" si="168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/>
      <c r="L5920" s="678" t="s">
        <v>28</v>
      </c>
      <c r="M5920" s="678">
        <v>10038.48</v>
      </c>
      <c r="N5920" s="678" t="s">
        <v>1242</v>
      </c>
    </row>
    <row r="5921" spans="1:14" x14ac:dyDescent="0.25">
      <c r="A5921" s="676">
        <f t="shared" si="168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/>
      <c r="L5921" s="676" t="s">
        <v>28</v>
      </c>
      <c r="M5921" s="676">
        <v>17290.330000000002</v>
      </c>
      <c r="N5921" s="676" t="s">
        <v>1306</v>
      </c>
    </row>
    <row r="5922" spans="1:14" x14ac:dyDescent="0.25">
      <c r="A5922" s="678">
        <f t="shared" si="168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/>
      <c r="L5922" s="678" t="s">
        <v>28</v>
      </c>
      <c r="M5922" s="678">
        <v>1255.8</v>
      </c>
      <c r="N5922" s="678" t="s">
        <v>1237</v>
      </c>
    </row>
    <row r="5923" spans="1:14" x14ac:dyDescent="0.25">
      <c r="A5923" s="678">
        <f t="shared" si="168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/>
      <c r="L5923" s="678" t="s">
        <v>28</v>
      </c>
      <c r="M5923" s="678">
        <v>10013.280000000001</v>
      </c>
      <c r="N5923" s="678" t="s">
        <v>1237</v>
      </c>
    </row>
    <row r="5924" spans="1:14" x14ac:dyDescent="0.25">
      <c r="A5924" s="676">
        <f t="shared" si="168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/>
      <c r="L5924" s="676" t="s">
        <v>28</v>
      </c>
      <c r="M5924" s="676">
        <v>12899.119999999999</v>
      </c>
      <c r="N5924" s="676" t="s">
        <v>1239</v>
      </c>
    </row>
    <row r="5925" spans="1:14" x14ac:dyDescent="0.25">
      <c r="A5925" s="678">
        <f t="shared" si="168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/>
      <c r="L5925" s="678" t="s">
        <v>28</v>
      </c>
      <c r="M5925" s="678">
        <v>3710.2799999999997</v>
      </c>
      <c r="N5925" s="678" t="s">
        <v>1240</v>
      </c>
    </row>
    <row r="5926" spans="1:14" x14ac:dyDescent="0.25">
      <c r="A5926" s="678">
        <f t="shared" si="168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/>
      <c r="L5926" s="678" t="s">
        <v>28</v>
      </c>
      <c r="M5926" s="678">
        <v>5392.2</v>
      </c>
      <c r="N5926" s="678" t="s">
        <v>1240</v>
      </c>
    </row>
    <row r="5927" spans="1:14" x14ac:dyDescent="0.25">
      <c r="A5927" s="676">
        <f t="shared" si="168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/>
      <c r="L5927" s="676" t="s">
        <v>28</v>
      </c>
      <c r="M5927" s="676">
        <v>10376.84</v>
      </c>
      <c r="N5927" s="676" t="s">
        <v>1241</v>
      </c>
    </row>
    <row r="5928" spans="1:14" x14ac:dyDescent="0.25">
      <c r="A5928" s="678">
        <f t="shared" si="168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/>
      <c r="L5928" s="678" t="s">
        <v>28</v>
      </c>
      <c r="M5928" s="678">
        <v>1688.4</v>
      </c>
      <c r="N5928" s="678" t="s">
        <v>1242</v>
      </c>
    </row>
    <row r="5929" spans="1:14" x14ac:dyDescent="0.25">
      <c r="A5929" s="678">
        <f t="shared" si="168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/>
      <c r="L5929" s="678" t="s">
        <v>28</v>
      </c>
      <c r="M5929" s="678">
        <v>9044.0400000000009</v>
      </c>
      <c r="N5929" s="678" t="s">
        <v>1242</v>
      </c>
    </row>
    <row r="5930" spans="1:14" x14ac:dyDescent="0.25">
      <c r="A5930" s="676">
        <f t="shared" si="168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/>
      <c r="L5930" s="676" t="s">
        <v>265</v>
      </c>
      <c r="M5930" s="676">
        <v>17654.200000000004</v>
      </c>
      <c r="N5930" s="676" t="s">
        <v>1236</v>
      </c>
    </row>
    <row r="5931" spans="1:14" x14ac:dyDescent="0.25">
      <c r="A5931" s="678">
        <f t="shared" si="168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/>
      <c r="L5931" s="678" t="s">
        <v>266</v>
      </c>
      <c r="M5931" s="678">
        <v>2747.38</v>
      </c>
      <c r="N5931" s="678" t="s">
        <v>1240</v>
      </c>
    </row>
    <row r="5932" spans="1:14" x14ac:dyDescent="0.25">
      <c r="A5932" s="678">
        <f t="shared" si="168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/>
      <c r="L5932" s="678" t="s">
        <v>266</v>
      </c>
      <c r="M5932" s="678">
        <v>12658.999999999998</v>
      </c>
      <c r="N5932" s="678" t="s">
        <v>1240</v>
      </c>
    </row>
    <row r="5933" spans="1:14" x14ac:dyDescent="0.25">
      <c r="A5933" s="676">
        <f t="shared" si="168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/>
      <c r="L5933" s="676" t="s">
        <v>266</v>
      </c>
      <c r="M5933" s="676">
        <v>18067.28</v>
      </c>
      <c r="N5933" s="676" t="s">
        <v>1236</v>
      </c>
    </row>
    <row r="5934" spans="1:14" x14ac:dyDescent="0.25">
      <c r="A5934" s="678">
        <f t="shared" si="168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/>
      <c r="L5934" s="678" t="s">
        <v>266</v>
      </c>
      <c r="M5934" s="678">
        <v>18242.36</v>
      </c>
      <c r="N5934" s="678" t="s">
        <v>1237</v>
      </c>
    </row>
    <row r="5935" spans="1:14" x14ac:dyDescent="0.25">
      <c r="A5935" s="676">
        <f t="shared" si="168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/>
      <c r="L5935" s="676" t="s">
        <v>266</v>
      </c>
      <c r="M5935" s="676">
        <v>18152.12</v>
      </c>
      <c r="N5935" s="676" t="s">
        <v>1239</v>
      </c>
    </row>
    <row r="5936" spans="1:14" x14ac:dyDescent="0.25">
      <c r="A5936" s="678">
        <f t="shared" si="168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/>
      <c r="L5936" s="678" t="s">
        <v>266</v>
      </c>
      <c r="M5936" s="678">
        <v>18243.599999999999</v>
      </c>
      <c r="N5936" s="678" t="s">
        <v>1240</v>
      </c>
    </row>
    <row r="5937" spans="1:14" x14ac:dyDescent="0.25">
      <c r="A5937" s="676">
        <f t="shared" si="168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/>
      <c r="L5937" s="676" t="s">
        <v>265</v>
      </c>
      <c r="M5937" s="676">
        <v>1755.9</v>
      </c>
      <c r="N5937" s="676" t="s">
        <v>1236</v>
      </c>
    </row>
    <row r="5938" spans="1:14" x14ac:dyDescent="0.25">
      <c r="A5938" s="676">
        <f t="shared" si="168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/>
      <c r="L5938" s="676" t="s">
        <v>265</v>
      </c>
      <c r="M5938" s="676">
        <v>15534.8</v>
      </c>
      <c r="N5938" s="676" t="s">
        <v>1236</v>
      </c>
    </row>
    <row r="5939" spans="1:14" x14ac:dyDescent="0.25">
      <c r="A5939" s="678">
        <f t="shared" si="168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/>
      <c r="L5939" s="678" t="s">
        <v>266</v>
      </c>
      <c r="M5939" s="678">
        <v>1227</v>
      </c>
      <c r="N5939" s="678" t="s">
        <v>1237</v>
      </c>
    </row>
    <row r="5940" spans="1:14" x14ac:dyDescent="0.25">
      <c r="A5940" s="678">
        <f t="shared" si="168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/>
      <c r="L5940" s="678" t="s">
        <v>266</v>
      </c>
      <c r="M5940" s="678">
        <v>6866.72</v>
      </c>
      <c r="N5940" s="678" t="s">
        <v>1237</v>
      </c>
    </row>
    <row r="5941" spans="1:14" x14ac:dyDescent="0.25">
      <c r="A5941" s="678">
        <f t="shared" si="168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/>
      <c r="L5941" s="678" t="s">
        <v>266</v>
      </c>
      <c r="M5941" s="678">
        <v>4679.5200000000004</v>
      </c>
      <c r="N5941" s="678" t="s">
        <v>1237</v>
      </c>
    </row>
    <row r="5942" spans="1:14" x14ac:dyDescent="0.25">
      <c r="A5942" s="678">
        <f t="shared" si="168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/>
      <c r="L5942" s="678" t="s">
        <v>266</v>
      </c>
      <c r="M5942" s="678">
        <v>2004.6</v>
      </c>
      <c r="N5942" s="678" t="s">
        <v>1237</v>
      </c>
    </row>
    <row r="5943" spans="1:14" x14ac:dyDescent="0.25">
      <c r="A5943" s="676">
        <f t="shared" si="168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/>
      <c r="L5943" s="676" t="s">
        <v>265</v>
      </c>
      <c r="M5943" s="676">
        <v>11917.72</v>
      </c>
      <c r="N5943" s="676" t="s">
        <v>1236</v>
      </c>
    </row>
    <row r="5944" spans="1:14" x14ac:dyDescent="0.25">
      <c r="A5944" s="678">
        <f t="shared" si="168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/>
      <c r="L5944" s="678" t="s">
        <v>28</v>
      </c>
      <c r="M5944" s="678">
        <v>7350</v>
      </c>
      <c r="N5944" s="678" t="s">
        <v>1237</v>
      </c>
    </row>
    <row r="5945" spans="1:14" x14ac:dyDescent="0.25">
      <c r="A5945" s="676">
        <f t="shared" si="168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/>
      <c r="L5945" s="676" t="s">
        <v>265</v>
      </c>
      <c r="M5945" s="676">
        <v>17655.580000000002</v>
      </c>
      <c r="N5945" s="676" t="s">
        <v>1236</v>
      </c>
    </row>
    <row r="5946" spans="1:14" x14ac:dyDescent="0.25">
      <c r="A5946" s="678">
        <f t="shared" si="168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/>
      <c r="L5946" s="678" t="s">
        <v>28</v>
      </c>
      <c r="M5946" s="678">
        <v>8546.6400000000012</v>
      </c>
      <c r="N5946" s="678" t="s">
        <v>1237</v>
      </c>
    </row>
    <row r="5947" spans="1:14" ht="56.25" x14ac:dyDescent="0.25">
      <c r="A5947" s="678">
        <f t="shared" si="168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/>
      <c r="L5947" s="678" t="s">
        <v>28</v>
      </c>
      <c r="M5947" s="678">
        <v>788.6400000000001</v>
      </c>
      <c r="N5947" s="678" t="s">
        <v>1237</v>
      </c>
    </row>
    <row r="5948" spans="1:14" x14ac:dyDescent="0.25">
      <c r="A5948" s="678">
        <f t="shared" si="168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/>
      <c r="L5948" s="678" t="s">
        <v>28</v>
      </c>
      <c r="M5948" s="678">
        <v>7811.3200000000006</v>
      </c>
      <c r="N5948" s="678" t="s">
        <v>1237</v>
      </c>
    </row>
    <row r="5949" spans="1:14" x14ac:dyDescent="0.25">
      <c r="A5949" s="676">
        <f t="shared" si="168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/>
      <c r="L5949" s="676" t="s">
        <v>28</v>
      </c>
      <c r="M5949" s="676">
        <v>9129.659999999998</v>
      </c>
      <c r="N5949" s="676" t="s">
        <v>1239</v>
      </c>
    </row>
    <row r="5950" spans="1:14" x14ac:dyDescent="0.25">
      <c r="A5950" s="676">
        <f t="shared" si="168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/>
      <c r="L5950" s="676" t="s">
        <v>28</v>
      </c>
      <c r="M5950" s="676">
        <v>3058.98</v>
      </c>
      <c r="N5950" s="676" t="s">
        <v>1239</v>
      </c>
    </row>
    <row r="5951" spans="1:14" x14ac:dyDescent="0.25">
      <c r="A5951" s="676">
        <f t="shared" si="168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/>
      <c r="L5951" s="676" t="s">
        <v>28</v>
      </c>
      <c r="M5951" s="676">
        <v>5022</v>
      </c>
      <c r="N5951" s="676" t="s">
        <v>1239</v>
      </c>
    </row>
    <row r="5952" spans="1:14" x14ac:dyDescent="0.25">
      <c r="A5952" s="678">
        <f t="shared" si="168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/>
      <c r="L5952" s="678" t="s">
        <v>28</v>
      </c>
      <c r="M5952" s="678">
        <v>15859.26</v>
      </c>
      <c r="N5952" s="678" t="s">
        <v>1240</v>
      </c>
    </row>
    <row r="5953" spans="1:14" x14ac:dyDescent="0.25">
      <c r="A5953" s="678">
        <f t="shared" si="168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/>
      <c r="L5953" s="678" t="s">
        <v>28</v>
      </c>
      <c r="M5953" s="678">
        <v>1331.3400000000001</v>
      </c>
      <c r="N5953" s="678" t="s">
        <v>1240</v>
      </c>
    </row>
    <row r="5954" spans="1:14" x14ac:dyDescent="0.25">
      <c r="A5954" s="676">
        <f t="shared" si="168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/>
      <c r="L5954" s="676" t="s">
        <v>28</v>
      </c>
      <c r="M5954" s="676">
        <v>17124.740000000002</v>
      </c>
      <c r="N5954" s="676" t="s">
        <v>1241</v>
      </c>
    </row>
    <row r="5955" spans="1:14" x14ac:dyDescent="0.25">
      <c r="A5955" s="678">
        <f t="shared" si="168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/>
      <c r="L5955" s="678" t="s">
        <v>28</v>
      </c>
      <c r="M5955" s="678">
        <v>17441.169999999998</v>
      </c>
      <c r="N5955" s="678" t="s">
        <v>1242</v>
      </c>
    </row>
    <row r="5956" spans="1:14" x14ac:dyDescent="0.25">
      <c r="A5956" s="676">
        <f t="shared" si="168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/>
      <c r="L5956" s="676" t="s">
        <v>265</v>
      </c>
      <c r="M5956" s="676">
        <v>16058.12</v>
      </c>
      <c r="N5956" s="676" t="s">
        <v>1236</v>
      </c>
    </row>
    <row r="5957" spans="1:14" x14ac:dyDescent="0.25">
      <c r="A5957" s="676">
        <f t="shared" si="168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/>
      <c r="L5957" s="676" t="s">
        <v>266</v>
      </c>
      <c r="M5957" s="676">
        <v>1424.16</v>
      </c>
      <c r="N5957" s="676" t="s">
        <v>1236</v>
      </c>
    </row>
    <row r="5958" spans="1:14" x14ac:dyDescent="0.25">
      <c r="A5958" s="678">
        <f t="shared" si="168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/>
      <c r="L5958" s="678" t="s">
        <v>266</v>
      </c>
      <c r="M5958" s="678">
        <v>18015</v>
      </c>
      <c r="N5958" s="678" t="s">
        <v>1237</v>
      </c>
    </row>
    <row r="5959" spans="1:14" ht="37.5" x14ac:dyDescent="0.25">
      <c r="A5959" s="676">
        <f t="shared" si="168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/>
      <c r="L5959" s="676" t="s">
        <v>28</v>
      </c>
      <c r="M5959" s="676">
        <v>13157.18</v>
      </c>
      <c r="N5959" s="676" t="s">
        <v>1240</v>
      </c>
    </row>
    <row r="5960" spans="1:14" x14ac:dyDescent="0.25">
      <c r="A5960" s="678">
        <f t="shared" si="168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/>
      <c r="L5960" s="678" t="s">
        <v>265</v>
      </c>
      <c r="M5960" s="678">
        <v>13063.879999999997</v>
      </c>
      <c r="N5960" s="678" t="s">
        <v>1236</v>
      </c>
    </row>
    <row r="5961" spans="1:14" x14ac:dyDescent="0.25">
      <c r="A5961" s="676">
        <f t="shared" si="168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/>
      <c r="L5961" s="676" t="s">
        <v>28</v>
      </c>
      <c r="M5961" s="676">
        <v>9839.0400000000009</v>
      </c>
      <c r="N5961" s="676" t="s">
        <v>1237</v>
      </c>
    </row>
    <row r="5962" spans="1:14" x14ac:dyDescent="0.25">
      <c r="A5962" s="678">
        <f t="shared" si="168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/>
      <c r="L5962" s="678" t="s">
        <v>265</v>
      </c>
      <c r="M5962" s="678">
        <v>17669.740000000002</v>
      </c>
      <c r="N5962" s="678" t="s">
        <v>1236</v>
      </c>
    </row>
    <row r="5963" spans="1:14" x14ac:dyDescent="0.25">
      <c r="A5963" s="676">
        <f t="shared" si="168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/>
      <c r="L5963" s="676" t="s">
        <v>28</v>
      </c>
      <c r="M5963" s="676">
        <v>2817.3</v>
      </c>
      <c r="N5963" s="676" t="s">
        <v>1237</v>
      </c>
    </row>
    <row r="5964" spans="1:14" x14ac:dyDescent="0.25">
      <c r="A5964" s="676">
        <f t="shared" si="168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/>
      <c r="L5964" s="676" t="s">
        <v>266</v>
      </c>
      <c r="M5964" s="676">
        <v>10391.459999999999</v>
      </c>
      <c r="N5964" s="676" t="s">
        <v>1237</v>
      </c>
    </row>
    <row r="5965" spans="1:14" x14ac:dyDescent="0.25">
      <c r="A5965" s="676">
        <f t="shared" si="168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/>
      <c r="L5965" s="676" t="s">
        <v>266</v>
      </c>
      <c r="M5965" s="676">
        <v>3929.42</v>
      </c>
      <c r="N5965" s="676" t="s">
        <v>1237</v>
      </c>
    </row>
    <row r="5966" spans="1:14" x14ac:dyDescent="0.25">
      <c r="A5966" s="678">
        <f t="shared" si="168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/>
      <c r="L5966" s="678" t="s">
        <v>28</v>
      </c>
      <c r="M5966" s="678">
        <v>6910.12</v>
      </c>
      <c r="N5966" s="678" t="s">
        <v>1239</v>
      </c>
    </row>
    <row r="5967" spans="1:14" x14ac:dyDescent="0.25">
      <c r="A5967" s="678">
        <f t="shared" si="168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/>
      <c r="L5967" s="678" t="s">
        <v>28</v>
      </c>
      <c r="M5967" s="678">
        <v>10546.279999999999</v>
      </c>
      <c r="N5967" s="678" t="s">
        <v>1239</v>
      </c>
    </row>
    <row r="5968" spans="1:14" x14ac:dyDescent="0.25">
      <c r="A5968" s="676">
        <f t="shared" si="168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/>
      <c r="L5968" s="676" t="s">
        <v>28</v>
      </c>
      <c r="M5968" s="676">
        <v>10353.780000000001</v>
      </c>
      <c r="N5968" s="676" t="s">
        <v>1240</v>
      </c>
    </row>
    <row r="5969" spans="1:14" x14ac:dyDescent="0.25">
      <c r="A5969" s="676">
        <f t="shared" si="168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/>
      <c r="L5969" s="676" t="s">
        <v>28</v>
      </c>
      <c r="M5969" s="676">
        <v>6929.0800000000017</v>
      </c>
      <c r="N5969" s="676" t="s">
        <v>1240</v>
      </c>
    </row>
    <row r="5970" spans="1:14" x14ac:dyDescent="0.25">
      <c r="A5970" s="678">
        <f t="shared" si="168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/>
      <c r="L5970" s="678" t="s">
        <v>28</v>
      </c>
      <c r="M5970" s="678">
        <v>17174.760000000002</v>
      </c>
      <c r="N5970" s="678" t="s">
        <v>1241</v>
      </c>
    </row>
    <row r="5971" spans="1:14" x14ac:dyDescent="0.25">
      <c r="A5971" s="676">
        <f t="shared" si="168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/>
      <c r="L5971" s="676" t="s">
        <v>28</v>
      </c>
      <c r="M5971" s="676">
        <v>5437.4</v>
      </c>
      <c r="N5971" s="676" t="s">
        <v>1237</v>
      </c>
    </row>
    <row r="5972" spans="1:14" x14ac:dyDescent="0.25">
      <c r="A5972" s="676">
        <f t="shared" si="168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/>
      <c r="L5972" s="676" t="s">
        <v>28</v>
      </c>
      <c r="M5972" s="676">
        <v>6889.8</v>
      </c>
      <c r="N5972" s="676" t="s">
        <v>1237</v>
      </c>
    </row>
    <row r="5973" spans="1:14" x14ac:dyDescent="0.25">
      <c r="A5973" s="678">
        <f t="shared" ref="A5973:A6036" si="169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/>
      <c r="L5973" s="678" t="s">
        <v>28</v>
      </c>
      <c r="M5973" s="678">
        <v>6467.4400000000005</v>
      </c>
      <c r="N5973" s="678" t="s">
        <v>1239</v>
      </c>
    </row>
    <row r="5974" spans="1:14" x14ac:dyDescent="0.25">
      <c r="A5974" s="678">
        <f t="shared" si="169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/>
      <c r="L5974" s="678" t="s">
        <v>28</v>
      </c>
      <c r="M5974" s="678">
        <v>8409.1999999999989</v>
      </c>
      <c r="N5974" s="678" t="s">
        <v>1239</v>
      </c>
    </row>
    <row r="5975" spans="1:14" x14ac:dyDescent="0.25">
      <c r="A5975" s="676">
        <f t="shared" si="169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/>
      <c r="L5975" s="676" t="s">
        <v>28</v>
      </c>
      <c r="M5975" s="676">
        <v>6506.6</v>
      </c>
      <c r="N5975" s="676" t="s">
        <v>1240</v>
      </c>
    </row>
    <row r="5976" spans="1:14" x14ac:dyDescent="0.25">
      <c r="A5976" s="676">
        <f t="shared" si="169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/>
      <c r="L5976" s="676" t="s">
        <v>28</v>
      </c>
      <c r="M5976" s="676">
        <v>5191.6399999999994</v>
      </c>
      <c r="N5976" s="676" t="s">
        <v>1240</v>
      </c>
    </row>
    <row r="5977" spans="1:14" x14ac:dyDescent="0.25">
      <c r="A5977" s="678">
        <f t="shared" si="169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/>
      <c r="L5977" s="678" t="s">
        <v>265</v>
      </c>
      <c r="M5977" s="678">
        <v>17647.25</v>
      </c>
      <c r="N5977" s="678" t="s">
        <v>1236</v>
      </c>
    </row>
    <row r="5978" spans="1:14" x14ac:dyDescent="0.25">
      <c r="A5978" s="676">
        <f t="shared" si="169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/>
      <c r="L5978" s="676" t="s">
        <v>266</v>
      </c>
      <c r="M5978" s="676">
        <v>18139.18</v>
      </c>
      <c r="N5978" s="676" t="s">
        <v>1237</v>
      </c>
    </row>
    <row r="5979" spans="1:14" x14ac:dyDescent="0.25">
      <c r="A5979" s="678">
        <f t="shared" si="169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/>
      <c r="L5979" s="678" t="s">
        <v>266</v>
      </c>
      <c r="M5979" s="678">
        <v>18153.72</v>
      </c>
      <c r="N5979" s="678" t="s">
        <v>1236</v>
      </c>
    </row>
    <row r="5980" spans="1:14" x14ac:dyDescent="0.25">
      <c r="A5980" s="676">
        <f t="shared" si="169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/>
      <c r="L5980" s="676" t="s">
        <v>266</v>
      </c>
      <c r="M5980" s="676">
        <v>18170.180000000004</v>
      </c>
      <c r="N5980" s="676" t="s">
        <v>1237</v>
      </c>
    </row>
    <row r="5981" spans="1:14" x14ac:dyDescent="0.25">
      <c r="A5981" s="678">
        <f t="shared" si="169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/>
      <c r="L5981" s="678" t="s">
        <v>266</v>
      </c>
      <c r="M5981" s="678">
        <v>18136.400000000001</v>
      </c>
      <c r="N5981" s="678" t="s">
        <v>1239</v>
      </c>
    </row>
    <row r="5982" spans="1:14" x14ac:dyDescent="0.25">
      <c r="A5982" s="676">
        <f t="shared" si="169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/>
      <c r="L5982" s="676" t="s">
        <v>266</v>
      </c>
      <c r="M5982" s="676">
        <v>18211.800000000003</v>
      </c>
      <c r="N5982" s="676" t="s">
        <v>1240</v>
      </c>
    </row>
    <row r="5983" spans="1:14" x14ac:dyDescent="0.25">
      <c r="A5983" s="678">
        <f t="shared" si="169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/>
      <c r="L5983" s="678" t="s">
        <v>266</v>
      </c>
      <c r="M5983" s="678">
        <v>4677.8499999999995</v>
      </c>
      <c r="N5983" s="678" t="s">
        <v>1241</v>
      </c>
    </row>
    <row r="5984" spans="1:14" x14ac:dyDescent="0.25">
      <c r="A5984" s="678">
        <f t="shared" si="169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/>
      <c r="L5984" s="678" t="s">
        <v>266</v>
      </c>
      <c r="M5984" s="678">
        <v>4014.6</v>
      </c>
      <c r="N5984" s="678" t="s">
        <v>1241</v>
      </c>
    </row>
    <row r="5985" spans="1:14" x14ac:dyDescent="0.25">
      <c r="A5985" s="676">
        <f t="shared" si="169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/>
      <c r="L5985" s="676" t="s">
        <v>265</v>
      </c>
      <c r="M5985" s="676">
        <v>3788.7</v>
      </c>
      <c r="N5985" s="676" t="s">
        <v>1236</v>
      </c>
    </row>
    <row r="5986" spans="1:14" x14ac:dyDescent="0.25">
      <c r="A5986" s="676">
        <f t="shared" si="169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/>
      <c r="L5986" s="676" t="s">
        <v>265</v>
      </c>
      <c r="M5986" s="676">
        <v>13654.6</v>
      </c>
      <c r="N5986" s="676" t="s">
        <v>1236</v>
      </c>
    </row>
    <row r="5987" spans="1:14" x14ac:dyDescent="0.25">
      <c r="A5987" s="678">
        <f t="shared" si="169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/>
      <c r="L5987" s="678" t="s">
        <v>265</v>
      </c>
      <c r="M5987" s="678">
        <v>12875.68</v>
      </c>
      <c r="N5987" s="678" t="s">
        <v>1236</v>
      </c>
    </row>
    <row r="5988" spans="1:14" x14ac:dyDescent="0.25">
      <c r="A5988" s="676">
        <f t="shared" si="169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/>
      <c r="L5988" s="676" t="s">
        <v>265</v>
      </c>
      <c r="M5988" s="676">
        <v>17790.82</v>
      </c>
      <c r="N5988" s="676" t="s">
        <v>1236</v>
      </c>
    </row>
    <row r="5989" spans="1:14" x14ac:dyDescent="0.25">
      <c r="A5989" s="678">
        <f t="shared" si="169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/>
      <c r="L5989" s="678" t="s">
        <v>28</v>
      </c>
      <c r="M5989" s="678">
        <v>5547.3600000000006</v>
      </c>
      <c r="N5989" s="678" t="s">
        <v>1237</v>
      </c>
    </row>
    <row r="5990" spans="1:14" ht="56.25" x14ac:dyDescent="0.25">
      <c r="A5990" s="678">
        <f t="shared" si="169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/>
      <c r="L5990" s="678" t="s">
        <v>28</v>
      </c>
      <c r="M5990" s="678">
        <v>1653.12</v>
      </c>
      <c r="N5990" s="678" t="s">
        <v>1237</v>
      </c>
    </row>
    <row r="5991" spans="1:14" x14ac:dyDescent="0.25">
      <c r="A5991" s="678">
        <f t="shared" si="169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/>
      <c r="L5991" s="678" t="s">
        <v>28</v>
      </c>
      <c r="M5991" s="678">
        <v>9967.880000000001</v>
      </c>
      <c r="N5991" s="678" t="s">
        <v>1237</v>
      </c>
    </row>
    <row r="5992" spans="1:14" x14ac:dyDescent="0.25">
      <c r="A5992" s="676">
        <f t="shared" si="169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/>
      <c r="L5992" s="676" t="s">
        <v>28</v>
      </c>
      <c r="M5992" s="676">
        <v>4269.0699999999988</v>
      </c>
      <c r="N5992" s="676" t="s">
        <v>1239</v>
      </c>
    </row>
    <row r="5993" spans="1:14" x14ac:dyDescent="0.25">
      <c r="A5993" s="676">
        <f t="shared" si="169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/>
      <c r="L5993" s="676" t="s">
        <v>28</v>
      </c>
      <c r="M5993" s="676">
        <v>8813.3599999999988</v>
      </c>
      <c r="N5993" s="676" t="s">
        <v>1239</v>
      </c>
    </row>
    <row r="5994" spans="1:14" x14ac:dyDescent="0.25">
      <c r="A5994" s="676">
        <f t="shared" si="169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/>
      <c r="L5994" s="676" t="s">
        <v>28</v>
      </c>
      <c r="M5994" s="676">
        <v>4323</v>
      </c>
      <c r="N5994" s="676" t="s">
        <v>1239</v>
      </c>
    </row>
    <row r="5995" spans="1:14" ht="37.5" x14ac:dyDescent="0.25">
      <c r="A5995" s="678">
        <f t="shared" si="169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/>
      <c r="L5995" s="678" t="s">
        <v>28</v>
      </c>
      <c r="M5995" s="678">
        <v>8526.0600000000013</v>
      </c>
      <c r="N5995" s="678" t="s">
        <v>1240</v>
      </c>
    </row>
    <row r="5996" spans="1:14" x14ac:dyDescent="0.25">
      <c r="A5996" s="676">
        <f t="shared" si="169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/>
      <c r="L5996" s="676" t="s">
        <v>28</v>
      </c>
      <c r="M5996" s="676">
        <v>3522.6</v>
      </c>
      <c r="N5996" s="676" t="s">
        <v>1241</v>
      </c>
    </row>
    <row r="5997" spans="1:14" x14ac:dyDescent="0.25">
      <c r="A5997" s="676">
        <f t="shared" si="169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/>
      <c r="L5997" s="676" t="s">
        <v>28</v>
      </c>
      <c r="M5997" s="676">
        <v>13850.980000000005</v>
      </c>
      <c r="N5997" s="676" t="s">
        <v>1241</v>
      </c>
    </row>
    <row r="5998" spans="1:14" x14ac:dyDescent="0.25">
      <c r="A5998" s="678">
        <f t="shared" si="169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/>
      <c r="L5998" s="678" t="s">
        <v>28</v>
      </c>
      <c r="M5998" s="678">
        <v>15821.579999999998</v>
      </c>
      <c r="N5998" s="678" t="s">
        <v>1242</v>
      </c>
    </row>
    <row r="5999" spans="1:14" x14ac:dyDescent="0.25">
      <c r="A5999" s="678">
        <f t="shared" si="169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/>
      <c r="L5999" s="678" t="s">
        <v>28</v>
      </c>
      <c r="M5999" s="678">
        <v>1482.18</v>
      </c>
      <c r="N5999" s="678" t="s">
        <v>1242</v>
      </c>
    </row>
    <row r="6000" spans="1:14" x14ac:dyDescent="0.25">
      <c r="A6000" s="676">
        <f t="shared" si="169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/>
      <c r="L6000" s="676" t="s">
        <v>265</v>
      </c>
      <c r="M6000" s="676">
        <v>15538.599999999999</v>
      </c>
      <c r="N6000" s="676" t="s">
        <v>1236</v>
      </c>
    </row>
    <row r="6001" spans="1:14" x14ac:dyDescent="0.25">
      <c r="A6001" s="676">
        <f t="shared" si="169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/>
      <c r="L6001" s="676" t="s">
        <v>266</v>
      </c>
      <c r="M6001" s="676">
        <v>1829.6999999999998</v>
      </c>
      <c r="N6001" s="676" t="s">
        <v>1236</v>
      </c>
    </row>
    <row r="6002" spans="1:14" x14ac:dyDescent="0.25">
      <c r="A6002" s="678">
        <f t="shared" si="169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/>
      <c r="L6002" s="678" t="s">
        <v>265</v>
      </c>
      <c r="M6002" s="678">
        <v>12680.480000000001</v>
      </c>
      <c r="N6002" s="678" t="s">
        <v>1236</v>
      </c>
    </row>
    <row r="6003" spans="1:14" ht="75" x14ac:dyDescent="0.25">
      <c r="A6003" s="676">
        <f t="shared" si="169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/>
      <c r="L6003" s="676" t="s">
        <v>28</v>
      </c>
      <c r="M6003" s="676">
        <v>15061.68</v>
      </c>
      <c r="N6003" s="676" t="s">
        <v>1237</v>
      </c>
    </row>
    <row r="6004" spans="1:14" x14ac:dyDescent="0.25">
      <c r="A6004" s="678">
        <f t="shared" si="169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/>
      <c r="L6004" s="678" t="s">
        <v>265</v>
      </c>
      <c r="M6004" s="678">
        <v>17651.16</v>
      </c>
      <c r="N6004" s="678" t="s">
        <v>1236</v>
      </c>
    </row>
    <row r="6005" spans="1:14" x14ac:dyDescent="0.25">
      <c r="A6005" s="676">
        <f t="shared" si="169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/>
      <c r="L6005" s="676" t="s">
        <v>28</v>
      </c>
      <c r="M6005" s="676">
        <v>1005</v>
      </c>
      <c r="N6005" s="676" t="s">
        <v>1237</v>
      </c>
    </row>
    <row r="6006" spans="1:14" x14ac:dyDescent="0.25">
      <c r="A6006" s="676">
        <f t="shared" si="169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/>
      <c r="L6006" s="676" t="s">
        <v>266</v>
      </c>
      <c r="M6006" s="676">
        <v>11897.84</v>
      </c>
      <c r="N6006" s="676" t="s">
        <v>1237</v>
      </c>
    </row>
    <row r="6007" spans="1:14" x14ac:dyDescent="0.25">
      <c r="A6007" s="676">
        <f t="shared" si="169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/>
      <c r="L6007" s="676" t="s">
        <v>266</v>
      </c>
      <c r="M6007" s="676">
        <v>4200.22</v>
      </c>
      <c r="N6007" s="676" t="s">
        <v>1237</v>
      </c>
    </row>
    <row r="6008" spans="1:14" x14ac:dyDescent="0.25">
      <c r="A6008" s="678">
        <f t="shared" si="169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/>
      <c r="L6008" s="678" t="s">
        <v>28</v>
      </c>
      <c r="M6008" s="678">
        <v>9613.7199999999993</v>
      </c>
      <c r="N6008" s="678" t="s">
        <v>1239</v>
      </c>
    </row>
    <row r="6009" spans="1:14" x14ac:dyDescent="0.25">
      <c r="A6009" s="678">
        <f t="shared" si="169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/>
      <c r="L6009" s="678" t="s">
        <v>28</v>
      </c>
      <c r="M6009" s="678">
        <v>5603.4900000000007</v>
      </c>
      <c r="N6009" s="678" t="s">
        <v>1239</v>
      </c>
    </row>
    <row r="6010" spans="1:14" x14ac:dyDescent="0.25">
      <c r="A6010" s="678">
        <f t="shared" si="169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/>
      <c r="L6010" s="678" t="s">
        <v>28</v>
      </c>
      <c r="M6010" s="678">
        <v>2021.1</v>
      </c>
      <c r="N6010" s="678" t="s">
        <v>1239</v>
      </c>
    </row>
    <row r="6011" spans="1:14" x14ac:dyDescent="0.25">
      <c r="A6011" s="676">
        <f t="shared" si="169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/>
      <c r="L6011" s="676" t="s">
        <v>28</v>
      </c>
      <c r="M6011" s="676">
        <v>12101.96</v>
      </c>
      <c r="N6011" s="676" t="s">
        <v>1240</v>
      </c>
    </row>
    <row r="6012" spans="1:14" x14ac:dyDescent="0.25">
      <c r="A6012" s="676">
        <f t="shared" si="169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/>
      <c r="L6012" s="676" t="s">
        <v>28</v>
      </c>
      <c r="M6012" s="676">
        <v>5087.7999999999993</v>
      </c>
      <c r="N6012" s="676" t="s">
        <v>1240</v>
      </c>
    </row>
    <row r="6013" spans="1:14" x14ac:dyDescent="0.25">
      <c r="A6013" s="678">
        <f t="shared" si="169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/>
      <c r="L6013" s="678" t="s">
        <v>266</v>
      </c>
      <c r="M6013" s="678">
        <v>15882.539999999999</v>
      </c>
      <c r="N6013" s="678" t="s">
        <v>1241</v>
      </c>
    </row>
    <row r="6014" spans="1:14" x14ac:dyDescent="0.25">
      <c r="A6014" s="676">
        <f t="shared" si="169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/>
      <c r="L6014" s="676" t="s">
        <v>28</v>
      </c>
      <c r="M6014" s="676">
        <v>4628.3999999999996</v>
      </c>
      <c r="N6014" s="676" t="s">
        <v>1237</v>
      </c>
    </row>
    <row r="6015" spans="1:14" x14ac:dyDescent="0.25">
      <c r="A6015" s="676">
        <f t="shared" si="169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/>
      <c r="L6015" s="676" t="s">
        <v>28</v>
      </c>
      <c r="M6015" s="676">
        <v>4879.1600000000008</v>
      </c>
      <c r="N6015" s="676" t="s">
        <v>1237</v>
      </c>
    </row>
    <row r="6016" spans="1:14" x14ac:dyDescent="0.25">
      <c r="A6016" s="676">
        <f t="shared" si="169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/>
      <c r="L6016" s="676" t="s">
        <v>28</v>
      </c>
      <c r="M6016" s="676">
        <v>1952.0399999999997</v>
      </c>
      <c r="N6016" s="676" t="s">
        <v>1237</v>
      </c>
    </row>
    <row r="6017" spans="1:14" x14ac:dyDescent="0.25">
      <c r="A6017" s="678">
        <f t="shared" si="169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/>
      <c r="L6017" s="678" t="s">
        <v>28</v>
      </c>
      <c r="M6017" s="678">
        <v>9477.7200000000012</v>
      </c>
      <c r="N6017" s="678" t="s">
        <v>1239</v>
      </c>
    </row>
    <row r="6018" spans="1:14" x14ac:dyDescent="0.25">
      <c r="A6018" s="676">
        <f t="shared" si="169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/>
      <c r="L6018" s="676" t="s">
        <v>28</v>
      </c>
      <c r="M6018" s="676">
        <v>11631.32</v>
      </c>
      <c r="N6018" s="676" t="s">
        <v>1240</v>
      </c>
    </row>
    <row r="6019" spans="1:14" x14ac:dyDescent="0.25">
      <c r="A6019" s="678">
        <f t="shared" si="169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/>
      <c r="L6019" s="678" t="s">
        <v>265</v>
      </c>
      <c r="M6019" s="678">
        <v>17655.78</v>
      </c>
      <c r="N6019" s="678" t="s">
        <v>1236</v>
      </c>
    </row>
    <row r="6020" spans="1:14" x14ac:dyDescent="0.25">
      <c r="A6020" s="676">
        <f t="shared" si="169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/>
      <c r="L6020" s="676" t="s">
        <v>266</v>
      </c>
      <c r="M6020" s="676">
        <v>1600.5599999999997</v>
      </c>
      <c r="N6020" s="676" t="s">
        <v>1240</v>
      </c>
    </row>
    <row r="6021" spans="1:14" x14ac:dyDescent="0.25">
      <c r="A6021" s="676">
        <f t="shared" si="169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/>
      <c r="L6021" s="676" t="s">
        <v>266</v>
      </c>
      <c r="M6021" s="676">
        <v>12748.149999999998</v>
      </c>
      <c r="N6021" s="676" t="s">
        <v>1240</v>
      </c>
    </row>
    <row r="6022" spans="1:14" x14ac:dyDescent="0.25">
      <c r="A6022" s="678">
        <f t="shared" si="169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/>
      <c r="L6022" s="678" t="s">
        <v>266</v>
      </c>
      <c r="M6022" s="678">
        <v>18166.800000000003</v>
      </c>
      <c r="N6022" s="678" t="s">
        <v>1236</v>
      </c>
    </row>
    <row r="6023" spans="1:14" x14ac:dyDescent="0.25">
      <c r="A6023" s="676">
        <f t="shared" si="169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/>
      <c r="L6023" s="676" t="s">
        <v>266</v>
      </c>
      <c r="M6023" s="676">
        <v>18056.579999999998</v>
      </c>
      <c r="N6023" s="676" t="s">
        <v>1237</v>
      </c>
    </row>
    <row r="6024" spans="1:14" x14ac:dyDescent="0.25">
      <c r="A6024" s="678">
        <f t="shared" si="169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/>
      <c r="L6024" s="678" t="s">
        <v>266</v>
      </c>
      <c r="M6024" s="678">
        <v>18055.52</v>
      </c>
      <c r="N6024" s="678" t="s">
        <v>1239</v>
      </c>
    </row>
    <row r="6025" spans="1:14" x14ac:dyDescent="0.25">
      <c r="A6025" s="676">
        <f t="shared" si="169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/>
      <c r="L6025" s="676" t="s">
        <v>266</v>
      </c>
      <c r="M6025" s="676">
        <v>18033</v>
      </c>
      <c r="N6025" s="676" t="s">
        <v>1240</v>
      </c>
    </row>
    <row r="6026" spans="1:14" x14ac:dyDescent="0.25">
      <c r="A6026" s="678">
        <f t="shared" si="169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/>
      <c r="L6026" s="678" t="s">
        <v>265</v>
      </c>
      <c r="M6026" s="678">
        <v>4279</v>
      </c>
      <c r="N6026" s="678" t="s">
        <v>1236</v>
      </c>
    </row>
    <row r="6027" spans="1:14" x14ac:dyDescent="0.25">
      <c r="A6027" s="678">
        <f t="shared" si="169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/>
      <c r="L6027" s="678" t="s">
        <v>265</v>
      </c>
      <c r="M6027" s="678">
        <v>13358.81</v>
      </c>
      <c r="N6027" s="678" t="s">
        <v>1236</v>
      </c>
    </row>
    <row r="6028" spans="1:14" x14ac:dyDescent="0.25">
      <c r="A6028" s="676">
        <f t="shared" si="169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/>
      <c r="L6028" s="676" t="s">
        <v>266</v>
      </c>
      <c r="M6028" s="676">
        <v>8233.82</v>
      </c>
      <c r="N6028" s="676" t="s">
        <v>1239</v>
      </c>
    </row>
    <row r="6029" spans="1:14" x14ac:dyDescent="0.25">
      <c r="A6029" s="676">
        <f t="shared" si="169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/>
      <c r="L6029" s="676" t="s">
        <v>266</v>
      </c>
      <c r="M6029" s="676">
        <v>4932.54</v>
      </c>
      <c r="N6029" s="676" t="s">
        <v>1239</v>
      </c>
    </row>
    <row r="6030" spans="1:14" x14ac:dyDescent="0.25">
      <c r="A6030" s="676">
        <f t="shared" si="169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/>
      <c r="L6030" s="676" t="s">
        <v>266</v>
      </c>
      <c r="M6030" s="676">
        <v>3504.6</v>
      </c>
      <c r="N6030" s="676" t="s">
        <v>1239</v>
      </c>
    </row>
    <row r="6031" spans="1:14" x14ac:dyDescent="0.25">
      <c r="A6031" s="678">
        <f t="shared" si="169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/>
      <c r="L6031" s="678" t="s">
        <v>265</v>
      </c>
      <c r="M6031" s="678">
        <v>12295.96</v>
      </c>
      <c r="N6031" s="678" t="s">
        <v>1236</v>
      </c>
    </row>
    <row r="6032" spans="1:14" x14ac:dyDescent="0.25">
      <c r="A6032" s="676">
        <f t="shared" si="169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/>
      <c r="L6032" s="676" t="s">
        <v>265</v>
      </c>
      <c r="M6032" s="676">
        <v>17734.52</v>
      </c>
      <c r="N6032" s="676" t="s">
        <v>1236</v>
      </c>
    </row>
    <row r="6033" spans="1:14" x14ac:dyDescent="0.25">
      <c r="A6033" s="678">
        <f t="shared" si="169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/>
      <c r="L6033" s="678" t="s">
        <v>28</v>
      </c>
      <c r="M6033" s="678">
        <v>9969.15</v>
      </c>
      <c r="N6033" s="678" t="s">
        <v>1237</v>
      </c>
    </row>
    <row r="6034" spans="1:14" ht="56.25" x14ac:dyDescent="0.25">
      <c r="A6034" s="678">
        <f t="shared" si="169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/>
      <c r="L6034" s="678" t="s">
        <v>28</v>
      </c>
      <c r="M6034" s="678">
        <v>1109.28</v>
      </c>
      <c r="N6034" s="678" t="s">
        <v>1237</v>
      </c>
    </row>
    <row r="6035" spans="1:14" x14ac:dyDescent="0.25">
      <c r="A6035" s="678">
        <f t="shared" si="169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/>
      <c r="L6035" s="678" t="s">
        <v>28</v>
      </c>
      <c r="M6035" s="678">
        <v>6064.2400000000007</v>
      </c>
      <c r="N6035" s="678" t="s">
        <v>1237</v>
      </c>
    </row>
    <row r="6036" spans="1:14" x14ac:dyDescent="0.25">
      <c r="A6036" s="676">
        <f t="shared" si="169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/>
      <c r="L6036" s="676" t="s">
        <v>28</v>
      </c>
      <c r="M6036" s="676">
        <v>10978.710000000003</v>
      </c>
      <c r="N6036" s="676" t="s">
        <v>1239</v>
      </c>
    </row>
    <row r="6037" spans="1:14" x14ac:dyDescent="0.25">
      <c r="A6037" s="676">
        <f t="shared" ref="A6037:A6100" si="170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/>
      <c r="L6037" s="676" t="s">
        <v>28</v>
      </c>
      <c r="M6037" s="676">
        <v>6532.5899999999983</v>
      </c>
      <c r="N6037" s="676" t="s">
        <v>1239</v>
      </c>
    </row>
    <row r="6038" spans="1:14" x14ac:dyDescent="0.25">
      <c r="A6038" s="678">
        <f t="shared" si="170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/>
      <c r="L6038" s="678" t="s">
        <v>28</v>
      </c>
      <c r="M6038" s="678">
        <v>15604.639999999998</v>
      </c>
      <c r="N6038" s="678" t="s">
        <v>1240</v>
      </c>
    </row>
    <row r="6039" spans="1:14" x14ac:dyDescent="0.25">
      <c r="A6039" s="678">
        <f t="shared" si="170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/>
      <c r="L6039" s="678" t="s">
        <v>28</v>
      </c>
      <c r="M6039" s="678">
        <v>1634.64</v>
      </c>
      <c r="N6039" s="678" t="s">
        <v>1240</v>
      </c>
    </row>
    <row r="6040" spans="1:14" x14ac:dyDescent="0.25">
      <c r="A6040" s="676">
        <f t="shared" si="170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/>
      <c r="L6040" s="676" t="s">
        <v>265</v>
      </c>
      <c r="M6040" s="676">
        <v>16538.019999999997</v>
      </c>
      <c r="N6040" s="676" t="s">
        <v>1236</v>
      </c>
    </row>
    <row r="6041" spans="1:14" x14ac:dyDescent="0.25">
      <c r="A6041" s="676">
        <f t="shared" si="170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/>
      <c r="L6041" s="676" t="s">
        <v>265</v>
      </c>
      <c r="M6041" s="676">
        <v>1313.7</v>
      </c>
      <c r="N6041" s="676" t="s">
        <v>1236</v>
      </c>
    </row>
    <row r="6042" spans="1:14" x14ac:dyDescent="0.25">
      <c r="A6042" s="678">
        <f t="shared" si="170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/>
      <c r="L6042" s="678" t="s">
        <v>265</v>
      </c>
      <c r="M6042" s="678">
        <v>13008.919999999998</v>
      </c>
      <c r="N6042" s="678" t="s">
        <v>1236</v>
      </c>
    </row>
    <row r="6043" spans="1:14" x14ac:dyDescent="0.25">
      <c r="A6043" s="676">
        <f t="shared" si="170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/>
      <c r="L6043" s="676" t="s">
        <v>266</v>
      </c>
      <c r="M6043" s="676">
        <v>11680.56</v>
      </c>
      <c r="N6043" s="676" t="s">
        <v>1237</v>
      </c>
    </row>
    <row r="6044" spans="1:14" x14ac:dyDescent="0.25">
      <c r="A6044" s="678">
        <f t="shared" si="170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/>
      <c r="L6044" s="678" t="s">
        <v>28</v>
      </c>
      <c r="M6044" s="678">
        <v>475.67999999999995</v>
      </c>
      <c r="N6044" s="678" t="s">
        <v>1239</v>
      </c>
    </row>
    <row r="6045" spans="1:14" x14ac:dyDescent="0.25">
      <c r="A6045" s="678">
        <f t="shared" si="170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/>
      <c r="L6045" s="678" t="s">
        <v>28</v>
      </c>
      <c r="M6045" s="678">
        <v>5288.5199999999995</v>
      </c>
      <c r="N6045" s="678" t="s">
        <v>1239</v>
      </c>
    </row>
    <row r="6046" spans="1:14" x14ac:dyDescent="0.25">
      <c r="A6046" s="678">
        <f t="shared" si="170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/>
      <c r="L6046" s="678" t="s">
        <v>28</v>
      </c>
      <c r="M6046" s="678">
        <v>7759.8</v>
      </c>
      <c r="N6046" s="678" t="s">
        <v>1239</v>
      </c>
    </row>
    <row r="6047" spans="1:14" x14ac:dyDescent="0.25">
      <c r="A6047" s="676">
        <f t="shared" si="170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/>
      <c r="L6047" s="676" t="s">
        <v>28</v>
      </c>
      <c r="M6047" s="676">
        <v>3080.88</v>
      </c>
      <c r="N6047" s="676" t="s">
        <v>1240</v>
      </c>
    </row>
    <row r="6048" spans="1:14" x14ac:dyDescent="0.25">
      <c r="A6048" s="676">
        <f t="shared" si="170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/>
      <c r="L6048" s="676" t="s">
        <v>28</v>
      </c>
      <c r="M6048" s="676">
        <v>10082.84</v>
      </c>
      <c r="N6048" s="676" t="s">
        <v>1240</v>
      </c>
    </row>
    <row r="6049" spans="1:14" x14ac:dyDescent="0.25">
      <c r="A6049" s="678">
        <f t="shared" si="170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/>
      <c r="L6049" s="678" t="s">
        <v>265</v>
      </c>
      <c r="M6049" s="678">
        <v>17796.72</v>
      </c>
      <c r="N6049" s="678" t="s">
        <v>1236</v>
      </c>
    </row>
    <row r="6050" spans="1:14" x14ac:dyDescent="0.25">
      <c r="A6050" s="676">
        <f t="shared" si="170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/>
      <c r="L6050" s="676" t="s">
        <v>28</v>
      </c>
      <c r="M6050" s="676">
        <v>9718.619999999999</v>
      </c>
      <c r="N6050" s="676" t="s">
        <v>1237</v>
      </c>
    </row>
    <row r="6051" spans="1:14" x14ac:dyDescent="0.25">
      <c r="A6051" s="676">
        <f t="shared" si="170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/>
      <c r="L6051" s="676" t="s">
        <v>266</v>
      </c>
      <c r="M6051" s="676">
        <v>7466.7</v>
      </c>
      <c r="N6051" s="676" t="s">
        <v>1237</v>
      </c>
    </row>
    <row r="6052" spans="1:14" x14ac:dyDescent="0.25">
      <c r="A6052" s="678">
        <f t="shared" si="170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/>
      <c r="L6052" s="678" t="s">
        <v>28</v>
      </c>
      <c r="M6052" s="678">
        <v>3505.92</v>
      </c>
      <c r="N6052" s="678" t="s">
        <v>1239</v>
      </c>
    </row>
    <row r="6053" spans="1:14" x14ac:dyDescent="0.25">
      <c r="A6053" s="678">
        <f t="shared" si="170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/>
      <c r="L6053" s="678" t="s">
        <v>266</v>
      </c>
      <c r="M6053" s="678">
        <v>13679.76</v>
      </c>
      <c r="N6053" s="678" t="s">
        <v>1239</v>
      </c>
    </row>
    <row r="6054" spans="1:14" x14ac:dyDescent="0.25">
      <c r="A6054" s="676">
        <f t="shared" si="170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/>
      <c r="L6054" s="676" t="s">
        <v>28</v>
      </c>
      <c r="M6054" s="676">
        <v>10776.289999999999</v>
      </c>
      <c r="N6054" s="676" t="s">
        <v>1240</v>
      </c>
    </row>
    <row r="6055" spans="1:14" x14ac:dyDescent="0.25">
      <c r="A6055" s="676">
        <f t="shared" si="170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/>
      <c r="L6055" s="676" t="s">
        <v>28</v>
      </c>
      <c r="M6055" s="676">
        <v>6533.64</v>
      </c>
      <c r="N6055" s="676" t="s">
        <v>1240</v>
      </c>
    </row>
    <row r="6056" spans="1:14" x14ac:dyDescent="0.25">
      <c r="A6056" s="678">
        <f t="shared" si="170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/>
      <c r="L6056" s="678" t="s">
        <v>28</v>
      </c>
      <c r="M6056" s="678">
        <v>17292.39</v>
      </c>
      <c r="N6056" s="678" t="s">
        <v>1241</v>
      </c>
    </row>
    <row r="6057" spans="1:14" x14ac:dyDescent="0.25">
      <c r="A6057" s="676">
        <f t="shared" si="170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/>
      <c r="L6057" s="676" t="s">
        <v>265</v>
      </c>
      <c r="M6057" s="676">
        <v>17725.52</v>
      </c>
      <c r="N6057" s="676" t="s">
        <v>1236</v>
      </c>
    </row>
    <row r="6058" spans="1:14" x14ac:dyDescent="0.25">
      <c r="A6058" s="676">
        <f t="shared" si="170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/>
      <c r="L6058" s="676" t="s">
        <v>265</v>
      </c>
      <c r="M6058" s="676">
        <v>21.6</v>
      </c>
      <c r="N6058" s="676" t="s">
        <v>1236</v>
      </c>
    </row>
    <row r="6059" spans="1:14" x14ac:dyDescent="0.25">
      <c r="A6059" s="678">
        <f t="shared" si="170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/>
      <c r="L6059" s="678" t="s">
        <v>266</v>
      </c>
      <c r="M6059" s="678">
        <v>18145.66</v>
      </c>
      <c r="N6059" s="678" t="s">
        <v>1237</v>
      </c>
    </row>
    <row r="6060" spans="1:14" x14ac:dyDescent="0.25">
      <c r="A6060" s="676">
        <f t="shared" si="170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/>
      <c r="L6060" s="676" t="s">
        <v>266</v>
      </c>
      <c r="M6060" s="676">
        <v>18076.540000000005</v>
      </c>
      <c r="N6060" s="676" t="s">
        <v>1239</v>
      </c>
    </row>
    <row r="6061" spans="1:14" x14ac:dyDescent="0.25">
      <c r="A6061" s="678">
        <f t="shared" si="170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/>
      <c r="L6061" s="678" t="s">
        <v>266</v>
      </c>
      <c r="M6061" s="678">
        <v>18130.46</v>
      </c>
      <c r="N6061" s="678" t="s">
        <v>1241</v>
      </c>
    </row>
    <row r="6062" spans="1:14" x14ac:dyDescent="0.25">
      <c r="A6062" s="676">
        <f t="shared" si="170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/>
      <c r="L6062" s="676" t="s">
        <v>265</v>
      </c>
      <c r="M6062" s="676">
        <v>2209.6</v>
      </c>
      <c r="N6062" s="676" t="s">
        <v>1236</v>
      </c>
    </row>
    <row r="6063" spans="1:14" x14ac:dyDescent="0.25">
      <c r="A6063" s="676">
        <f t="shared" si="170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/>
      <c r="L6063" s="676" t="s">
        <v>265</v>
      </c>
      <c r="M6063" s="676">
        <v>15503.880000000001</v>
      </c>
      <c r="N6063" s="676" t="s">
        <v>1236</v>
      </c>
    </row>
    <row r="6064" spans="1:14" x14ac:dyDescent="0.25">
      <c r="A6064" s="678">
        <f t="shared" si="170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/>
      <c r="L6064" s="678" t="s">
        <v>265</v>
      </c>
      <c r="M6064" s="678">
        <v>11774.32</v>
      </c>
      <c r="N6064" s="678" t="s">
        <v>1236</v>
      </c>
    </row>
    <row r="6065" spans="1:14" x14ac:dyDescent="0.25">
      <c r="A6065" s="676">
        <f t="shared" si="170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/>
      <c r="L6065" s="676" t="s">
        <v>265</v>
      </c>
      <c r="M6065" s="676">
        <v>17729.43</v>
      </c>
      <c r="N6065" s="676" t="s">
        <v>1236</v>
      </c>
    </row>
    <row r="6066" spans="1:14" x14ac:dyDescent="0.25">
      <c r="A6066" s="678">
        <f t="shared" si="170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/>
      <c r="L6066" s="678" t="s">
        <v>28</v>
      </c>
      <c r="M6066" s="678">
        <v>5145</v>
      </c>
      <c r="N6066" s="678" t="s">
        <v>1237</v>
      </c>
    </row>
    <row r="6067" spans="1:14" ht="56.25" x14ac:dyDescent="0.25">
      <c r="A6067" s="678">
        <f t="shared" si="170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/>
      <c r="L6067" s="678" t="s">
        <v>28</v>
      </c>
      <c r="M6067" s="678">
        <v>960.48</v>
      </c>
      <c r="N6067" s="678" t="s">
        <v>1237</v>
      </c>
    </row>
    <row r="6068" spans="1:14" x14ac:dyDescent="0.25">
      <c r="A6068" s="678">
        <f t="shared" si="170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/>
      <c r="L6068" s="678" t="s">
        <v>28</v>
      </c>
      <c r="M6068" s="678">
        <v>6322.72</v>
      </c>
      <c r="N6068" s="678" t="s">
        <v>1237</v>
      </c>
    </row>
    <row r="6069" spans="1:14" x14ac:dyDescent="0.25">
      <c r="A6069" s="678">
        <f t="shared" si="170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/>
      <c r="L6069" s="678" t="s">
        <v>266</v>
      </c>
      <c r="M6069" s="678">
        <v>4778.130000000001</v>
      </c>
      <c r="N6069" s="678" t="s">
        <v>1237</v>
      </c>
    </row>
    <row r="6070" spans="1:14" x14ac:dyDescent="0.25">
      <c r="A6070" s="676">
        <f t="shared" si="170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/>
      <c r="L6070" s="676" t="s">
        <v>28</v>
      </c>
      <c r="M6070" s="676">
        <v>8922.7200000000012</v>
      </c>
      <c r="N6070" s="676" t="s">
        <v>1239</v>
      </c>
    </row>
    <row r="6071" spans="1:14" x14ac:dyDescent="0.25">
      <c r="A6071" s="676">
        <f t="shared" si="170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/>
      <c r="L6071" s="676" t="s">
        <v>28</v>
      </c>
      <c r="M6071" s="676">
        <v>8509.32</v>
      </c>
      <c r="N6071" s="676" t="s">
        <v>1239</v>
      </c>
    </row>
    <row r="6072" spans="1:14" x14ac:dyDescent="0.25">
      <c r="A6072" s="678">
        <f t="shared" si="170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/>
      <c r="L6072" s="678" t="s">
        <v>28</v>
      </c>
      <c r="M6072" s="678">
        <v>15814.97</v>
      </c>
      <c r="N6072" s="678" t="s">
        <v>1240</v>
      </c>
    </row>
    <row r="6073" spans="1:14" x14ac:dyDescent="0.25">
      <c r="A6073" s="678">
        <f t="shared" si="170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/>
      <c r="L6073" s="678" t="s">
        <v>28</v>
      </c>
      <c r="M6073" s="678">
        <v>1502.46</v>
      </c>
      <c r="N6073" s="678" t="s">
        <v>1240</v>
      </c>
    </row>
    <row r="6074" spans="1:14" x14ac:dyDescent="0.25">
      <c r="A6074" s="676">
        <f t="shared" si="170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/>
      <c r="L6074" s="676" t="s">
        <v>265</v>
      </c>
      <c r="M6074" s="676">
        <v>16184.560000000001</v>
      </c>
      <c r="N6074" s="676" t="s">
        <v>1236</v>
      </c>
    </row>
    <row r="6075" spans="1:14" x14ac:dyDescent="0.25">
      <c r="A6075" s="676">
        <f t="shared" si="170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/>
      <c r="L6075" s="676" t="s">
        <v>265</v>
      </c>
      <c r="M6075" s="676">
        <v>1328.2199999999998</v>
      </c>
      <c r="N6075" s="676" t="s">
        <v>1236</v>
      </c>
    </row>
    <row r="6076" spans="1:14" x14ac:dyDescent="0.25">
      <c r="A6076" s="678">
        <f t="shared" si="170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/>
      <c r="L6076" s="678" t="s">
        <v>265</v>
      </c>
      <c r="M6076" s="678">
        <v>11548.079999999998</v>
      </c>
      <c r="N6076" s="678" t="s">
        <v>1236</v>
      </c>
    </row>
    <row r="6077" spans="1:14" x14ac:dyDescent="0.25">
      <c r="A6077" s="676">
        <f t="shared" si="170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/>
      <c r="L6077" s="676" t="s">
        <v>28</v>
      </c>
      <c r="M6077" s="676">
        <v>11457.36</v>
      </c>
      <c r="N6077" s="676" t="s">
        <v>1237</v>
      </c>
    </row>
    <row r="6078" spans="1:14" x14ac:dyDescent="0.25">
      <c r="A6078" s="678">
        <f t="shared" si="170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/>
      <c r="L6078" s="678" t="s">
        <v>28</v>
      </c>
      <c r="M6078" s="678">
        <v>2310</v>
      </c>
      <c r="N6078" s="678" t="s">
        <v>1237</v>
      </c>
    </row>
    <row r="6079" spans="1:14" x14ac:dyDescent="0.25">
      <c r="A6079" s="678">
        <f t="shared" si="170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/>
      <c r="L6079" s="678" t="s">
        <v>266</v>
      </c>
      <c r="M6079" s="678">
        <v>14819.340000000002</v>
      </c>
      <c r="N6079" s="678" t="s">
        <v>1237</v>
      </c>
    </row>
    <row r="6080" spans="1:14" ht="36" customHeight="1" x14ac:dyDescent="0.25">
      <c r="A6080" s="676">
        <f t="shared" si="170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765" t="s">
        <v>1339</v>
      </c>
      <c r="H6080" s="676" t="s">
        <v>1338</v>
      </c>
      <c r="I6080" s="477" t="s">
        <v>1338</v>
      </c>
      <c r="J6080" s="478"/>
      <c r="K6080" s="676"/>
      <c r="L6080" s="676" t="s">
        <v>28</v>
      </c>
      <c r="M6080" s="676">
        <v>5034.24</v>
      </c>
      <c r="N6080" s="676" t="s">
        <v>1239</v>
      </c>
    </row>
    <row r="6081" spans="1:14" x14ac:dyDescent="0.25">
      <c r="A6081" s="676">
        <f t="shared" si="170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766"/>
      <c r="H6081" s="676" t="s">
        <v>1338</v>
      </c>
      <c r="I6081" s="477" t="s">
        <v>1338</v>
      </c>
      <c r="J6081" s="478"/>
      <c r="K6081" s="676"/>
      <c r="L6081" s="676" t="s">
        <v>28</v>
      </c>
      <c r="M6081" s="676">
        <v>10179.180000000002</v>
      </c>
      <c r="N6081" s="676" t="s">
        <v>1239</v>
      </c>
    </row>
    <row r="6082" spans="1:14" x14ac:dyDescent="0.25">
      <c r="A6082" s="678">
        <f t="shared" si="170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/>
      <c r="L6082" s="678" t="s">
        <v>266</v>
      </c>
      <c r="M6082" s="678">
        <v>15080.850000000002</v>
      </c>
      <c r="N6082" s="678" t="s">
        <v>1236</v>
      </c>
    </row>
    <row r="6083" spans="1:14" x14ac:dyDescent="0.25">
      <c r="A6083" s="676">
        <f t="shared" si="170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/>
      <c r="L6083" s="676" t="s">
        <v>265</v>
      </c>
      <c r="M6083" s="676">
        <v>17439.73</v>
      </c>
      <c r="N6083" s="694" t="s">
        <v>1246</v>
      </c>
    </row>
    <row r="6084" spans="1:14" x14ac:dyDescent="0.25">
      <c r="A6084" s="678">
        <f t="shared" si="170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/>
      <c r="L6084" s="678" t="s">
        <v>28</v>
      </c>
      <c r="M6084" s="678">
        <v>7238.7300000000005</v>
      </c>
      <c r="N6084" s="678" t="s">
        <v>1237</v>
      </c>
    </row>
    <row r="6085" spans="1:14" x14ac:dyDescent="0.25">
      <c r="A6085" s="678">
        <f t="shared" si="170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/>
      <c r="L6085" s="678" t="s">
        <v>266</v>
      </c>
      <c r="M6085" s="678">
        <v>9915.75</v>
      </c>
      <c r="N6085" s="678" t="s">
        <v>1237</v>
      </c>
    </row>
    <row r="6086" spans="1:14" x14ac:dyDescent="0.25">
      <c r="A6086" s="676">
        <f t="shared" si="170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/>
      <c r="L6086" s="676" t="s">
        <v>266</v>
      </c>
      <c r="M6086" s="676">
        <v>9539.1999999999989</v>
      </c>
      <c r="N6086" s="676" t="s">
        <v>1239</v>
      </c>
    </row>
    <row r="6087" spans="1:14" x14ac:dyDescent="0.25">
      <c r="A6087" s="678">
        <f t="shared" si="170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/>
      <c r="L6087" s="678" t="s">
        <v>28</v>
      </c>
      <c r="M6087" s="678">
        <v>8164.8</v>
      </c>
      <c r="N6087" s="678" t="s">
        <v>1240</v>
      </c>
    </row>
    <row r="6088" spans="1:14" x14ac:dyDescent="0.25">
      <c r="A6088" s="678">
        <f t="shared" si="170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/>
      <c r="L6088" s="678" t="s">
        <v>28</v>
      </c>
      <c r="M6088" s="678">
        <v>9142.42</v>
      </c>
      <c r="N6088" s="678" t="s">
        <v>1240</v>
      </c>
    </row>
    <row r="6089" spans="1:14" x14ac:dyDescent="0.25">
      <c r="A6089" s="676">
        <f t="shared" si="170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/>
      <c r="L6089" s="676" t="s">
        <v>28</v>
      </c>
      <c r="M6089" s="676">
        <v>10046.64</v>
      </c>
      <c r="N6089" s="676" t="s">
        <v>1237</v>
      </c>
    </row>
    <row r="6090" spans="1:14" x14ac:dyDescent="0.25">
      <c r="A6090" s="676">
        <f t="shared" si="170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/>
      <c r="L6090" s="676" t="s">
        <v>266</v>
      </c>
      <c r="M6090" s="676">
        <v>1648.76</v>
      </c>
      <c r="N6090" s="676" t="s">
        <v>1237</v>
      </c>
    </row>
    <row r="6091" spans="1:14" x14ac:dyDescent="0.25">
      <c r="A6091" s="678">
        <f t="shared" si="170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/>
      <c r="L6091" s="678" t="s">
        <v>28</v>
      </c>
      <c r="M6091" s="678">
        <v>5657.8799999999992</v>
      </c>
      <c r="N6091" s="678" t="s">
        <v>1239</v>
      </c>
    </row>
    <row r="6092" spans="1:14" x14ac:dyDescent="0.25">
      <c r="A6092" s="678">
        <f t="shared" si="170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/>
      <c r="L6092" s="678" t="s">
        <v>28</v>
      </c>
      <c r="M6092" s="678">
        <v>3765.7599999999993</v>
      </c>
      <c r="N6092" s="678" t="s">
        <v>1239</v>
      </c>
    </row>
    <row r="6093" spans="1:14" x14ac:dyDescent="0.25">
      <c r="A6093" s="676">
        <f t="shared" si="170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/>
      <c r="L6093" s="676" t="s">
        <v>266</v>
      </c>
      <c r="M6093" s="676">
        <v>905.19</v>
      </c>
      <c r="N6093" s="676" t="s">
        <v>1240</v>
      </c>
    </row>
    <row r="6094" spans="1:14" x14ac:dyDescent="0.25">
      <c r="A6094" s="676">
        <f t="shared" si="170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/>
      <c r="L6094" s="676" t="s">
        <v>266</v>
      </c>
      <c r="M6094" s="676">
        <v>15817.78</v>
      </c>
      <c r="N6094" s="676" t="s">
        <v>1240</v>
      </c>
    </row>
    <row r="6095" spans="1:14" x14ac:dyDescent="0.25">
      <c r="A6095" s="678">
        <f t="shared" si="170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/>
      <c r="L6095" s="678" t="s">
        <v>266</v>
      </c>
      <c r="M6095" s="678">
        <v>18048.719999999998</v>
      </c>
      <c r="N6095" s="678" t="s">
        <v>1237</v>
      </c>
    </row>
    <row r="6096" spans="1:14" x14ac:dyDescent="0.25">
      <c r="A6096" s="676">
        <f t="shared" si="170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/>
      <c r="L6096" s="676" t="s">
        <v>266</v>
      </c>
      <c r="M6096" s="676">
        <v>18163.66</v>
      </c>
      <c r="N6096" s="676" t="s">
        <v>1239</v>
      </c>
    </row>
    <row r="6097" spans="1:14" x14ac:dyDescent="0.25">
      <c r="A6097" s="678">
        <f t="shared" si="170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/>
      <c r="L6097" s="678" t="s">
        <v>266</v>
      </c>
      <c r="M6097" s="678">
        <v>18123.080000000002</v>
      </c>
      <c r="N6097" s="678" t="s">
        <v>1241</v>
      </c>
    </row>
    <row r="6098" spans="1:14" x14ac:dyDescent="0.25">
      <c r="A6098" s="676">
        <f t="shared" si="170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/>
      <c r="L6098" s="676" t="s">
        <v>265</v>
      </c>
      <c r="M6098" s="676">
        <v>5495.5</v>
      </c>
      <c r="N6098" s="676" t="s">
        <v>1236</v>
      </c>
    </row>
    <row r="6099" spans="1:14" x14ac:dyDescent="0.25">
      <c r="A6099" s="676">
        <f t="shared" si="170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/>
      <c r="L6099" s="676" t="s">
        <v>265</v>
      </c>
      <c r="M6099" s="676">
        <v>11971.720000000001</v>
      </c>
      <c r="N6099" s="676" t="s">
        <v>1236</v>
      </c>
    </row>
    <row r="6100" spans="1:14" x14ac:dyDescent="0.25">
      <c r="A6100" s="678">
        <f t="shared" si="170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/>
      <c r="L6100" s="678" t="s">
        <v>266</v>
      </c>
      <c r="M6100" s="678">
        <v>6842.9</v>
      </c>
      <c r="N6100" s="678" t="s">
        <v>1237</v>
      </c>
    </row>
    <row r="6101" spans="1:14" x14ac:dyDescent="0.25">
      <c r="A6101" s="678">
        <f t="shared" ref="A6101:A6164" si="171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/>
      <c r="L6101" s="678" t="s">
        <v>266</v>
      </c>
      <c r="M6101" s="678">
        <v>8011.8</v>
      </c>
      <c r="N6101" s="678" t="s">
        <v>1237</v>
      </c>
    </row>
    <row r="6102" spans="1:14" x14ac:dyDescent="0.25">
      <c r="A6102" s="676">
        <f t="shared" si="171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/>
      <c r="L6102" s="676" t="s">
        <v>265</v>
      </c>
      <c r="M6102" s="676">
        <v>12054.559999999998</v>
      </c>
      <c r="N6102" s="676" t="s">
        <v>1236</v>
      </c>
    </row>
    <row r="6103" spans="1:14" x14ac:dyDescent="0.25">
      <c r="A6103" s="678">
        <f t="shared" si="171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683"/>
      <c r="J6103" s="684"/>
      <c r="K6103" s="678"/>
      <c r="L6103" s="678" t="s">
        <v>265</v>
      </c>
      <c r="M6103" s="678">
        <v>17624.18</v>
      </c>
      <c r="N6103" s="678" t="s">
        <v>1236</v>
      </c>
    </row>
    <row r="6104" spans="1:14" x14ac:dyDescent="0.25">
      <c r="A6104" s="676">
        <f t="shared" si="171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6"/>
      <c r="L6104" s="676" t="s">
        <v>28</v>
      </c>
      <c r="M6104" s="676">
        <v>8762.2799999999988</v>
      </c>
      <c r="N6104" s="676" t="s">
        <v>1237</v>
      </c>
    </row>
    <row r="6105" spans="1:14" ht="56.25" x14ac:dyDescent="0.25">
      <c r="A6105" s="676">
        <f t="shared" si="171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6"/>
      <c r="L6105" s="676" t="s">
        <v>28</v>
      </c>
      <c r="M6105" s="676">
        <v>1452.48</v>
      </c>
      <c r="N6105" s="676" t="s">
        <v>1237</v>
      </c>
    </row>
    <row r="6106" spans="1:14" x14ac:dyDescent="0.25">
      <c r="A6106" s="676">
        <f t="shared" si="171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/>
      <c r="L6106" s="676" t="s">
        <v>28</v>
      </c>
      <c r="M6106" s="676">
        <v>6914.2400000000007</v>
      </c>
      <c r="N6106" s="676" t="s">
        <v>1237</v>
      </c>
    </row>
    <row r="6107" spans="1:14" x14ac:dyDescent="0.25">
      <c r="A6107" s="678">
        <f t="shared" si="171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/>
      <c r="L6107" s="678" t="s">
        <v>28</v>
      </c>
      <c r="M6107" s="678">
        <v>17526.739999999998</v>
      </c>
      <c r="N6107" s="678" t="s">
        <v>1239</v>
      </c>
    </row>
    <row r="6108" spans="1:14" x14ac:dyDescent="0.25">
      <c r="A6108" s="676">
        <f t="shared" si="171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/>
      <c r="L6108" s="676" t="s">
        <v>28</v>
      </c>
      <c r="M6108" s="676">
        <v>13258.180000000002</v>
      </c>
      <c r="N6108" s="676" t="s">
        <v>1240</v>
      </c>
    </row>
    <row r="6109" spans="1:14" x14ac:dyDescent="0.25">
      <c r="A6109" s="676">
        <f t="shared" si="171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6"/>
      <c r="L6109" s="676" t="s">
        <v>28</v>
      </c>
      <c r="M6109" s="676">
        <v>4049.7</v>
      </c>
      <c r="N6109" s="676" t="s">
        <v>1240</v>
      </c>
    </row>
    <row r="6110" spans="1:14" x14ac:dyDescent="0.25">
      <c r="A6110" s="678">
        <f t="shared" si="171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8"/>
      <c r="L6110" s="678" t="s">
        <v>28</v>
      </c>
      <c r="M6110" s="678">
        <v>15645</v>
      </c>
      <c r="N6110" s="678" t="s">
        <v>1241</v>
      </c>
    </row>
    <row r="6111" spans="1:14" x14ac:dyDescent="0.25">
      <c r="A6111" s="678">
        <f t="shared" si="171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/>
      <c r="L6111" s="678" t="s">
        <v>28</v>
      </c>
      <c r="M6111" s="678">
        <v>1517.04</v>
      </c>
      <c r="N6111" s="678" t="s">
        <v>1241</v>
      </c>
    </row>
    <row r="6112" spans="1:14" x14ac:dyDescent="0.25">
      <c r="A6112" s="676">
        <f t="shared" si="171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6"/>
      <c r="L6112" s="676" t="s">
        <v>28</v>
      </c>
      <c r="M6112" s="676">
        <v>11846.880000000001</v>
      </c>
      <c r="N6112" s="676" t="s">
        <v>1242</v>
      </c>
    </row>
    <row r="6113" spans="1:14" x14ac:dyDescent="0.25">
      <c r="A6113" s="676">
        <f t="shared" si="171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/>
      <c r="L6113" s="676" t="s">
        <v>28</v>
      </c>
      <c r="M6113" s="676">
        <v>5402.39</v>
      </c>
      <c r="N6113" s="676" t="s">
        <v>1242</v>
      </c>
    </row>
    <row r="6114" spans="1:14" x14ac:dyDescent="0.25">
      <c r="A6114" s="678">
        <f t="shared" si="171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8"/>
      <c r="L6114" s="678" t="s">
        <v>28</v>
      </c>
      <c r="M6114" s="678">
        <v>17382.109999999997</v>
      </c>
      <c r="N6114" s="678" t="s">
        <v>1306</v>
      </c>
    </row>
    <row r="6115" spans="1:14" x14ac:dyDescent="0.25">
      <c r="A6115" s="676">
        <f t="shared" si="171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6"/>
      <c r="L6115" s="676" t="s">
        <v>265</v>
      </c>
      <c r="M6115" s="676">
        <v>16954.440000000002</v>
      </c>
      <c r="N6115" s="676" t="s">
        <v>1236</v>
      </c>
    </row>
    <row r="6116" spans="1:14" x14ac:dyDescent="0.25">
      <c r="A6116" s="676">
        <f t="shared" si="171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/>
      <c r="L6116" s="676" t="s">
        <v>265</v>
      </c>
      <c r="M6116" s="676">
        <v>462.78</v>
      </c>
      <c r="N6116" s="676" t="s">
        <v>1236</v>
      </c>
    </row>
    <row r="6117" spans="1:14" x14ac:dyDescent="0.25">
      <c r="A6117" s="678">
        <f t="shared" si="171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/>
      <c r="L6117" s="678" t="s">
        <v>265</v>
      </c>
      <c r="M6117" s="678">
        <v>12442.480000000003</v>
      </c>
      <c r="N6117" s="678" t="s">
        <v>1236</v>
      </c>
    </row>
    <row r="6118" spans="1:14" x14ac:dyDescent="0.25">
      <c r="A6118" s="676">
        <f t="shared" si="171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/>
      <c r="L6118" s="676" t="s">
        <v>28</v>
      </c>
      <c r="M6118" s="676">
        <v>8370</v>
      </c>
      <c r="N6118" s="676" t="s">
        <v>1237</v>
      </c>
    </row>
    <row r="6119" spans="1:14" x14ac:dyDescent="0.25">
      <c r="A6119" s="676">
        <f t="shared" si="171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6"/>
      <c r="L6119" s="676" t="s">
        <v>28</v>
      </c>
      <c r="M6119" s="676">
        <v>4359</v>
      </c>
      <c r="N6119" s="676" t="s">
        <v>1237</v>
      </c>
    </row>
    <row r="6120" spans="1:14" ht="75" x14ac:dyDescent="0.25">
      <c r="A6120" s="678">
        <f t="shared" si="171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8"/>
      <c r="L6120" s="678" t="s">
        <v>28</v>
      </c>
      <c r="M6120" s="678">
        <v>12094.3</v>
      </c>
      <c r="N6120" s="678" t="s">
        <v>1237</v>
      </c>
    </row>
    <row r="6121" spans="1:14" x14ac:dyDescent="0.25">
      <c r="A6121" s="676">
        <f t="shared" si="171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6"/>
      <c r="L6121" s="676" t="s">
        <v>265</v>
      </c>
      <c r="M6121" s="676">
        <v>17575.780000000002</v>
      </c>
      <c r="N6121" s="676" t="s">
        <v>1236</v>
      </c>
    </row>
    <row r="6122" spans="1:14" x14ac:dyDescent="0.25">
      <c r="A6122" s="678">
        <f t="shared" si="171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8"/>
      <c r="L6122" s="678" t="s">
        <v>28</v>
      </c>
      <c r="M6122" s="678">
        <v>6918.2700000000013</v>
      </c>
      <c r="N6122" s="678" t="s">
        <v>1237</v>
      </c>
    </row>
    <row r="6123" spans="1:14" x14ac:dyDescent="0.25">
      <c r="A6123" s="678">
        <f t="shared" si="171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/>
      <c r="L6123" s="678" t="s">
        <v>28</v>
      </c>
      <c r="M6123" s="678">
        <v>5166.7</v>
      </c>
      <c r="N6123" s="678" t="s">
        <v>1237</v>
      </c>
    </row>
    <row r="6124" spans="1:14" x14ac:dyDescent="0.25">
      <c r="A6124" s="678">
        <f t="shared" si="171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8"/>
      <c r="L6124" s="678" t="s">
        <v>28</v>
      </c>
      <c r="M6124" s="678">
        <v>5498.86</v>
      </c>
      <c r="N6124" s="678" t="s">
        <v>1237</v>
      </c>
    </row>
    <row r="6125" spans="1:14" x14ac:dyDescent="0.25">
      <c r="A6125" s="676">
        <f t="shared" si="171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/>
      <c r="L6125" s="676" t="s">
        <v>28</v>
      </c>
      <c r="M6125" s="676">
        <v>6835.0199999999995</v>
      </c>
      <c r="N6125" s="676" t="s">
        <v>1239</v>
      </c>
    </row>
    <row r="6126" spans="1:14" x14ac:dyDescent="0.25">
      <c r="A6126" s="676">
        <f t="shared" si="171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/>
      <c r="L6126" s="676" t="s">
        <v>266</v>
      </c>
      <c r="M6126" s="676">
        <v>4582.12</v>
      </c>
      <c r="N6126" s="676" t="s">
        <v>1239</v>
      </c>
    </row>
    <row r="6127" spans="1:14" x14ac:dyDescent="0.25">
      <c r="A6127" s="676">
        <f t="shared" si="171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6"/>
      <c r="L6127" s="676" t="s">
        <v>266</v>
      </c>
      <c r="M6127" s="676">
        <v>5765.25</v>
      </c>
      <c r="N6127" s="676" t="s">
        <v>1239</v>
      </c>
    </row>
    <row r="6128" spans="1:14" x14ac:dyDescent="0.25">
      <c r="A6128" s="678">
        <f t="shared" si="171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/>
      <c r="L6128" s="678" t="s">
        <v>28</v>
      </c>
      <c r="M6128" s="678">
        <v>12503.060000000001</v>
      </c>
      <c r="N6128" s="678" t="s">
        <v>1240</v>
      </c>
    </row>
    <row r="6129" spans="1:14" x14ac:dyDescent="0.25">
      <c r="A6129" s="678">
        <f t="shared" si="171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/>
      <c r="L6129" s="678" t="s">
        <v>28</v>
      </c>
      <c r="M6129" s="678">
        <v>5068.4400000000005</v>
      </c>
      <c r="N6129" s="678" t="s">
        <v>1240</v>
      </c>
    </row>
    <row r="6130" spans="1:14" x14ac:dyDescent="0.25">
      <c r="A6130" s="676">
        <f t="shared" si="171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/>
      <c r="L6130" s="676" t="s">
        <v>28</v>
      </c>
      <c r="M6130" s="676">
        <v>4656.6000000000004</v>
      </c>
      <c r="N6130" s="676" t="s">
        <v>1237</v>
      </c>
    </row>
    <row r="6131" spans="1:14" x14ac:dyDescent="0.25">
      <c r="A6131" s="676">
        <f t="shared" si="171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/>
      <c r="L6131" s="676" t="s">
        <v>28</v>
      </c>
      <c r="M6131" s="676">
        <v>5622.96</v>
      </c>
      <c r="N6131" s="676" t="s">
        <v>1237</v>
      </c>
    </row>
    <row r="6132" spans="1:14" x14ac:dyDescent="0.25">
      <c r="A6132" s="678">
        <f t="shared" si="171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/>
      <c r="L6132" s="678" t="s">
        <v>28</v>
      </c>
      <c r="M6132" s="678">
        <v>10238.84</v>
      </c>
      <c r="N6132" s="678" t="s">
        <v>1239</v>
      </c>
    </row>
    <row r="6133" spans="1:14" x14ac:dyDescent="0.25">
      <c r="A6133" s="678">
        <f t="shared" si="171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/>
      <c r="L6133" s="678" t="s">
        <v>28</v>
      </c>
      <c r="M6133" s="678">
        <v>2156.7600000000002</v>
      </c>
      <c r="N6133" s="678" t="s">
        <v>1239</v>
      </c>
    </row>
    <row r="6134" spans="1:14" x14ac:dyDescent="0.25">
      <c r="A6134" s="676">
        <f t="shared" si="171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6"/>
      <c r="L6134" s="676" t="s">
        <v>28</v>
      </c>
      <c r="M6134" s="676">
        <v>11370.480000000001</v>
      </c>
      <c r="N6134" s="676" t="s">
        <v>1240</v>
      </c>
    </row>
    <row r="6135" spans="1:14" x14ac:dyDescent="0.25">
      <c r="A6135" s="678">
        <f t="shared" si="171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8"/>
      <c r="L6135" s="678" t="s">
        <v>28</v>
      </c>
      <c r="M6135" s="678">
        <v>10370.879999999999</v>
      </c>
      <c r="N6135" s="678" t="s">
        <v>1241</v>
      </c>
    </row>
    <row r="6136" spans="1:14" x14ac:dyDescent="0.25">
      <c r="A6136" s="676">
        <f t="shared" si="171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6"/>
      <c r="L6136" s="676" t="s">
        <v>265</v>
      </c>
      <c r="M6136" s="676">
        <v>17615.88</v>
      </c>
      <c r="N6136" s="676" t="s">
        <v>1236</v>
      </c>
    </row>
    <row r="6137" spans="1:14" x14ac:dyDescent="0.25">
      <c r="A6137" s="678">
        <f t="shared" si="171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8"/>
      <c r="L6137" s="678" t="s">
        <v>266</v>
      </c>
      <c r="M6137" s="678">
        <v>18144.3</v>
      </c>
      <c r="N6137" s="678" t="s">
        <v>1237</v>
      </c>
    </row>
    <row r="6138" spans="1:14" x14ac:dyDescent="0.25">
      <c r="A6138" s="676">
        <f t="shared" si="171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6"/>
      <c r="L6138" s="676" t="s">
        <v>266</v>
      </c>
      <c r="M6138" s="676">
        <v>18125.48</v>
      </c>
      <c r="N6138" s="676" t="s">
        <v>1239</v>
      </c>
    </row>
    <row r="6139" spans="1:14" x14ac:dyDescent="0.25">
      <c r="A6139" s="678">
        <f t="shared" si="171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8"/>
      <c r="L6139" s="678" t="s">
        <v>266</v>
      </c>
      <c r="M6139" s="678">
        <v>18133.499999999996</v>
      </c>
      <c r="N6139" s="678" t="s">
        <v>1241</v>
      </c>
    </row>
    <row r="6140" spans="1:14" x14ac:dyDescent="0.25">
      <c r="A6140" s="676">
        <f t="shared" si="171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/>
      <c r="L6140" s="676" t="s">
        <v>265</v>
      </c>
      <c r="M6140" s="676">
        <v>2905.2</v>
      </c>
      <c r="N6140" s="676" t="s">
        <v>1236</v>
      </c>
    </row>
    <row r="6141" spans="1:14" x14ac:dyDescent="0.25">
      <c r="A6141" s="676">
        <f t="shared" si="171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/>
      <c r="L6141" s="676" t="s">
        <v>265</v>
      </c>
      <c r="M6141" s="676">
        <v>14619.38</v>
      </c>
      <c r="N6141" s="676" t="s">
        <v>1236</v>
      </c>
    </row>
    <row r="6142" spans="1:14" x14ac:dyDescent="0.25">
      <c r="A6142" s="678">
        <f t="shared" si="171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/>
      <c r="L6142" s="678" t="s">
        <v>266</v>
      </c>
      <c r="M6142" s="678">
        <v>4775.2400000000016</v>
      </c>
      <c r="N6142" s="678" t="s">
        <v>1306</v>
      </c>
    </row>
    <row r="6143" spans="1:14" x14ac:dyDescent="0.25">
      <c r="A6143" s="678">
        <f t="shared" si="171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8"/>
      <c r="L6143" s="678" t="s">
        <v>266</v>
      </c>
      <c r="M6143" s="678">
        <v>4146.8099999999995</v>
      </c>
      <c r="N6143" s="678" t="s">
        <v>1306</v>
      </c>
    </row>
    <row r="6144" spans="1:14" x14ac:dyDescent="0.25">
      <c r="A6144" s="678">
        <f t="shared" si="171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8"/>
      <c r="L6144" s="678" t="s">
        <v>28</v>
      </c>
      <c r="M6144" s="678">
        <v>8124</v>
      </c>
      <c r="N6144" s="678" t="s">
        <v>1306</v>
      </c>
    </row>
    <row r="6145" spans="1:14" x14ac:dyDescent="0.25">
      <c r="A6145" s="676">
        <f t="shared" si="171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6"/>
      <c r="L6145" s="676" t="s">
        <v>265</v>
      </c>
      <c r="M6145" s="676">
        <v>11973.44</v>
      </c>
      <c r="N6145" s="676" t="s">
        <v>1236</v>
      </c>
    </row>
    <row r="6146" spans="1:14" x14ac:dyDescent="0.25">
      <c r="A6146" s="678">
        <f t="shared" si="171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8"/>
      <c r="L6146" s="678" t="s">
        <v>265</v>
      </c>
      <c r="M6146" s="678">
        <v>12368.8</v>
      </c>
      <c r="N6146" s="678" t="s">
        <v>1237</v>
      </c>
    </row>
    <row r="6147" spans="1:14" x14ac:dyDescent="0.25">
      <c r="A6147" s="676">
        <f t="shared" si="171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6"/>
      <c r="L6147" s="676" t="s">
        <v>265</v>
      </c>
      <c r="M6147" s="676">
        <v>17759.28</v>
      </c>
      <c r="N6147" s="676" t="s">
        <v>1236</v>
      </c>
    </row>
    <row r="6148" spans="1:14" x14ac:dyDescent="0.25">
      <c r="A6148" s="678">
        <f t="shared" si="171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/>
      <c r="L6148" s="678" t="s">
        <v>28</v>
      </c>
      <c r="M6148" s="678">
        <v>10477.34</v>
      </c>
      <c r="N6148" s="678" t="s">
        <v>1237</v>
      </c>
    </row>
    <row r="6149" spans="1:14" ht="56.25" x14ac:dyDescent="0.25">
      <c r="A6149" s="678">
        <f t="shared" si="171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/>
      <c r="L6149" s="678" t="s">
        <v>28</v>
      </c>
      <c r="M6149" s="678">
        <v>929.28</v>
      </c>
      <c r="N6149" s="678" t="s">
        <v>1237</v>
      </c>
    </row>
    <row r="6150" spans="1:14" x14ac:dyDescent="0.25">
      <c r="A6150" s="678">
        <f t="shared" si="171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8"/>
      <c r="L6150" s="678" t="s">
        <v>28</v>
      </c>
      <c r="M6150" s="678">
        <v>5836.6</v>
      </c>
      <c r="N6150" s="678" t="s">
        <v>1237</v>
      </c>
    </row>
    <row r="6151" spans="1:14" x14ac:dyDescent="0.25">
      <c r="A6151" s="676">
        <f t="shared" si="171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/>
      <c r="L6151" s="676" t="s">
        <v>28</v>
      </c>
      <c r="M6151" s="676">
        <v>13322.92</v>
      </c>
      <c r="N6151" s="676" t="s">
        <v>1239</v>
      </c>
    </row>
    <row r="6152" spans="1:14" x14ac:dyDescent="0.25">
      <c r="A6152" s="676">
        <f t="shared" si="171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6"/>
      <c r="L6152" s="676" t="s">
        <v>28</v>
      </c>
      <c r="M6152" s="676">
        <v>4137.3599999999997</v>
      </c>
      <c r="N6152" s="676" t="s">
        <v>1239</v>
      </c>
    </row>
    <row r="6153" spans="1:14" x14ac:dyDescent="0.25">
      <c r="A6153" s="678">
        <f t="shared" si="171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/>
      <c r="L6153" s="678" t="s">
        <v>28</v>
      </c>
      <c r="M6153" s="678">
        <v>9766.8399999999983</v>
      </c>
      <c r="N6153" s="678" t="s">
        <v>1240</v>
      </c>
    </row>
    <row r="6154" spans="1:14" x14ac:dyDescent="0.25">
      <c r="A6154" s="678">
        <f t="shared" si="171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/>
      <c r="L6154" s="678" t="s">
        <v>28</v>
      </c>
      <c r="M6154" s="678">
        <v>5755.62</v>
      </c>
      <c r="N6154" s="678" t="s">
        <v>1240</v>
      </c>
    </row>
    <row r="6155" spans="1:14" x14ac:dyDescent="0.25">
      <c r="A6155" s="678">
        <f t="shared" si="171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8"/>
      <c r="L6155" s="678" t="s">
        <v>28</v>
      </c>
      <c r="M6155" s="678">
        <v>1817.4</v>
      </c>
      <c r="N6155" s="678" t="s">
        <v>1240</v>
      </c>
    </row>
    <row r="6156" spans="1:14" x14ac:dyDescent="0.25">
      <c r="A6156" s="676">
        <f t="shared" si="171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/>
      <c r="L6156" s="676" t="s">
        <v>28</v>
      </c>
      <c r="M6156" s="676">
        <v>17214.740000000002</v>
      </c>
      <c r="N6156" s="676" t="s">
        <v>1241</v>
      </c>
    </row>
    <row r="6157" spans="1:14" x14ac:dyDescent="0.25">
      <c r="A6157" s="678">
        <f t="shared" si="171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/>
      <c r="L6157" s="678" t="s">
        <v>265</v>
      </c>
      <c r="M6157" s="678">
        <v>16791.800000000003</v>
      </c>
      <c r="N6157" s="678" t="s">
        <v>1236</v>
      </c>
    </row>
    <row r="6158" spans="1:14" x14ac:dyDescent="0.25">
      <c r="A6158" s="678">
        <f t="shared" si="171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/>
      <c r="L6158" s="678" t="s">
        <v>265</v>
      </c>
      <c r="M6158" s="678">
        <v>828.42000000000007</v>
      </c>
      <c r="N6158" s="678" t="s">
        <v>1236</v>
      </c>
    </row>
    <row r="6159" spans="1:14" x14ac:dyDescent="0.25">
      <c r="A6159" s="676">
        <f t="shared" si="171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6"/>
      <c r="L6159" s="676" t="s">
        <v>265</v>
      </c>
      <c r="M6159" s="676">
        <v>13057.480000000001</v>
      </c>
      <c r="N6159" s="676" t="s">
        <v>1236</v>
      </c>
    </row>
    <row r="6160" spans="1:14" x14ac:dyDescent="0.25">
      <c r="A6160" s="678">
        <f t="shared" si="171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8"/>
      <c r="L6160" s="678" t="s">
        <v>266</v>
      </c>
      <c r="M6160" s="678">
        <v>15094.260000000002</v>
      </c>
      <c r="N6160" s="678" t="s">
        <v>1237</v>
      </c>
    </row>
    <row r="6161" spans="1:14" x14ac:dyDescent="0.25">
      <c r="A6161" s="678">
        <f t="shared" si="171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/>
      <c r="L6161" s="678" t="s">
        <v>28</v>
      </c>
      <c r="M6161" s="678">
        <v>2009.4</v>
      </c>
      <c r="N6161" s="678" t="s">
        <v>1237</v>
      </c>
    </row>
    <row r="6162" spans="1:14" ht="75" x14ac:dyDescent="0.25">
      <c r="A6162" s="676">
        <f t="shared" si="171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6"/>
      <c r="L6162" s="676" t="s">
        <v>28</v>
      </c>
      <c r="M6162" s="676">
        <v>13184.88</v>
      </c>
      <c r="N6162" s="676" t="s">
        <v>1240</v>
      </c>
    </row>
    <row r="6163" spans="1:14" x14ac:dyDescent="0.25">
      <c r="A6163" s="678">
        <f t="shared" si="171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8"/>
      <c r="L6163" s="678" t="s">
        <v>265</v>
      </c>
      <c r="M6163" s="678">
        <v>14184.060000000001</v>
      </c>
      <c r="N6163" s="678" t="s">
        <v>1236</v>
      </c>
    </row>
    <row r="6164" spans="1:14" x14ac:dyDescent="0.25">
      <c r="A6164" s="678">
        <f t="shared" si="171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8"/>
      <c r="L6164" s="678" t="s">
        <v>265</v>
      </c>
      <c r="M6164" s="678">
        <v>3394.7400000000007</v>
      </c>
      <c r="N6164" s="678" t="s">
        <v>1236</v>
      </c>
    </row>
    <row r="6165" spans="1:14" x14ac:dyDescent="0.25">
      <c r="A6165" s="676">
        <f t="shared" ref="A6165:A6228" si="17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76"/>
      <c r="L6165" s="676" t="s">
        <v>28</v>
      </c>
      <c r="M6165" s="676">
        <v>8343.7800000000007</v>
      </c>
      <c r="N6165" s="676" t="s">
        <v>1237</v>
      </c>
    </row>
    <row r="6166" spans="1:14" x14ac:dyDescent="0.25">
      <c r="A6166" s="676">
        <f t="shared" si="17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/>
      <c r="L6166" s="676" t="s">
        <v>266</v>
      </c>
      <c r="M6166" s="676">
        <v>3179.32</v>
      </c>
      <c r="N6166" s="676" t="s">
        <v>1237</v>
      </c>
    </row>
    <row r="6167" spans="1:14" x14ac:dyDescent="0.25">
      <c r="A6167" s="676">
        <f t="shared" si="17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/>
      <c r="L6167" s="676" t="s">
        <v>266</v>
      </c>
      <c r="M6167" s="676">
        <v>5653.06</v>
      </c>
      <c r="N6167" s="676" t="s">
        <v>1237</v>
      </c>
    </row>
    <row r="6168" spans="1:14" x14ac:dyDescent="0.25">
      <c r="A6168" s="678">
        <f t="shared" si="17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/>
      <c r="L6168" s="678" t="s">
        <v>28</v>
      </c>
      <c r="M6168" s="678">
        <v>11659.66</v>
      </c>
      <c r="N6168" s="678" t="s">
        <v>1239</v>
      </c>
    </row>
    <row r="6169" spans="1:14" x14ac:dyDescent="0.25">
      <c r="A6169" s="678">
        <f t="shared" si="17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/>
      <c r="L6169" s="678" t="s">
        <v>28</v>
      </c>
      <c r="M6169" s="678">
        <v>5625.9</v>
      </c>
      <c r="N6169" s="678" t="s">
        <v>1239</v>
      </c>
    </row>
    <row r="6170" spans="1:14" x14ac:dyDescent="0.25">
      <c r="A6170" s="676">
        <f t="shared" si="17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/>
      <c r="L6170" s="676" t="s">
        <v>28</v>
      </c>
      <c r="M6170" s="676">
        <v>10852.670000000002</v>
      </c>
      <c r="N6170" s="676" t="s">
        <v>1240</v>
      </c>
    </row>
    <row r="6171" spans="1:14" x14ac:dyDescent="0.25">
      <c r="A6171" s="676">
        <f t="shared" si="17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/>
      <c r="L6171" s="676" t="s">
        <v>28</v>
      </c>
      <c r="M6171" s="676">
        <v>2154.6</v>
      </c>
      <c r="N6171" s="676" t="s">
        <v>1240</v>
      </c>
    </row>
    <row r="6172" spans="1:14" x14ac:dyDescent="0.25">
      <c r="A6172" s="676">
        <f t="shared" si="17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/>
      <c r="L6172" s="676" t="s">
        <v>28</v>
      </c>
      <c r="M6172" s="676">
        <v>4533</v>
      </c>
      <c r="N6172" s="676" t="s">
        <v>1240</v>
      </c>
    </row>
    <row r="6173" spans="1:14" x14ac:dyDescent="0.25">
      <c r="A6173" s="678">
        <f t="shared" si="17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/>
      <c r="L6173" s="678" t="s">
        <v>28</v>
      </c>
      <c r="M6173" s="678">
        <v>17238.190000000002</v>
      </c>
      <c r="N6173" s="678" t="s">
        <v>1241</v>
      </c>
    </row>
    <row r="6174" spans="1:14" x14ac:dyDescent="0.25">
      <c r="A6174" s="676">
        <f t="shared" si="17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/>
      <c r="L6174" s="676" t="s">
        <v>28</v>
      </c>
      <c r="M6174" s="676">
        <v>7639.76</v>
      </c>
      <c r="N6174" s="676" t="s">
        <v>1237</v>
      </c>
    </row>
    <row r="6175" spans="1:14" x14ac:dyDescent="0.25">
      <c r="A6175" s="676">
        <f t="shared" si="17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/>
      <c r="L6175" s="676" t="s">
        <v>28</v>
      </c>
      <c r="M6175" s="676">
        <v>2939.52</v>
      </c>
      <c r="N6175" s="676" t="s">
        <v>1237</v>
      </c>
    </row>
    <row r="6176" spans="1:14" x14ac:dyDescent="0.25">
      <c r="A6176" s="678">
        <f t="shared" si="17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/>
      <c r="L6176" s="678" t="s">
        <v>28</v>
      </c>
      <c r="M6176" s="678">
        <v>10834.52</v>
      </c>
      <c r="N6176" s="678" t="s">
        <v>1239</v>
      </c>
    </row>
    <row r="6177" spans="1:14" x14ac:dyDescent="0.25">
      <c r="A6177" s="676">
        <f t="shared" si="17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/>
      <c r="L6177" s="676" t="s">
        <v>28</v>
      </c>
      <c r="M6177" s="676">
        <v>8286.7999999999993</v>
      </c>
      <c r="N6177" s="676" t="s">
        <v>1240</v>
      </c>
    </row>
    <row r="6178" spans="1:14" x14ac:dyDescent="0.25">
      <c r="A6178" s="676">
        <f t="shared" si="17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/>
      <c r="L6178" s="676" t="s">
        <v>28</v>
      </c>
      <c r="M6178" s="676">
        <v>2984.6400000000003</v>
      </c>
      <c r="N6178" s="676" t="s">
        <v>1240</v>
      </c>
    </row>
    <row r="6179" spans="1:14" x14ac:dyDescent="0.25">
      <c r="A6179" s="678">
        <f t="shared" si="17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/>
      <c r="L6179" s="678" t="s">
        <v>28</v>
      </c>
      <c r="M6179" s="678">
        <v>3554.2799999999993</v>
      </c>
      <c r="N6179" s="678" t="s">
        <v>1241</v>
      </c>
    </row>
    <row r="6180" spans="1:14" x14ac:dyDescent="0.25">
      <c r="A6180" s="678">
        <f t="shared" si="17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/>
      <c r="L6180" s="678" t="s">
        <v>28</v>
      </c>
      <c r="M6180" s="678">
        <v>9655.4800000000014</v>
      </c>
      <c r="N6180" s="678" t="s">
        <v>1241</v>
      </c>
    </row>
    <row r="6181" spans="1:14" x14ac:dyDescent="0.25">
      <c r="A6181" s="676">
        <f t="shared" si="17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/>
      <c r="L6181" s="676" t="s">
        <v>265</v>
      </c>
      <c r="M6181" s="676">
        <v>17699.100000000002</v>
      </c>
      <c r="N6181" s="676" t="s">
        <v>1236</v>
      </c>
    </row>
    <row r="6182" spans="1:14" x14ac:dyDescent="0.25">
      <c r="A6182" s="678">
        <f t="shared" si="17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/>
      <c r="L6182" s="678" t="s">
        <v>266</v>
      </c>
      <c r="M6182" s="678">
        <v>18164.36</v>
      </c>
      <c r="N6182" s="678" t="s">
        <v>1237</v>
      </c>
    </row>
    <row r="6183" spans="1:14" x14ac:dyDescent="0.25">
      <c r="A6183" s="676">
        <f t="shared" si="17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/>
      <c r="L6183" s="676" t="s">
        <v>266</v>
      </c>
      <c r="M6183" s="676">
        <v>18172.060000000001</v>
      </c>
      <c r="N6183" s="676" t="s">
        <v>1239</v>
      </c>
    </row>
    <row r="6184" spans="1:14" x14ac:dyDescent="0.25">
      <c r="A6184" s="678">
        <f t="shared" si="17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/>
      <c r="L6184" s="678" t="s">
        <v>266</v>
      </c>
      <c r="M6184" s="678">
        <v>18015</v>
      </c>
      <c r="N6184" s="678" t="s">
        <v>1240</v>
      </c>
    </row>
    <row r="6185" spans="1:14" x14ac:dyDescent="0.25">
      <c r="A6185" s="676">
        <f t="shared" si="17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/>
      <c r="L6185" s="676" t="s">
        <v>266</v>
      </c>
      <c r="M6185" s="676">
        <v>18072.099999999999</v>
      </c>
      <c r="N6185" s="676" t="s">
        <v>1241</v>
      </c>
    </row>
    <row r="6186" spans="1:14" x14ac:dyDescent="0.25">
      <c r="A6186" s="678">
        <f t="shared" si="17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/>
      <c r="L6186" s="678" t="s">
        <v>265</v>
      </c>
      <c r="M6186" s="678">
        <v>2873.4</v>
      </c>
      <c r="N6186" s="678" t="s">
        <v>1236</v>
      </c>
    </row>
    <row r="6187" spans="1:14" x14ac:dyDescent="0.25">
      <c r="A6187" s="678">
        <f t="shared" si="17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/>
      <c r="L6187" s="678" t="s">
        <v>265</v>
      </c>
      <c r="M6187" s="678">
        <v>14633.300000000001</v>
      </c>
      <c r="N6187" s="678" t="s">
        <v>1236</v>
      </c>
    </row>
    <row r="6188" spans="1:14" x14ac:dyDescent="0.25">
      <c r="A6188" s="676">
        <f t="shared" si="17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/>
      <c r="L6188" s="676" t="s">
        <v>265</v>
      </c>
      <c r="M6188" s="676">
        <v>11912.8</v>
      </c>
      <c r="N6188" s="676" t="s">
        <v>1236</v>
      </c>
    </row>
    <row r="6189" spans="1:14" x14ac:dyDescent="0.25">
      <c r="A6189" s="678">
        <f t="shared" si="17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/>
      <c r="L6189" s="678" t="s">
        <v>265</v>
      </c>
      <c r="M6189" s="678">
        <v>17711.170000000002</v>
      </c>
      <c r="N6189" s="678" t="s">
        <v>1236</v>
      </c>
    </row>
    <row r="6190" spans="1:14" x14ac:dyDescent="0.25">
      <c r="A6190" s="676">
        <f t="shared" si="17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/>
      <c r="L6190" s="676" t="s">
        <v>28</v>
      </c>
      <c r="M6190" s="676">
        <v>11967.33</v>
      </c>
      <c r="N6190" s="676" t="s">
        <v>1237</v>
      </c>
    </row>
    <row r="6191" spans="1:14" x14ac:dyDescent="0.25">
      <c r="A6191" s="676">
        <f t="shared" si="17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/>
      <c r="L6191" s="676" t="s">
        <v>28</v>
      </c>
      <c r="M6191" s="676">
        <v>5578.29</v>
      </c>
      <c r="N6191" s="676" t="s">
        <v>1237</v>
      </c>
    </row>
    <row r="6192" spans="1:14" x14ac:dyDescent="0.25">
      <c r="A6192" s="678">
        <f t="shared" si="17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/>
      <c r="L6192" s="678" t="s">
        <v>28</v>
      </c>
      <c r="M6192" s="678">
        <v>9866.6400000000012</v>
      </c>
      <c r="N6192" s="678" t="s">
        <v>1239</v>
      </c>
    </row>
    <row r="6193" spans="1:14" ht="56.25" x14ac:dyDescent="0.25">
      <c r="A6193" s="678">
        <f t="shared" si="17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/>
      <c r="L6193" s="678" t="s">
        <v>28</v>
      </c>
      <c r="M6193" s="678">
        <v>822.72</v>
      </c>
      <c r="N6193" s="678" t="s">
        <v>1239</v>
      </c>
    </row>
    <row r="6194" spans="1:14" x14ac:dyDescent="0.25">
      <c r="A6194" s="678">
        <f t="shared" si="17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/>
      <c r="L6194" s="678" t="s">
        <v>28</v>
      </c>
      <c r="M6194" s="678">
        <v>6602.6</v>
      </c>
      <c r="N6194" s="678" t="s">
        <v>1239</v>
      </c>
    </row>
    <row r="6195" spans="1:14" x14ac:dyDescent="0.25">
      <c r="A6195" s="676">
        <f t="shared" si="17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/>
      <c r="L6195" s="676" t="s">
        <v>28</v>
      </c>
      <c r="M6195" s="676">
        <v>15707.64</v>
      </c>
      <c r="N6195" s="676" t="s">
        <v>1240</v>
      </c>
    </row>
    <row r="6196" spans="1:14" x14ac:dyDescent="0.25">
      <c r="A6196" s="676">
        <f t="shared" si="17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/>
      <c r="L6196" s="676" t="s">
        <v>28</v>
      </c>
      <c r="M6196" s="676">
        <v>1552.4399999999998</v>
      </c>
      <c r="N6196" s="676" t="s">
        <v>1240</v>
      </c>
    </row>
    <row r="6197" spans="1:14" x14ac:dyDescent="0.25">
      <c r="A6197" s="678">
        <f t="shared" si="17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/>
      <c r="L6197" s="678" t="s">
        <v>28</v>
      </c>
      <c r="M6197" s="678">
        <v>17383.989999999998</v>
      </c>
      <c r="N6197" s="678" t="s">
        <v>1241</v>
      </c>
    </row>
    <row r="6198" spans="1:14" x14ac:dyDescent="0.25">
      <c r="A6198" s="676">
        <f t="shared" si="17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/>
      <c r="L6198" s="676" t="s">
        <v>265</v>
      </c>
      <c r="M6198" s="676">
        <v>16184.779999999999</v>
      </c>
      <c r="N6198" s="676" t="s">
        <v>1236</v>
      </c>
    </row>
    <row r="6199" spans="1:14" x14ac:dyDescent="0.25">
      <c r="A6199" s="676">
        <f t="shared" si="17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/>
      <c r="L6199" s="676" t="s">
        <v>265</v>
      </c>
      <c r="M6199" s="676">
        <v>1508.3999999999999</v>
      </c>
      <c r="N6199" s="676" t="s">
        <v>1236</v>
      </c>
    </row>
    <row r="6200" spans="1:14" x14ac:dyDescent="0.25">
      <c r="A6200" s="678">
        <f t="shared" si="17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/>
      <c r="L6200" s="678" t="s">
        <v>266</v>
      </c>
      <c r="M6200" s="678">
        <v>14340.169999999998</v>
      </c>
      <c r="N6200" s="678" t="s">
        <v>1237</v>
      </c>
    </row>
    <row r="6201" spans="1:14" x14ac:dyDescent="0.25">
      <c r="A6201" s="678">
        <f t="shared" si="17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/>
      <c r="L6201" s="678" t="s">
        <v>266</v>
      </c>
      <c r="M6201" s="678">
        <v>3370.7200000000003</v>
      </c>
      <c r="N6201" s="678" t="s">
        <v>1237</v>
      </c>
    </row>
    <row r="6202" spans="1:14" ht="75" x14ac:dyDescent="0.25">
      <c r="A6202" s="676">
        <f t="shared" si="17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/>
      <c r="L6202" s="676" t="s">
        <v>28</v>
      </c>
      <c r="M6202" s="676">
        <v>13079.58</v>
      </c>
      <c r="N6202" s="676" t="s">
        <v>1240</v>
      </c>
    </row>
    <row r="6203" spans="1:14" x14ac:dyDescent="0.25">
      <c r="A6203" s="678">
        <f t="shared" si="17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/>
      <c r="L6203" s="678" t="s">
        <v>265</v>
      </c>
      <c r="M6203" s="678">
        <v>11508.680000000002</v>
      </c>
      <c r="N6203" s="678" t="s">
        <v>1236</v>
      </c>
    </row>
    <row r="6204" spans="1:14" x14ac:dyDescent="0.25">
      <c r="A6204" s="676">
        <f t="shared" si="17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/>
      <c r="L6204" s="676" t="s">
        <v>265</v>
      </c>
      <c r="M6204" s="676">
        <v>17713.740000000002</v>
      </c>
      <c r="N6204" s="676" t="s">
        <v>1236</v>
      </c>
    </row>
    <row r="6205" spans="1:14" x14ac:dyDescent="0.25">
      <c r="A6205" s="678">
        <f t="shared" si="17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/>
      <c r="L6205" s="678" t="s">
        <v>28</v>
      </c>
      <c r="M6205" s="678">
        <v>8635.23</v>
      </c>
      <c r="N6205" s="678" t="s">
        <v>1237</v>
      </c>
    </row>
    <row r="6206" spans="1:14" x14ac:dyDescent="0.25">
      <c r="A6206" s="678">
        <f t="shared" si="17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/>
      <c r="L6206" s="678" t="s">
        <v>28</v>
      </c>
      <c r="M6206" s="678">
        <v>9166.2000000000007</v>
      </c>
      <c r="N6206" s="678" t="s">
        <v>1237</v>
      </c>
    </row>
    <row r="6207" spans="1:14" x14ac:dyDescent="0.25">
      <c r="A6207" s="676">
        <f t="shared" si="17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/>
      <c r="L6207" s="676" t="s">
        <v>28</v>
      </c>
      <c r="M6207" s="676">
        <v>5814.03</v>
      </c>
      <c r="N6207" s="676" t="s">
        <v>1239</v>
      </c>
    </row>
    <row r="6208" spans="1:14" x14ac:dyDescent="0.25">
      <c r="A6208" s="676">
        <f t="shared" si="17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/>
      <c r="L6208" s="676" t="s">
        <v>28</v>
      </c>
      <c r="M6208" s="676">
        <v>11964.720000000001</v>
      </c>
      <c r="N6208" s="676" t="s">
        <v>1239</v>
      </c>
    </row>
    <row r="6209" spans="1:14" x14ac:dyDescent="0.25">
      <c r="A6209" s="678">
        <f t="shared" si="17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/>
      <c r="L6209" s="678" t="s">
        <v>28</v>
      </c>
      <c r="M6209" s="678">
        <v>3351.72</v>
      </c>
      <c r="N6209" s="678" t="s">
        <v>1237</v>
      </c>
    </row>
    <row r="6210" spans="1:14" x14ac:dyDescent="0.25">
      <c r="A6210" s="678">
        <f t="shared" si="17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/>
      <c r="L6210" s="678" t="s">
        <v>28</v>
      </c>
      <c r="M6210" s="678">
        <v>6946.7999999999993</v>
      </c>
      <c r="N6210" s="678" t="s">
        <v>1237</v>
      </c>
    </row>
    <row r="6211" spans="1:14" x14ac:dyDescent="0.25">
      <c r="A6211" s="676">
        <f t="shared" si="17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/>
      <c r="L6211" s="676" t="s">
        <v>28</v>
      </c>
      <c r="M6211" s="676">
        <v>9760.7999999999993</v>
      </c>
      <c r="N6211" s="676" t="s">
        <v>1239</v>
      </c>
    </row>
    <row r="6212" spans="1:14" x14ac:dyDescent="0.25">
      <c r="A6212" s="678">
        <f t="shared" si="17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/>
      <c r="L6212" s="678" t="s">
        <v>28</v>
      </c>
      <c r="M6212" s="678">
        <v>9268.9599999999991</v>
      </c>
      <c r="N6212" s="678" t="s">
        <v>1240</v>
      </c>
    </row>
    <row r="6213" spans="1:14" x14ac:dyDescent="0.25">
      <c r="A6213" s="676">
        <f t="shared" si="17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/>
      <c r="L6213" s="676" t="s">
        <v>28</v>
      </c>
      <c r="M6213" s="676">
        <v>2504.4</v>
      </c>
      <c r="N6213" s="676" t="s">
        <v>1241</v>
      </c>
    </row>
    <row r="6214" spans="1:14" x14ac:dyDescent="0.25">
      <c r="A6214" s="676">
        <f t="shared" si="17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/>
      <c r="L6214" s="676" t="s">
        <v>28</v>
      </c>
      <c r="M6214" s="676">
        <v>8306.48</v>
      </c>
      <c r="N6214" s="676" t="s">
        <v>1241</v>
      </c>
    </row>
    <row r="6215" spans="1:14" x14ac:dyDescent="0.25">
      <c r="A6215" s="678">
        <f t="shared" si="17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/>
      <c r="L6215" s="678" t="s">
        <v>28</v>
      </c>
      <c r="M6215" s="678">
        <v>2672.24</v>
      </c>
      <c r="N6215" s="678" t="s">
        <v>1242</v>
      </c>
    </row>
    <row r="6216" spans="1:14" x14ac:dyDescent="0.25">
      <c r="A6216" s="678">
        <f t="shared" si="17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/>
      <c r="L6216" s="678" t="s">
        <v>28</v>
      </c>
      <c r="M6216" s="678">
        <v>9376.08</v>
      </c>
      <c r="N6216" s="678" t="s">
        <v>1242</v>
      </c>
    </row>
    <row r="6217" spans="1:14" x14ac:dyDescent="0.25">
      <c r="A6217" s="676">
        <f t="shared" si="17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/>
      <c r="L6217" s="676" t="s">
        <v>265</v>
      </c>
      <c r="M6217" s="676">
        <v>17748.979999999996</v>
      </c>
      <c r="N6217" s="676" t="s">
        <v>1236</v>
      </c>
    </row>
    <row r="6218" spans="1:14" x14ac:dyDescent="0.25">
      <c r="A6218" s="678">
        <f t="shared" si="17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/>
      <c r="L6218" s="678" t="s">
        <v>266</v>
      </c>
      <c r="M6218" s="678">
        <v>18125.579999999998</v>
      </c>
      <c r="N6218" s="678" t="s">
        <v>1237</v>
      </c>
    </row>
    <row r="6219" spans="1:14" x14ac:dyDescent="0.25">
      <c r="A6219" s="676">
        <f t="shared" si="17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/>
      <c r="L6219" s="676" t="s">
        <v>266</v>
      </c>
      <c r="M6219" s="676">
        <v>18085.300000000003</v>
      </c>
      <c r="N6219" s="676" t="s">
        <v>1239</v>
      </c>
    </row>
    <row r="6220" spans="1:14" x14ac:dyDescent="0.25">
      <c r="A6220" s="678">
        <f t="shared" si="17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/>
      <c r="L6220" s="678" t="s">
        <v>266</v>
      </c>
      <c r="M6220" s="678">
        <v>18011.400000000001</v>
      </c>
      <c r="N6220" s="678" t="s">
        <v>1240</v>
      </c>
    </row>
    <row r="6221" spans="1:14" x14ac:dyDescent="0.25">
      <c r="A6221" s="676">
        <f t="shared" si="17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/>
      <c r="L6221" s="676" t="s">
        <v>266</v>
      </c>
      <c r="M6221" s="676">
        <v>18251.479999999996</v>
      </c>
      <c r="N6221" s="676" t="s">
        <v>1241</v>
      </c>
    </row>
    <row r="6222" spans="1:14" x14ac:dyDescent="0.25">
      <c r="A6222" s="678">
        <f t="shared" si="17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/>
      <c r="L6222" s="678" t="s">
        <v>265</v>
      </c>
      <c r="M6222" s="678">
        <v>2158</v>
      </c>
      <c r="N6222" s="678" t="s">
        <v>1236</v>
      </c>
    </row>
    <row r="6223" spans="1:14" x14ac:dyDescent="0.25">
      <c r="A6223" s="678">
        <f t="shared" si="17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/>
      <c r="L6223" s="678" t="s">
        <v>265</v>
      </c>
      <c r="M6223" s="678">
        <v>15415.999999999996</v>
      </c>
      <c r="N6223" s="678" t="s">
        <v>1236</v>
      </c>
    </row>
    <row r="6224" spans="1:14" x14ac:dyDescent="0.25">
      <c r="A6224" s="676">
        <f t="shared" si="17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/>
      <c r="L6224" s="676" t="s">
        <v>265</v>
      </c>
      <c r="M6224" s="676">
        <v>11385.8</v>
      </c>
      <c r="N6224" s="676" t="s">
        <v>1236</v>
      </c>
    </row>
    <row r="6225" spans="1:14" x14ac:dyDescent="0.25">
      <c r="A6225" s="678">
        <f t="shared" si="17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/>
      <c r="L6225" s="678" t="s">
        <v>265</v>
      </c>
      <c r="M6225" s="678">
        <v>17687.079999999998</v>
      </c>
      <c r="N6225" s="678" t="s">
        <v>1236</v>
      </c>
    </row>
    <row r="6226" spans="1:14" x14ac:dyDescent="0.25">
      <c r="A6226" s="676">
        <f t="shared" si="17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/>
      <c r="L6226" s="676" t="s">
        <v>28</v>
      </c>
      <c r="M6226" s="676">
        <v>7442.1600000000008</v>
      </c>
      <c r="N6226" s="676" t="s">
        <v>1237</v>
      </c>
    </row>
    <row r="6227" spans="1:14" x14ac:dyDescent="0.25">
      <c r="A6227" s="676">
        <f t="shared" si="17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/>
      <c r="L6227" s="676" t="s">
        <v>266</v>
      </c>
      <c r="M6227" s="676">
        <v>3501.2100000000005</v>
      </c>
      <c r="N6227" s="676" t="s">
        <v>1237</v>
      </c>
    </row>
    <row r="6228" spans="1:14" x14ac:dyDescent="0.25">
      <c r="A6228" s="676">
        <f t="shared" si="17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/>
      <c r="L6228" s="676" t="s">
        <v>266</v>
      </c>
      <c r="M6228" s="676">
        <v>6293.8200000000006</v>
      </c>
      <c r="N6228" s="676" t="s">
        <v>1237</v>
      </c>
    </row>
    <row r="6229" spans="1:14" x14ac:dyDescent="0.25">
      <c r="A6229" s="678">
        <f t="shared" ref="A6229:A6292" si="173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/>
      <c r="L6229" s="678" t="s">
        <v>28</v>
      </c>
      <c r="M6229" s="678">
        <v>9163.76</v>
      </c>
      <c r="N6229" s="678" t="s">
        <v>1239</v>
      </c>
    </row>
    <row r="6230" spans="1:14" x14ac:dyDescent="0.25">
      <c r="A6230" s="678">
        <f t="shared" si="173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/>
      <c r="L6230" s="678" t="s">
        <v>28</v>
      </c>
      <c r="M6230" s="678">
        <v>8288.2200000000012</v>
      </c>
      <c r="N6230" s="678" t="s">
        <v>1239</v>
      </c>
    </row>
    <row r="6231" spans="1:14" x14ac:dyDescent="0.25">
      <c r="A6231" s="676">
        <f t="shared" si="173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/>
      <c r="L6231" s="676" t="s">
        <v>28</v>
      </c>
      <c r="M6231" s="676">
        <v>2208.2399999999998</v>
      </c>
      <c r="N6231" s="676" t="s">
        <v>1240</v>
      </c>
    </row>
    <row r="6232" spans="1:14" x14ac:dyDescent="0.25">
      <c r="A6232" s="676">
        <f t="shared" si="173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/>
      <c r="L6232" s="676" t="s">
        <v>266</v>
      </c>
      <c r="M6232" s="676">
        <v>15026.82</v>
      </c>
      <c r="N6232" s="676" t="s">
        <v>1240</v>
      </c>
    </row>
    <row r="6233" spans="1:14" x14ac:dyDescent="0.25">
      <c r="A6233" s="676">
        <f t="shared" si="173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/>
      <c r="L6233" s="678" t="s">
        <v>28</v>
      </c>
      <c r="M6233" s="678">
        <v>15071.340000000004</v>
      </c>
      <c r="N6233" s="678" t="s">
        <v>1241</v>
      </c>
    </row>
    <row r="6234" spans="1:14" x14ac:dyDescent="0.25">
      <c r="A6234" s="676">
        <f t="shared" si="173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/>
      <c r="L6234" s="678" t="s">
        <v>28</v>
      </c>
      <c r="M6234" s="678">
        <v>2310</v>
      </c>
      <c r="N6234" s="678" t="s">
        <v>1241</v>
      </c>
    </row>
    <row r="6235" spans="1:14" x14ac:dyDescent="0.25">
      <c r="A6235" s="676">
        <f t="shared" si="173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/>
      <c r="L6235" s="676" t="s">
        <v>28</v>
      </c>
      <c r="M6235" s="676">
        <v>10361.91</v>
      </c>
      <c r="N6235" s="676" t="s">
        <v>1242</v>
      </c>
    </row>
    <row r="6236" spans="1:14" x14ac:dyDescent="0.25">
      <c r="A6236" s="676">
        <f t="shared" si="173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/>
      <c r="L6236" s="676" t="s">
        <v>28</v>
      </c>
      <c r="M6236" s="676">
        <v>7018.08</v>
      </c>
      <c r="N6236" s="676" t="s">
        <v>1242</v>
      </c>
    </row>
    <row r="6237" spans="1:14" x14ac:dyDescent="0.25">
      <c r="A6237" s="676">
        <f t="shared" si="173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/>
      <c r="L6237" s="678" t="s">
        <v>28</v>
      </c>
      <c r="M6237" s="678">
        <v>16023.330000000004</v>
      </c>
      <c r="N6237" s="678" t="s">
        <v>1306</v>
      </c>
    </row>
    <row r="6238" spans="1:14" x14ac:dyDescent="0.25">
      <c r="A6238" s="676">
        <f t="shared" si="173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/>
      <c r="L6238" s="678" t="s">
        <v>28</v>
      </c>
      <c r="M6238" s="678">
        <v>1247.76</v>
      </c>
      <c r="N6238" s="678" t="s">
        <v>1306</v>
      </c>
    </row>
    <row r="6239" spans="1:14" x14ac:dyDescent="0.25">
      <c r="A6239" s="676">
        <f t="shared" si="173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/>
      <c r="L6239" s="676" t="s">
        <v>265</v>
      </c>
      <c r="M6239" s="676">
        <v>16405.22</v>
      </c>
      <c r="N6239" s="676" t="s">
        <v>1236</v>
      </c>
    </row>
    <row r="6240" spans="1:14" x14ac:dyDescent="0.25">
      <c r="A6240" s="676">
        <f t="shared" si="173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/>
      <c r="L6240" s="676" t="s">
        <v>265</v>
      </c>
      <c r="M6240" s="676">
        <v>1210</v>
      </c>
      <c r="N6240" s="676" t="s">
        <v>1236</v>
      </c>
    </row>
    <row r="6241" spans="1:14" x14ac:dyDescent="0.25">
      <c r="A6241" s="678">
        <f t="shared" si="173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/>
      <c r="L6241" s="678" t="s">
        <v>265</v>
      </c>
      <c r="M6241" s="678">
        <v>12367.84</v>
      </c>
      <c r="N6241" s="678" t="s">
        <v>1236</v>
      </c>
    </row>
    <row r="6242" spans="1:14" ht="75" x14ac:dyDescent="0.25">
      <c r="A6242" s="676">
        <f t="shared" si="173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/>
      <c r="L6242" s="676" t="s">
        <v>28</v>
      </c>
      <c r="M6242" s="676">
        <v>8017.38</v>
      </c>
      <c r="N6242" s="676" t="s">
        <v>1375</v>
      </c>
    </row>
    <row r="6243" spans="1:14" x14ac:dyDescent="0.25">
      <c r="A6243" s="678">
        <f t="shared" si="173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/>
      <c r="L6243" s="678" t="s">
        <v>265</v>
      </c>
      <c r="M6243" s="678">
        <v>13850.819999999998</v>
      </c>
      <c r="N6243" s="678" t="s">
        <v>1236</v>
      </c>
    </row>
    <row r="6244" spans="1:14" x14ac:dyDescent="0.25">
      <c r="A6244" s="678">
        <f t="shared" si="173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/>
      <c r="L6244" s="678" t="s">
        <v>265</v>
      </c>
      <c r="M6244" s="678">
        <v>3807.5599999999995</v>
      </c>
      <c r="N6244" s="678" t="s">
        <v>1236</v>
      </c>
    </row>
    <row r="6245" spans="1:14" x14ac:dyDescent="0.25">
      <c r="A6245" s="676">
        <f t="shared" si="173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/>
      <c r="L6245" s="676" t="s">
        <v>28</v>
      </c>
      <c r="M6245" s="676">
        <v>6277.7999999999993</v>
      </c>
      <c r="N6245" s="676" t="s">
        <v>1237</v>
      </c>
    </row>
    <row r="6246" spans="1:14" x14ac:dyDescent="0.25">
      <c r="A6246" s="676">
        <f t="shared" si="173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/>
      <c r="L6246" s="676" t="s">
        <v>28</v>
      </c>
      <c r="M6246" s="676">
        <v>8321.8100000000013</v>
      </c>
      <c r="N6246" s="676" t="s">
        <v>1237</v>
      </c>
    </row>
    <row r="6247" spans="1:14" x14ac:dyDescent="0.25">
      <c r="A6247" s="676">
        <f t="shared" si="173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/>
      <c r="L6247" s="676" t="s">
        <v>28</v>
      </c>
      <c r="M6247" s="676">
        <v>3028.4399999999996</v>
      </c>
      <c r="N6247" s="676" t="s">
        <v>1237</v>
      </c>
    </row>
    <row r="6248" spans="1:14" x14ac:dyDescent="0.25">
      <c r="A6248" s="678">
        <f t="shared" si="173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/>
      <c r="L6248" s="678" t="s">
        <v>28</v>
      </c>
      <c r="M6248" s="678">
        <v>6734.22</v>
      </c>
      <c r="N6248" s="678" t="s">
        <v>1239</v>
      </c>
    </row>
    <row r="6249" spans="1:14" x14ac:dyDescent="0.25">
      <c r="A6249" s="678">
        <f t="shared" si="173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/>
      <c r="L6249" s="678" t="s">
        <v>28</v>
      </c>
      <c r="M6249" s="678">
        <v>10737.6</v>
      </c>
      <c r="N6249" s="678" t="s">
        <v>1239</v>
      </c>
    </row>
    <row r="6250" spans="1:14" x14ac:dyDescent="0.25">
      <c r="A6250" s="676">
        <f t="shared" si="173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/>
      <c r="L6250" s="676" t="s">
        <v>28</v>
      </c>
      <c r="M6250" s="676">
        <v>14625.500000000004</v>
      </c>
      <c r="N6250" s="676" t="s">
        <v>1240</v>
      </c>
    </row>
    <row r="6251" spans="1:14" x14ac:dyDescent="0.25">
      <c r="A6251" s="676">
        <f t="shared" si="173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/>
      <c r="L6251" s="676" t="s">
        <v>266</v>
      </c>
      <c r="M6251" s="676">
        <v>2781.7200000000003</v>
      </c>
      <c r="N6251" s="676" t="s">
        <v>1240</v>
      </c>
    </row>
    <row r="6252" spans="1:14" x14ac:dyDescent="0.25">
      <c r="A6252" s="678">
        <f t="shared" si="173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/>
      <c r="L6252" s="678" t="s">
        <v>28</v>
      </c>
      <c r="M6252" s="678">
        <v>3163.08</v>
      </c>
      <c r="N6252" s="678" t="s">
        <v>1237</v>
      </c>
    </row>
    <row r="6253" spans="1:14" x14ac:dyDescent="0.25">
      <c r="A6253" s="678">
        <f t="shared" si="173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/>
      <c r="L6253" s="678" t="s">
        <v>28</v>
      </c>
      <c r="M6253" s="678">
        <v>3984.12</v>
      </c>
      <c r="N6253" s="678" t="s">
        <v>1237</v>
      </c>
    </row>
    <row r="6254" spans="1:14" x14ac:dyDescent="0.25">
      <c r="A6254" s="678">
        <f t="shared" si="173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/>
      <c r="L6254" s="678" t="s">
        <v>28</v>
      </c>
      <c r="M6254" s="678">
        <v>5705.76</v>
      </c>
      <c r="N6254" s="678" t="s">
        <v>1237</v>
      </c>
    </row>
    <row r="6255" spans="1:14" x14ac:dyDescent="0.25">
      <c r="A6255" s="676">
        <f t="shared" si="173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/>
      <c r="L6255" s="676" t="s">
        <v>28</v>
      </c>
      <c r="M6255" s="676">
        <v>1029.96</v>
      </c>
      <c r="N6255" s="676" t="s">
        <v>1239</v>
      </c>
    </row>
    <row r="6256" spans="1:14" x14ac:dyDescent="0.25">
      <c r="A6256" s="676">
        <f t="shared" si="173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/>
      <c r="L6256" s="676" t="s">
        <v>28</v>
      </c>
      <c r="M6256" s="676">
        <v>10269</v>
      </c>
      <c r="N6256" s="676" t="s">
        <v>1239</v>
      </c>
    </row>
    <row r="6257" spans="1:14" x14ac:dyDescent="0.25">
      <c r="A6257" s="678">
        <f t="shared" si="173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/>
      <c r="L6257" s="678" t="s">
        <v>28</v>
      </c>
      <c r="M6257" s="678">
        <v>12094.96</v>
      </c>
      <c r="N6257" s="678" t="s">
        <v>1240</v>
      </c>
    </row>
    <row r="6258" spans="1:14" x14ac:dyDescent="0.25">
      <c r="A6258" s="676">
        <f t="shared" si="173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/>
      <c r="L6258" s="676" t="s">
        <v>265</v>
      </c>
      <c r="M6258" s="676">
        <v>17717.36</v>
      </c>
      <c r="N6258" s="676" t="s">
        <v>1236</v>
      </c>
    </row>
    <row r="6259" spans="1:14" x14ac:dyDescent="0.25">
      <c r="A6259" s="678">
        <f t="shared" si="173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/>
      <c r="L6259" s="678" t="s">
        <v>266</v>
      </c>
      <c r="M6259" s="678">
        <v>2227.4300000000007</v>
      </c>
      <c r="N6259" s="678" t="s">
        <v>1240</v>
      </c>
    </row>
    <row r="6260" spans="1:14" x14ac:dyDescent="0.25">
      <c r="A6260" s="678">
        <f t="shared" si="173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/>
      <c r="L6260" s="678" t="s">
        <v>266</v>
      </c>
      <c r="M6260" s="678">
        <v>14649.460000000001</v>
      </c>
      <c r="N6260" s="678" t="s">
        <v>1240</v>
      </c>
    </row>
    <row r="6261" spans="1:14" x14ac:dyDescent="0.25">
      <c r="A6261" s="676">
        <f t="shared" si="173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/>
      <c r="L6261" s="676" t="s">
        <v>266</v>
      </c>
      <c r="M6261" s="676">
        <v>18098.38</v>
      </c>
      <c r="N6261" s="676" t="s">
        <v>1237</v>
      </c>
    </row>
    <row r="6262" spans="1:14" x14ac:dyDescent="0.25">
      <c r="A6262" s="678">
        <f t="shared" si="173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/>
      <c r="L6262" s="678" t="s">
        <v>266</v>
      </c>
      <c r="M6262" s="678">
        <v>17972.72</v>
      </c>
      <c r="N6262" s="678" t="s">
        <v>1239</v>
      </c>
    </row>
    <row r="6263" spans="1:14" x14ac:dyDescent="0.25">
      <c r="A6263" s="676">
        <f t="shared" si="173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/>
      <c r="L6263" s="676" t="s">
        <v>266</v>
      </c>
      <c r="M6263" s="676">
        <v>18031.2</v>
      </c>
      <c r="N6263" s="676" t="s">
        <v>1240</v>
      </c>
    </row>
    <row r="6264" spans="1:14" x14ac:dyDescent="0.25">
      <c r="A6264" s="678">
        <f t="shared" si="173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/>
      <c r="L6264" s="678" t="s">
        <v>266</v>
      </c>
      <c r="M6264" s="678">
        <v>18025.080000000002</v>
      </c>
      <c r="N6264" s="678" t="s">
        <v>1241</v>
      </c>
    </row>
    <row r="6265" spans="1:14" x14ac:dyDescent="0.25">
      <c r="A6265" s="676">
        <f t="shared" si="173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/>
      <c r="L6265" s="676" t="s">
        <v>265</v>
      </c>
      <c r="M6265" s="676">
        <v>5698.7999999999993</v>
      </c>
      <c r="N6265" s="676" t="s">
        <v>1236</v>
      </c>
    </row>
    <row r="6266" spans="1:14" x14ac:dyDescent="0.25">
      <c r="A6266" s="676">
        <f t="shared" si="173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/>
      <c r="L6266" s="676" t="s">
        <v>265</v>
      </c>
      <c r="M6266" s="676">
        <v>11675.16</v>
      </c>
      <c r="N6266" s="676" t="s">
        <v>1236</v>
      </c>
    </row>
    <row r="6267" spans="1:14" x14ac:dyDescent="0.25">
      <c r="A6267" s="678">
        <f t="shared" si="173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/>
      <c r="L6267" s="678" t="s">
        <v>265</v>
      </c>
      <c r="M6267" s="678">
        <v>17610.73</v>
      </c>
      <c r="N6267" s="678" t="s">
        <v>1237</v>
      </c>
    </row>
    <row r="6268" spans="1:14" x14ac:dyDescent="0.25">
      <c r="A6268" s="676">
        <f t="shared" si="173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/>
      <c r="L6268" s="676" t="s">
        <v>265</v>
      </c>
      <c r="M6268" s="676">
        <v>12646.68</v>
      </c>
      <c r="N6268" s="676" t="s">
        <v>1236</v>
      </c>
    </row>
    <row r="6269" spans="1:14" x14ac:dyDescent="0.25">
      <c r="A6269" s="678">
        <f t="shared" si="173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/>
      <c r="L6269" s="678" t="s">
        <v>266</v>
      </c>
      <c r="M6269" s="678">
        <v>18091.86</v>
      </c>
      <c r="N6269" s="678" t="s">
        <v>1239</v>
      </c>
    </row>
    <row r="6270" spans="1:14" x14ac:dyDescent="0.25">
      <c r="A6270" s="676">
        <f t="shared" si="173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/>
      <c r="L6270" s="676" t="s">
        <v>265</v>
      </c>
      <c r="M6270" s="676">
        <v>17591.82</v>
      </c>
      <c r="N6270" s="676" t="s">
        <v>1236</v>
      </c>
    </row>
    <row r="6271" spans="1:14" x14ac:dyDescent="0.25">
      <c r="A6271" s="678">
        <f t="shared" ref="A6271:A6284" si="174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/>
      <c r="L6271" s="678" t="s">
        <v>28</v>
      </c>
      <c r="M6271" s="678">
        <v>10941.960000000001</v>
      </c>
      <c r="N6271" s="678" t="s">
        <v>1237</v>
      </c>
    </row>
    <row r="6272" spans="1:14" x14ac:dyDescent="0.25">
      <c r="A6272" s="678">
        <f t="shared" si="174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/>
      <c r="L6272" s="678" t="s">
        <v>28</v>
      </c>
      <c r="M6272" s="678">
        <v>6508.92</v>
      </c>
      <c r="N6272" s="678" t="s">
        <v>1237</v>
      </c>
    </row>
    <row r="6273" spans="1:14" x14ac:dyDescent="0.25">
      <c r="A6273" s="676">
        <f t="shared" si="174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/>
      <c r="L6273" s="676" t="s">
        <v>266</v>
      </c>
      <c r="M6273" s="676">
        <v>7530.7999999999993</v>
      </c>
      <c r="N6273" s="676" t="s">
        <v>1239</v>
      </c>
    </row>
    <row r="6274" spans="1:14" x14ac:dyDescent="0.25">
      <c r="A6274" s="676">
        <f t="shared" si="174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/>
      <c r="L6274" s="676" t="s">
        <v>266</v>
      </c>
      <c r="M6274" s="676">
        <v>4395.1400000000003</v>
      </c>
      <c r="N6274" s="676" t="s">
        <v>1239</v>
      </c>
    </row>
    <row r="6275" spans="1:14" x14ac:dyDescent="0.25">
      <c r="A6275" s="676">
        <f t="shared" si="174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/>
      <c r="L6275" s="676" t="s">
        <v>28</v>
      </c>
      <c r="M6275" s="676">
        <v>5318.1600000000008</v>
      </c>
      <c r="N6275" s="676" t="s">
        <v>1239</v>
      </c>
    </row>
    <row r="6276" spans="1:14" x14ac:dyDescent="0.25">
      <c r="A6276" s="678">
        <f t="shared" si="174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/>
      <c r="L6276" s="678" t="s">
        <v>28</v>
      </c>
      <c r="M6276" s="678">
        <v>7850.4000000000005</v>
      </c>
      <c r="N6276" s="678" t="s">
        <v>1240</v>
      </c>
    </row>
    <row r="6277" spans="1:14" ht="56.25" x14ac:dyDescent="0.25">
      <c r="A6277" s="678">
        <f t="shared" si="174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/>
      <c r="L6277" s="678" t="s">
        <v>28</v>
      </c>
      <c r="M6277" s="678">
        <v>1713.1200000000001</v>
      </c>
      <c r="N6277" s="678" t="s">
        <v>1240</v>
      </c>
    </row>
    <row r="6278" spans="1:14" x14ac:dyDescent="0.25">
      <c r="A6278" s="678">
        <f t="shared" si="174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/>
      <c r="L6278" s="678" t="s">
        <v>28</v>
      </c>
      <c r="M6278" s="678">
        <v>7800.4</v>
      </c>
      <c r="N6278" s="678" t="s">
        <v>1240</v>
      </c>
    </row>
    <row r="6279" spans="1:14" x14ac:dyDescent="0.25">
      <c r="A6279" s="676">
        <f t="shared" si="174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/>
      <c r="L6279" s="676" t="s">
        <v>28</v>
      </c>
      <c r="M6279" s="676">
        <v>14346.66</v>
      </c>
      <c r="N6279" s="676" t="s">
        <v>1241</v>
      </c>
    </row>
    <row r="6280" spans="1:14" x14ac:dyDescent="0.25">
      <c r="A6280" s="676">
        <f t="shared" si="174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/>
      <c r="L6280" s="676" t="s">
        <v>28</v>
      </c>
      <c r="M6280" s="676">
        <v>1499.4</v>
      </c>
      <c r="N6280" s="676" t="s">
        <v>1241</v>
      </c>
    </row>
    <row r="6281" spans="1:14" x14ac:dyDescent="0.25">
      <c r="A6281" s="676">
        <f t="shared" si="174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/>
      <c r="L6281" s="676" t="s">
        <v>28</v>
      </c>
      <c r="M6281" s="676">
        <v>1518.06</v>
      </c>
      <c r="N6281" s="676" t="s">
        <v>1241</v>
      </c>
    </row>
    <row r="6282" spans="1:14" x14ac:dyDescent="0.25">
      <c r="A6282" s="678">
        <f t="shared" si="174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/>
      <c r="L6282" s="678" t="s">
        <v>28</v>
      </c>
      <c r="M6282" s="678">
        <v>17681.190000000002</v>
      </c>
      <c r="N6282" s="678" t="s">
        <v>1242</v>
      </c>
    </row>
    <row r="6283" spans="1:14" x14ac:dyDescent="0.25">
      <c r="A6283" s="676">
        <f t="shared" si="174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/>
      <c r="L6283" s="676" t="s">
        <v>28</v>
      </c>
      <c r="M6283" s="676">
        <v>17406.400000000001</v>
      </c>
      <c r="N6283" s="676" t="s">
        <v>1306</v>
      </c>
    </row>
    <row r="6284" spans="1:14" x14ac:dyDescent="0.25">
      <c r="A6284" s="678">
        <f t="shared" si="174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/>
      <c r="L6284" s="678" t="s">
        <v>265</v>
      </c>
      <c r="M6284" s="678">
        <v>16395.400000000001</v>
      </c>
      <c r="N6284" s="678" t="s">
        <v>1236</v>
      </c>
    </row>
    <row r="6285" spans="1:14" x14ac:dyDescent="0.25">
      <c r="A6285" s="678">
        <f t="shared" si="173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/>
      <c r="L6285" s="678" t="s">
        <v>265</v>
      </c>
      <c r="M6285" s="678">
        <v>1270.92</v>
      </c>
      <c r="N6285" s="678" t="s">
        <v>1236</v>
      </c>
    </row>
    <row r="6286" spans="1:14" x14ac:dyDescent="0.25">
      <c r="A6286" s="676">
        <f t="shared" si="173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/>
      <c r="L6286" s="676" t="s">
        <v>28</v>
      </c>
      <c r="M6286" s="676">
        <v>17417.699999999997</v>
      </c>
      <c r="N6286" s="676" t="s">
        <v>1237</v>
      </c>
    </row>
    <row r="6287" spans="1:14" ht="37.5" x14ac:dyDescent="0.25">
      <c r="A6287" s="678">
        <f t="shared" si="173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/>
      <c r="L6287" s="678" t="s">
        <v>28</v>
      </c>
      <c r="M6287" s="678">
        <v>11544.9</v>
      </c>
      <c r="N6287" s="678" t="s">
        <v>1239</v>
      </c>
    </row>
    <row r="6288" spans="1:14" x14ac:dyDescent="0.25">
      <c r="A6288" s="676">
        <f t="shared" si="173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/>
      <c r="L6288" s="676" t="s">
        <v>265</v>
      </c>
      <c r="M6288" s="676">
        <v>12756.52</v>
      </c>
      <c r="N6288" s="676" t="s">
        <v>1236</v>
      </c>
    </row>
    <row r="6289" spans="1:14" x14ac:dyDescent="0.25">
      <c r="A6289" s="678">
        <f t="shared" si="173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/>
      <c r="L6289" s="678" t="s">
        <v>266</v>
      </c>
      <c r="M6289" s="678">
        <v>11739.36</v>
      </c>
      <c r="N6289" s="678" t="s">
        <v>1237</v>
      </c>
    </row>
    <row r="6290" spans="1:14" x14ac:dyDescent="0.25">
      <c r="A6290" s="676">
        <f t="shared" si="173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/>
      <c r="L6290" s="676" t="s">
        <v>265</v>
      </c>
      <c r="M6290" s="676">
        <v>17863.64</v>
      </c>
      <c r="N6290" s="676" t="s">
        <v>1236</v>
      </c>
    </row>
    <row r="6291" spans="1:14" x14ac:dyDescent="0.25">
      <c r="A6291" s="678">
        <f t="shared" si="173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/>
      <c r="L6291" s="678" t="s">
        <v>28</v>
      </c>
      <c r="M6291" s="678">
        <v>10362.259999999998</v>
      </c>
      <c r="N6291" s="678" t="s">
        <v>1237</v>
      </c>
    </row>
    <row r="6292" spans="1:14" x14ac:dyDescent="0.25">
      <c r="A6292" s="678">
        <f t="shared" si="173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/>
      <c r="L6292" s="678" t="s">
        <v>28</v>
      </c>
      <c r="M6292" s="678">
        <v>7169.9199999999992</v>
      </c>
      <c r="N6292" s="678" t="s">
        <v>1237</v>
      </c>
    </row>
    <row r="6293" spans="1:14" x14ac:dyDescent="0.25">
      <c r="A6293" s="676">
        <f t="shared" ref="A6293:A6356" si="175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/>
      <c r="L6293" s="676" t="s">
        <v>28</v>
      </c>
      <c r="M6293" s="676">
        <v>8520.130000000001</v>
      </c>
      <c r="N6293" s="676" t="s">
        <v>1239</v>
      </c>
    </row>
    <row r="6294" spans="1:14" x14ac:dyDescent="0.25">
      <c r="A6294" s="676">
        <f t="shared" si="175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/>
      <c r="L6294" s="676" t="s">
        <v>28</v>
      </c>
      <c r="M6294" s="676">
        <v>8963.17</v>
      </c>
      <c r="N6294" s="676" t="s">
        <v>1239</v>
      </c>
    </row>
    <row r="6295" spans="1:14" x14ac:dyDescent="0.25">
      <c r="A6295" s="678">
        <f t="shared" si="175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/>
      <c r="L6295" s="678" t="s">
        <v>28</v>
      </c>
      <c r="M6295" s="678">
        <v>6040.2</v>
      </c>
      <c r="N6295" s="678" t="s">
        <v>1237</v>
      </c>
    </row>
    <row r="6296" spans="1:14" x14ac:dyDescent="0.25">
      <c r="A6296" s="678">
        <f t="shared" si="175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/>
      <c r="L6296" s="678" t="s">
        <v>28</v>
      </c>
      <c r="M6296" s="678">
        <v>7282.7999999999993</v>
      </c>
      <c r="N6296" s="678" t="s">
        <v>1237</v>
      </c>
    </row>
    <row r="6297" spans="1:14" x14ac:dyDescent="0.25">
      <c r="A6297" s="676">
        <f t="shared" si="175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/>
      <c r="L6297" s="676" t="s">
        <v>28</v>
      </c>
      <c r="M6297" s="676">
        <v>4090.8</v>
      </c>
      <c r="N6297" s="676" t="s">
        <v>1239</v>
      </c>
    </row>
    <row r="6298" spans="1:14" x14ac:dyDescent="0.25">
      <c r="A6298" s="676">
        <f t="shared" si="175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/>
      <c r="L6298" s="676" t="s">
        <v>28</v>
      </c>
      <c r="M6298" s="676">
        <v>6275.04</v>
      </c>
      <c r="N6298" s="676" t="s">
        <v>1239</v>
      </c>
    </row>
    <row r="6299" spans="1:14" x14ac:dyDescent="0.25">
      <c r="A6299" s="678">
        <f t="shared" si="175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/>
      <c r="L6299" s="678" t="s">
        <v>28</v>
      </c>
      <c r="M6299" s="678">
        <v>5696.64</v>
      </c>
      <c r="N6299" s="678" t="s">
        <v>1240</v>
      </c>
    </row>
    <row r="6300" spans="1:14" x14ac:dyDescent="0.25">
      <c r="A6300" s="678">
        <f t="shared" si="175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/>
      <c r="L6300" s="678" t="s">
        <v>28</v>
      </c>
      <c r="M6300" s="678">
        <v>4517.76</v>
      </c>
      <c r="N6300" s="678" t="s">
        <v>1240</v>
      </c>
    </row>
    <row r="6301" spans="1:14" x14ac:dyDescent="0.25">
      <c r="A6301" s="676">
        <f t="shared" si="175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/>
      <c r="L6301" s="676" t="s">
        <v>266</v>
      </c>
      <c r="M6301" s="676">
        <v>13993.560000000001</v>
      </c>
      <c r="N6301" s="676" t="s">
        <v>1237</v>
      </c>
    </row>
    <row r="6302" spans="1:14" x14ac:dyDescent="0.25">
      <c r="A6302" s="678">
        <f t="shared" si="175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/>
      <c r="L6302" s="678" t="s">
        <v>266</v>
      </c>
      <c r="M6302" s="678">
        <v>18056.580000000005</v>
      </c>
      <c r="N6302" s="678" t="s">
        <v>1237</v>
      </c>
    </row>
    <row r="6303" spans="1:14" x14ac:dyDescent="0.25">
      <c r="A6303" s="676">
        <f t="shared" si="175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/>
      <c r="L6303" s="676" t="s">
        <v>266</v>
      </c>
      <c r="M6303" s="676">
        <v>18074.2</v>
      </c>
      <c r="N6303" s="676" t="s">
        <v>1239</v>
      </c>
    </row>
    <row r="6304" spans="1:14" x14ac:dyDescent="0.25">
      <c r="A6304" s="678">
        <f t="shared" si="175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/>
      <c r="L6304" s="678" t="s">
        <v>266</v>
      </c>
      <c r="M6304" s="678">
        <v>9902.2000000000007</v>
      </c>
      <c r="N6304" s="678" t="s">
        <v>1240</v>
      </c>
    </row>
    <row r="6305" spans="1:14" x14ac:dyDescent="0.25">
      <c r="A6305" s="676">
        <f t="shared" si="175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/>
      <c r="L6305" s="676" t="s">
        <v>265</v>
      </c>
      <c r="M6305" s="676">
        <v>2562.3000000000002</v>
      </c>
      <c r="N6305" s="676" t="s">
        <v>1236</v>
      </c>
    </row>
    <row r="6306" spans="1:14" x14ac:dyDescent="0.25">
      <c r="A6306" s="676">
        <f t="shared" si="175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/>
      <c r="L6306" s="676" t="s">
        <v>265</v>
      </c>
      <c r="M6306" s="676">
        <v>14462.24</v>
      </c>
      <c r="N6306" s="676" t="s">
        <v>1236</v>
      </c>
    </row>
    <row r="6307" spans="1:14" x14ac:dyDescent="0.25">
      <c r="A6307" s="678">
        <f t="shared" si="175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/>
      <c r="L6307" s="678" t="s">
        <v>265</v>
      </c>
      <c r="M6307" s="678">
        <v>17685.739999999998</v>
      </c>
      <c r="N6307" s="678" t="s">
        <v>1237</v>
      </c>
    </row>
    <row r="6308" spans="1:14" x14ac:dyDescent="0.25">
      <c r="A6308" s="676">
        <f t="shared" si="175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/>
      <c r="L6308" s="676" t="s">
        <v>266</v>
      </c>
      <c r="M6308" s="676">
        <v>17885.72</v>
      </c>
      <c r="N6308" s="676" t="s">
        <v>1239</v>
      </c>
    </row>
    <row r="6309" spans="1:14" x14ac:dyDescent="0.25">
      <c r="A6309" s="678">
        <f t="shared" si="175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/>
      <c r="L6309" s="678" t="s">
        <v>266</v>
      </c>
      <c r="M6309" s="678">
        <v>17338.519999999997</v>
      </c>
      <c r="N6309" s="678" t="s">
        <v>1240</v>
      </c>
    </row>
    <row r="6310" spans="1:14" x14ac:dyDescent="0.25">
      <c r="A6310" s="676">
        <f t="shared" si="175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/>
      <c r="L6310" s="676" t="s">
        <v>265</v>
      </c>
      <c r="M6310" s="676">
        <v>12762.44</v>
      </c>
      <c r="N6310" s="676" t="s">
        <v>1236</v>
      </c>
    </row>
    <row r="6311" spans="1:14" x14ac:dyDescent="0.25">
      <c r="A6311" s="678">
        <f t="shared" si="175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/>
      <c r="L6311" s="678" t="s">
        <v>265</v>
      </c>
      <c r="M6311" s="678">
        <v>17733.82</v>
      </c>
      <c r="N6311" s="678" t="s">
        <v>1236</v>
      </c>
    </row>
    <row r="6312" spans="1:14" x14ac:dyDescent="0.25">
      <c r="A6312" s="676">
        <f t="shared" si="175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/>
      <c r="L6312" s="676" t="s">
        <v>28</v>
      </c>
      <c r="M6312" s="676">
        <v>2416.3200000000002</v>
      </c>
      <c r="N6312" s="676" t="s">
        <v>1237</v>
      </c>
    </row>
    <row r="6313" spans="1:14" x14ac:dyDescent="0.25">
      <c r="A6313" s="676">
        <f t="shared" si="175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/>
      <c r="L6313" s="676" t="s">
        <v>28</v>
      </c>
      <c r="M6313" s="676">
        <v>9460.41</v>
      </c>
      <c r="N6313" s="676" t="s">
        <v>1237</v>
      </c>
    </row>
    <row r="6314" spans="1:14" x14ac:dyDescent="0.25">
      <c r="A6314" s="676">
        <f t="shared" si="175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/>
      <c r="L6314" s="676" t="s">
        <v>28</v>
      </c>
      <c r="M6314" s="676">
        <v>5615.52</v>
      </c>
      <c r="N6314" s="676" t="s">
        <v>1237</v>
      </c>
    </row>
    <row r="6315" spans="1:14" x14ac:dyDescent="0.25">
      <c r="A6315" s="678">
        <f t="shared" si="175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/>
      <c r="L6315" s="678" t="s">
        <v>266</v>
      </c>
      <c r="M6315" s="678">
        <v>7725.5</v>
      </c>
      <c r="N6315" s="678" t="s">
        <v>1239</v>
      </c>
    </row>
    <row r="6316" spans="1:14" x14ac:dyDescent="0.25">
      <c r="A6316" s="678">
        <f t="shared" si="175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/>
      <c r="L6316" s="678" t="s">
        <v>28</v>
      </c>
      <c r="M6316" s="678">
        <v>9731.0700000000015</v>
      </c>
      <c r="N6316" s="678" t="s">
        <v>1239</v>
      </c>
    </row>
    <row r="6317" spans="1:14" x14ac:dyDescent="0.25">
      <c r="A6317" s="676">
        <f t="shared" si="175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/>
      <c r="L6317" s="676" t="s">
        <v>28</v>
      </c>
      <c r="M6317" s="676">
        <v>4412.04</v>
      </c>
      <c r="N6317" s="676" t="s">
        <v>1240</v>
      </c>
    </row>
    <row r="6318" spans="1:14" x14ac:dyDescent="0.25">
      <c r="A6318" s="676">
        <f t="shared" si="175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/>
      <c r="L6318" s="676" t="s">
        <v>28</v>
      </c>
      <c r="M6318" s="676">
        <v>1748.88</v>
      </c>
      <c r="N6318" s="676" t="s">
        <v>1240</v>
      </c>
    </row>
    <row r="6319" spans="1:14" x14ac:dyDescent="0.25">
      <c r="A6319" s="676">
        <f t="shared" si="175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/>
      <c r="L6319" s="676" t="s">
        <v>28</v>
      </c>
      <c r="M6319" s="676">
        <v>1787.0400000000002</v>
      </c>
      <c r="N6319" s="676" t="s">
        <v>1240</v>
      </c>
    </row>
    <row r="6320" spans="1:14" x14ac:dyDescent="0.25">
      <c r="A6320" s="676">
        <f t="shared" si="175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/>
      <c r="L6320" s="676" t="s">
        <v>266</v>
      </c>
      <c r="M6320" s="676">
        <v>9085.6600000000017</v>
      </c>
      <c r="N6320" s="676" t="s">
        <v>1240</v>
      </c>
    </row>
    <row r="6321" spans="1:14" x14ac:dyDescent="0.25">
      <c r="A6321" s="678">
        <f t="shared" si="175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/>
      <c r="L6321" s="678" t="s">
        <v>28</v>
      </c>
      <c r="M6321" s="678">
        <v>8732.94</v>
      </c>
      <c r="N6321" s="678" t="s">
        <v>1241</v>
      </c>
    </row>
    <row r="6322" spans="1:14" ht="56.25" x14ac:dyDescent="0.25">
      <c r="A6322" s="678">
        <f t="shared" si="175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/>
      <c r="L6322" s="678" t="s">
        <v>28</v>
      </c>
      <c r="M6322" s="678">
        <v>1103.04</v>
      </c>
      <c r="N6322" s="678" t="s">
        <v>1241</v>
      </c>
    </row>
    <row r="6323" spans="1:14" x14ac:dyDescent="0.25">
      <c r="A6323" s="678">
        <f t="shared" si="175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/>
      <c r="L6323" s="678" t="s">
        <v>28</v>
      </c>
      <c r="M6323" s="678">
        <v>7235.56</v>
      </c>
      <c r="N6323" s="678" t="s">
        <v>1241</v>
      </c>
    </row>
    <row r="6324" spans="1:14" x14ac:dyDescent="0.25">
      <c r="A6324" s="676">
        <f t="shared" si="175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/>
      <c r="L6324" s="676" t="s">
        <v>28</v>
      </c>
      <c r="M6324" s="676">
        <v>9630.5400000000009</v>
      </c>
      <c r="N6324" s="676" t="s">
        <v>1242</v>
      </c>
    </row>
    <row r="6325" spans="1:14" x14ac:dyDescent="0.25">
      <c r="A6325" s="676">
        <f t="shared" si="175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/>
      <c r="L6325" s="676" t="s">
        <v>28</v>
      </c>
      <c r="M6325" s="676">
        <v>7549.62</v>
      </c>
      <c r="N6325" s="676" t="s">
        <v>1242</v>
      </c>
    </row>
    <row r="6326" spans="1:14" x14ac:dyDescent="0.25">
      <c r="A6326" s="678">
        <f t="shared" si="175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/>
      <c r="L6326" s="678" t="s">
        <v>28</v>
      </c>
      <c r="M6326" s="678">
        <v>17221.57</v>
      </c>
      <c r="N6326" s="678" t="s">
        <v>1306</v>
      </c>
    </row>
    <row r="6327" spans="1:14" x14ac:dyDescent="0.25">
      <c r="A6327" s="676">
        <f t="shared" si="175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/>
      <c r="L6327" s="676" t="s">
        <v>265</v>
      </c>
      <c r="M6327" s="676">
        <v>16486.599999999999</v>
      </c>
      <c r="N6327" s="676" t="s">
        <v>1236</v>
      </c>
    </row>
    <row r="6328" spans="1:14" x14ac:dyDescent="0.25">
      <c r="A6328" s="676">
        <f t="shared" si="175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/>
      <c r="L6328" s="676" t="s">
        <v>265</v>
      </c>
      <c r="M6328" s="676">
        <v>1075.2199999999998</v>
      </c>
      <c r="N6328" s="676" t="s">
        <v>1236</v>
      </c>
    </row>
    <row r="6329" spans="1:14" x14ac:dyDescent="0.25">
      <c r="A6329" s="678">
        <f t="shared" si="175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/>
      <c r="L6329" s="678" t="s">
        <v>265</v>
      </c>
      <c r="M6329" s="678">
        <v>7025.64</v>
      </c>
      <c r="N6329" s="678" t="s">
        <v>1237</v>
      </c>
    </row>
    <row r="6330" spans="1:14" x14ac:dyDescent="0.25">
      <c r="A6330" s="676">
        <f t="shared" si="175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/>
      <c r="L6330" s="676" t="s">
        <v>265</v>
      </c>
      <c r="M6330" s="676">
        <v>7774.7999999999993</v>
      </c>
      <c r="N6330" s="676" t="s">
        <v>1393</v>
      </c>
    </row>
    <row r="6331" spans="1:14" x14ac:dyDescent="0.25">
      <c r="A6331" s="678">
        <f t="shared" si="175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/>
      <c r="L6331" s="678" t="s">
        <v>266</v>
      </c>
      <c r="M6331" s="678">
        <v>18032.580000000002</v>
      </c>
      <c r="N6331" s="678" t="s">
        <v>1239</v>
      </c>
    </row>
    <row r="6332" spans="1:14" x14ac:dyDescent="0.25">
      <c r="A6332" s="676">
        <f t="shared" si="175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/>
      <c r="L6332" s="676" t="s">
        <v>266</v>
      </c>
      <c r="M6332" s="676">
        <v>17705.400000000001</v>
      </c>
      <c r="N6332" s="676" t="s">
        <v>1240</v>
      </c>
    </row>
    <row r="6333" spans="1:14" ht="37.5" x14ac:dyDescent="0.25">
      <c r="A6333" s="678">
        <f t="shared" si="175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/>
      <c r="L6333" s="678" t="s">
        <v>28</v>
      </c>
      <c r="M6333" s="678">
        <v>12553.800000000001</v>
      </c>
      <c r="N6333" s="678" t="s">
        <v>1241</v>
      </c>
    </row>
    <row r="6334" spans="1:14" x14ac:dyDescent="0.25">
      <c r="A6334" s="676">
        <f t="shared" si="175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/>
      <c r="L6334" s="676" t="s">
        <v>265</v>
      </c>
      <c r="M6334" s="676">
        <v>12575.220000000001</v>
      </c>
      <c r="N6334" s="676" t="s">
        <v>1236</v>
      </c>
    </row>
    <row r="6335" spans="1:14" x14ac:dyDescent="0.25">
      <c r="A6335" s="676">
        <f t="shared" si="175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/>
      <c r="L6335" s="676" t="s">
        <v>265</v>
      </c>
      <c r="M6335" s="676">
        <v>5067.2</v>
      </c>
      <c r="N6335" s="676" t="s">
        <v>1236</v>
      </c>
    </row>
    <row r="6336" spans="1:14" x14ac:dyDescent="0.25">
      <c r="A6336" s="678">
        <f t="shared" si="175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/>
      <c r="L6336" s="678" t="s">
        <v>28</v>
      </c>
      <c r="M6336" s="678">
        <v>12395.619999999999</v>
      </c>
      <c r="N6336" s="678" t="s">
        <v>1237</v>
      </c>
    </row>
    <row r="6337" spans="1:14" x14ac:dyDescent="0.25">
      <c r="A6337" s="678">
        <f t="shared" si="175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/>
      <c r="L6337" s="678" t="s">
        <v>28</v>
      </c>
      <c r="M6337" s="678">
        <v>5117.5199999999995</v>
      </c>
      <c r="N6337" s="678" t="s">
        <v>1237</v>
      </c>
    </row>
    <row r="6338" spans="1:14" x14ac:dyDescent="0.25">
      <c r="A6338" s="676">
        <f t="shared" si="175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/>
      <c r="L6338" s="676" t="s">
        <v>28</v>
      </c>
      <c r="M6338" s="676">
        <v>14210.769999999999</v>
      </c>
      <c r="N6338" s="676" t="s">
        <v>1239</v>
      </c>
    </row>
    <row r="6339" spans="1:14" x14ac:dyDescent="0.25">
      <c r="A6339" s="676">
        <f t="shared" si="175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/>
      <c r="L6339" s="676" t="s">
        <v>266</v>
      </c>
      <c r="M6339" s="676">
        <v>3058.9200000000005</v>
      </c>
      <c r="N6339" s="676" t="s">
        <v>1239</v>
      </c>
    </row>
    <row r="6340" spans="1:14" x14ac:dyDescent="0.25">
      <c r="A6340" s="678">
        <f t="shared" si="175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/>
      <c r="L6340" s="678" t="s">
        <v>28</v>
      </c>
      <c r="M6340" s="678">
        <v>17321.580000000002</v>
      </c>
      <c r="N6340" s="678" t="s">
        <v>1240</v>
      </c>
    </row>
    <row r="6341" spans="1:14" x14ac:dyDescent="0.25">
      <c r="A6341" s="676">
        <f t="shared" si="175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/>
      <c r="L6341" s="676" t="s">
        <v>28</v>
      </c>
      <c r="M6341" s="676">
        <v>3278.3999999999996</v>
      </c>
      <c r="N6341" s="676" t="s">
        <v>1237</v>
      </c>
    </row>
    <row r="6342" spans="1:14" x14ac:dyDescent="0.25">
      <c r="A6342" s="676">
        <f t="shared" si="175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/>
      <c r="L6342" s="676" t="s">
        <v>28</v>
      </c>
      <c r="M6342" s="676">
        <v>5792.76</v>
      </c>
      <c r="N6342" s="676" t="s">
        <v>1237</v>
      </c>
    </row>
    <row r="6343" spans="1:14" x14ac:dyDescent="0.25">
      <c r="A6343" s="676">
        <f t="shared" si="175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/>
      <c r="L6343" s="676" t="s">
        <v>28</v>
      </c>
      <c r="M6343" s="676">
        <v>3328.32</v>
      </c>
      <c r="N6343" s="676" t="s">
        <v>1237</v>
      </c>
    </row>
    <row r="6344" spans="1:14" x14ac:dyDescent="0.25">
      <c r="A6344" s="678">
        <f t="shared" si="175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/>
      <c r="L6344" s="678" t="s">
        <v>28</v>
      </c>
      <c r="M6344" s="678">
        <v>7870.6399999999994</v>
      </c>
      <c r="N6344" s="678" t="s">
        <v>1239</v>
      </c>
    </row>
    <row r="6345" spans="1:14" x14ac:dyDescent="0.25">
      <c r="A6345" s="678">
        <f t="shared" si="175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/>
      <c r="L6345" s="678" t="s">
        <v>28</v>
      </c>
      <c r="M6345" s="678">
        <v>3336.4799999999996</v>
      </c>
      <c r="N6345" s="678" t="s">
        <v>1239</v>
      </c>
    </row>
    <row r="6346" spans="1:14" x14ac:dyDescent="0.25">
      <c r="A6346" s="676">
        <f t="shared" si="175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/>
      <c r="L6346" s="676" t="s">
        <v>28</v>
      </c>
      <c r="M6346" s="676">
        <v>3690.36</v>
      </c>
      <c r="N6346" s="676" t="s">
        <v>1240</v>
      </c>
    </row>
    <row r="6347" spans="1:14" x14ac:dyDescent="0.25">
      <c r="A6347" s="676">
        <f t="shared" si="175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/>
      <c r="L6347" s="676" t="s">
        <v>28</v>
      </c>
      <c r="M6347" s="676">
        <v>7709.96</v>
      </c>
      <c r="N6347" s="676" t="s">
        <v>1240</v>
      </c>
    </row>
    <row r="6348" spans="1:14" x14ac:dyDescent="0.25">
      <c r="A6348" s="678">
        <f t="shared" si="175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/>
      <c r="L6348" s="678" t="s">
        <v>265</v>
      </c>
      <c r="M6348" s="678">
        <v>6380.2000000000007</v>
      </c>
      <c r="N6348" s="678" t="s">
        <v>1393</v>
      </c>
    </row>
    <row r="6349" spans="1:14" x14ac:dyDescent="0.25">
      <c r="A6349" s="678">
        <f t="shared" si="175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/>
      <c r="L6349" s="678" t="s">
        <v>265</v>
      </c>
      <c r="M6349" s="678">
        <v>7434.64</v>
      </c>
      <c r="N6349" s="678" t="s">
        <v>1237</v>
      </c>
    </row>
    <row r="6350" spans="1:14" x14ac:dyDescent="0.25">
      <c r="A6350" s="676">
        <f t="shared" si="175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/>
      <c r="L6350" s="676" t="s">
        <v>266</v>
      </c>
      <c r="M6350" s="676">
        <v>2510.6000000000004</v>
      </c>
      <c r="N6350" s="676" t="s">
        <v>1240</v>
      </c>
    </row>
    <row r="6351" spans="1:14" x14ac:dyDescent="0.25">
      <c r="A6351" s="676">
        <f t="shared" si="175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/>
      <c r="L6351" s="676" t="s">
        <v>266</v>
      </c>
      <c r="M6351" s="676">
        <v>13835.94</v>
      </c>
      <c r="N6351" s="676" t="s">
        <v>1240</v>
      </c>
    </row>
    <row r="6352" spans="1:14" x14ac:dyDescent="0.25">
      <c r="A6352" s="678">
        <f t="shared" si="175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/>
      <c r="L6352" s="678" t="s">
        <v>266</v>
      </c>
      <c r="M6352" s="678">
        <v>18168.140000000007</v>
      </c>
      <c r="N6352" s="678" t="s">
        <v>1237</v>
      </c>
    </row>
    <row r="6353" spans="1:14" x14ac:dyDescent="0.25">
      <c r="A6353" s="676">
        <f t="shared" si="175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/>
      <c r="L6353" s="676" t="s">
        <v>266</v>
      </c>
      <c r="M6353" s="676">
        <v>18064.3</v>
      </c>
      <c r="N6353" s="676" t="s">
        <v>1239</v>
      </c>
    </row>
    <row r="6354" spans="1:14" x14ac:dyDescent="0.25">
      <c r="A6354" s="678">
        <f t="shared" si="175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/>
      <c r="L6354" s="678" t="s">
        <v>266</v>
      </c>
      <c r="M6354" s="678">
        <v>18025.2</v>
      </c>
      <c r="N6354" s="678" t="s">
        <v>1240</v>
      </c>
    </row>
    <row r="6355" spans="1:14" x14ac:dyDescent="0.25">
      <c r="A6355" s="676">
        <f t="shared" si="175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/>
      <c r="L6355" s="676" t="s">
        <v>266</v>
      </c>
      <c r="M6355" s="676">
        <v>17596</v>
      </c>
      <c r="N6355" s="676" t="s">
        <v>1241</v>
      </c>
    </row>
    <row r="6356" spans="1:14" x14ac:dyDescent="0.25">
      <c r="A6356" s="678">
        <f t="shared" si="175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/>
      <c r="L6356" s="678" t="s">
        <v>266</v>
      </c>
      <c r="M6356" s="678">
        <v>18029.8</v>
      </c>
      <c r="N6356" s="678" t="s">
        <v>1242</v>
      </c>
    </row>
    <row r="6357" spans="1:14" x14ac:dyDescent="0.25">
      <c r="A6357" s="676">
        <f t="shared" ref="A6357:A6415" si="176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/>
      <c r="L6357" s="676" t="s">
        <v>265</v>
      </c>
      <c r="M6357" s="676">
        <v>3410.4</v>
      </c>
      <c r="N6357" s="676" t="s">
        <v>1236</v>
      </c>
    </row>
    <row r="6358" spans="1:14" x14ac:dyDescent="0.25">
      <c r="A6358" s="676">
        <f t="shared" si="176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/>
      <c r="L6358" s="676" t="s">
        <v>265</v>
      </c>
      <c r="M6358" s="676">
        <v>14337.48</v>
      </c>
      <c r="N6358" s="676" t="s">
        <v>1236</v>
      </c>
    </row>
    <row r="6359" spans="1:14" x14ac:dyDescent="0.25">
      <c r="A6359" s="678">
        <f t="shared" si="176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/>
      <c r="L6359" s="678" t="s">
        <v>265</v>
      </c>
      <c r="M6359" s="678">
        <v>17674.800000000003</v>
      </c>
      <c r="N6359" s="678" t="s">
        <v>1237</v>
      </c>
    </row>
    <row r="6360" spans="1:14" x14ac:dyDescent="0.25">
      <c r="A6360" s="676">
        <f t="shared" si="176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/>
      <c r="L6360" s="676" t="s">
        <v>266</v>
      </c>
      <c r="M6360" s="676">
        <v>12678.2</v>
      </c>
      <c r="N6360" s="676" t="s">
        <v>1239</v>
      </c>
    </row>
    <row r="6361" spans="1:14" x14ac:dyDescent="0.25">
      <c r="A6361" s="676">
        <f t="shared" si="176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/>
      <c r="L6361" s="676" t="s">
        <v>266</v>
      </c>
      <c r="M6361" s="676">
        <v>5515.3899999999994</v>
      </c>
      <c r="N6361" s="676" t="s">
        <v>1239</v>
      </c>
    </row>
    <row r="6362" spans="1:14" x14ac:dyDescent="0.25">
      <c r="A6362" s="678">
        <f t="shared" si="176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/>
      <c r="L6362" s="678" t="s">
        <v>265</v>
      </c>
      <c r="M6362" s="678">
        <v>12851.480000000001</v>
      </c>
      <c r="N6362" s="678" t="s">
        <v>1236</v>
      </c>
    </row>
    <row r="6363" spans="1:14" x14ac:dyDescent="0.25">
      <c r="A6363" s="676">
        <f t="shared" si="176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/>
      <c r="L6363" s="676" t="s">
        <v>265</v>
      </c>
      <c r="M6363" s="676">
        <v>17677</v>
      </c>
      <c r="N6363" s="676" t="s">
        <v>1236</v>
      </c>
    </row>
    <row r="6364" spans="1:14" x14ac:dyDescent="0.25">
      <c r="A6364" s="678">
        <f t="shared" si="176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/>
      <c r="L6364" s="678" t="s">
        <v>28</v>
      </c>
      <c r="M6364" s="678">
        <v>8549.4</v>
      </c>
      <c r="N6364" s="678" t="s">
        <v>1237</v>
      </c>
    </row>
    <row r="6365" spans="1:14" ht="56.25" x14ac:dyDescent="0.25">
      <c r="A6365" s="678">
        <f t="shared" si="176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/>
      <c r="L6365" s="678" t="s">
        <v>28</v>
      </c>
      <c r="M6365" s="678">
        <v>1021.44</v>
      </c>
      <c r="N6365" s="678" t="s">
        <v>1237</v>
      </c>
    </row>
    <row r="6366" spans="1:14" x14ac:dyDescent="0.25">
      <c r="A6366" s="678">
        <f t="shared" si="176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/>
      <c r="L6366" s="678" t="s">
        <v>28</v>
      </c>
      <c r="M6366" s="678">
        <v>7700.08</v>
      </c>
      <c r="N6366" s="678" t="s">
        <v>1237</v>
      </c>
    </row>
    <row r="6367" spans="1:14" x14ac:dyDescent="0.25">
      <c r="A6367" s="676">
        <f t="shared" si="176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/>
      <c r="L6367" s="676" t="s">
        <v>28</v>
      </c>
      <c r="M6367" s="676">
        <v>15626.220000000003</v>
      </c>
      <c r="N6367" s="676" t="s">
        <v>1239</v>
      </c>
    </row>
    <row r="6368" spans="1:14" x14ac:dyDescent="0.25">
      <c r="A6368" s="676">
        <f t="shared" si="176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/>
      <c r="L6368" s="676" t="s">
        <v>28</v>
      </c>
      <c r="M6368" s="676">
        <v>1625.82</v>
      </c>
      <c r="N6368" s="676" t="s">
        <v>1239</v>
      </c>
    </row>
    <row r="6369" spans="1:14" x14ac:dyDescent="0.25">
      <c r="A6369" s="678">
        <f t="shared" si="176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/>
      <c r="L6369" s="678" t="s">
        <v>28</v>
      </c>
      <c r="M6369" s="678">
        <v>14073.56</v>
      </c>
      <c r="N6369" s="678" t="s">
        <v>1240</v>
      </c>
    </row>
    <row r="6370" spans="1:14" x14ac:dyDescent="0.25">
      <c r="A6370" s="678">
        <f t="shared" si="176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/>
      <c r="L6370" s="678" t="s">
        <v>28</v>
      </c>
      <c r="M6370" s="678">
        <v>3315</v>
      </c>
      <c r="N6370" s="678" t="s">
        <v>1240</v>
      </c>
    </row>
    <row r="6371" spans="1:14" x14ac:dyDescent="0.25">
      <c r="A6371" s="676">
        <f t="shared" si="176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/>
      <c r="L6371" s="676" t="s">
        <v>28</v>
      </c>
      <c r="M6371" s="676">
        <v>7391.7199999999993</v>
      </c>
      <c r="N6371" s="676" t="s">
        <v>1241</v>
      </c>
    </row>
    <row r="6372" spans="1:14" x14ac:dyDescent="0.25">
      <c r="A6372" s="676">
        <f t="shared" si="176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/>
      <c r="L6372" s="676" t="s">
        <v>28</v>
      </c>
      <c r="M6372" s="676">
        <v>10007.4</v>
      </c>
      <c r="N6372" s="676" t="s">
        <v>1241</v>
      </c>
    </row>
    <row r="6373" spans="1:14" x14ac:dyDescent="0.25">
      <c r="A6373" s="678">
        <f t="shared" si="176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/>
      <c r="L6373" s="678" t="s">
        <v>28</v>
      </c>
      <c r="M6373" s="678">
        <v>16018.64</v>
      </c>
      <c r="N6373" s="678" t="s">
        <v>1242</v>
      </c>
    </row>
    <row r="6374" spans="1:14" x14ac:dyDescent="0.25">
      <c r="A6374" s="678">
        <f t="shared" si="176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/>
      <c r="L6374" s="678" t="s">
        <v>28</v>
      </c>
      <c r="M6374" s="678">
        <v>1415.4</v>
      </c>
      <c r="N6374" s="678" t="s">
        <v>1242</v>
      </c>
    </row>
    <row r="6375" spans="1:14" x14ac:dyDescent="0.25">
      <c r="A6375" s="676">
        <f t="shared" si="176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/>
      <c r="L6375" s="676" t="s">
        <v>28</v>
      </c>
      <c r="M6375" s="676">
        <v>17445.329999999998</v>
      </c>
      <c r="N6375" s="676" t="s">
        <v>1306</v>
      </c>
    </row>
    <row r="6376" spans="1:14" x14ac:dyDescent="0.25">
      <c r="A6376" s="678">
        <f t="shared" si="176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/>
      <c r="L6376" s="678" t="s">
        <v>265</v>
      </c>
      <c r="M6376" s="678">
        <v>16201.259999999998</v>
      </c>
      <c r="N6376" s="678" t="s">
        <v>1236</v>
      </c>
    </row>
    <row r="6377" spans="1:14" x14ac:dyDescent="0.25">
      <c r="A6377" s="678">
        <f t="shared" si="176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/>
      <c r="L6377" s="678" t="s">
        <v>265</v>
      </c>
      <c r="M6377" s="678">
        <v>1371.36</v>
      </c>
      <c r="N6377" s="678" t="s">
        <v>1236</v>
      </c>
    </row>
    <row r="6378" spans="1:14" ht="37.5" x14ac:dyDescent="0.25">
      <c r="A6378" s="676">
        <f t="shared" si="176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/>
      <c r="L6378" s="676" t="s">
        <v>265</v>
      </c>
      <c r="M6378" s="676">
        <v>6336</v>
      </c>
      <c r="N6378" s="676" t="s">
        <v>1237</v>
      </c>
    </row>
    <row r="6379" spans="1:14" ht="37.5" x14ac:dyDescent="0.25">
      <c r="A6379" s="678">
        <f t="shared" si="176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/>
      <c r="L6379" s="678" t="s">
        <v>265</v>
      </c>
      <c r="M6379" s="678">
        <v>8569.84</v>
      </c>
      <c r="N6379" s="678" t="s">
        <v>1393</v>
      </c>
    </row>
    <row r="6380" spans="1:14" ht="56.25" x14ac:dyDescent="0.25">
      <c r="A6380" s="676">
        <f t="shared" si="176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/>
      <c r="L6380" s="676" t="s">
        <v>28</v>
      </c>
      <c r="M6380" s="676">
        <v>9029.52</v>
      </c>
      <c r="N6380" s="676" t="s">
        <v>1403</v>
      </c>
    </row>
    <row r="6381" spans="1:14" x14ac:dyDescent="0.25">
      <c r="A6381" s="678">
        <f t="shared" si="176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/>
      <c r="L6381" s="678" t="s">
        <v>265</v>
      </c>
      <c r="M6381" s="678">
        <v>15870.54</v>
      </c>
      <c r="N6381" s="678" t="s">
        <v>1236</v>
      </c>
    </row>
    <row r="6382" spans="1:14" x14ac:dyDescent="0.25">
      <c r="A6382" s="678">
        <f t="shared" si="176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/>
      <c r="L6382" s="678" t="s">
        <v>265</v>
      </c>
      <c r="M6382" s="678">
        <v>1870.7</v>
      </c>
      <c r="N6382" s="678" t="s">
        <v>1236</v>
      </c>
    </row>
    <row r="6383" spans="1:14" x14ac:dyDescent="0.25">
      <c r="A6383" s="676">
        <f t="shared" si="176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/>
      <c r="L6383" s="676" t="s">
        <v>265</v>
      </c>
      <c r="M6383" s="676">
        <v>17778.09</v>
      </c>
      <c r="N6383" s="676" t="s">
        <v>1237</v>
      </c>
    </row>
    <row r="6384" spans="1:14" x14ac:dyDescent="0.25">
      <c r="A6384" s="678">
        <f t="shared" si="176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/>
      <c r="L6384" s="678" t="s">
        <v>266</v>
      </c>
      <c r="M6384" s="678">
        <v>4672.1499999999996</v>
      </c>
      <c r="N6384" s="678" t="s">
        <v>1393</v>
      </c>
    </row>
    <row r="6385" spans="1:14" x14ac:dyDescent="0.25">
      <c r="A6385" s="678">
        <f t="shared" si="176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/>
      <c r="L6385" s="678" t="s">
        <v>266</v>
      </c>
      <c r="M6385" s="678">
        <v>4082.6000000000004</v>
      </c>
      <c r="N6385" s="678" t="s">
        <v>1393</v>
      </c>
    </row>
    <row r="6386" spans="1:14" x14ac:dyDescent="0.25">
      <c r="A6386" s="678">
        <f t="shared" si="176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/>
      <c r="L6386" s="678" t="s">
        <v>266</v>
      </c>
      <c r="M6386" s="678">
        <v>6357</v>
      </c>
      <c r="N6386" s="678" t="s">
        <v>1393</v>
      </c>
    </row>
    <row r="6387" spans="1:14" x14ac:dyDescent="0.25">
      <c r="A6387" s="676">
        <f t="shared" si="176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/>
      <c r="L6387" s="676" t="s">
        <v>28</v>
      </c>
      <c r="M6387" s="676">
        <v>2922.4799999999996</v>
      </c>
      <c r="N6387" s="676" t="s">
        <v>1239</v>
      </c>
    </row>
    <row r="6388" spans="1:14" x14ac:dyDescent="0.25">
      <c r="A6388" s="676">
        <f t="shared" si="176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/>
      <c r="L6388" s="676" t="s">
        <v>266</v>
      </c>
      <c r="M6388" s="676">
        <v>14401.6</v>
      </c>
      <c r="N6388" s="676" t="s">
        <v>1239</v>
      </c>
    </row>
    <row r="6389" spans="1:14" x14ac:dyDescent="0.25">
      <c r="A6389" s="678">
        <f t="shared" si="176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/>
      <c r="L6389" s="678" t="s">
        <v>28</v>
      </c>
      <c r="M6389" s="678">
        <v>7119.44</v>
      </c>
      <c r="N6389" s="678" t="s">
        <v>1240</v>
      </c>
    </row>
    <row r="6390" spans="1:14" x14ac:dyDescent="0.25">
      <c r="A6390" s="678">
        <f t="shared" si="176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/>
      <c r="L6390" s="678" t="s">
        <v>28</v>
      </c>
      <c r="M6390" s="678">
        <v>7751.69</v>
      </c>
      <c r="N6390" s="678" t="s">
        <v>1240</v>
      </c>
    </row>
    <row r="6391" spans="1:14" x14ac:dyDescent="0.25">
      <c r="A6391" s="678">
        <f t="shared" si="176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/>
      <c r="L6391" s="678" t="s">
        <v>28</v>
      </c>
      <c r="M6391" s="678">
        <v>2703.36</v>
      </c>
      <c r="N6391" s="678" t="s">
        <v>1240</v>
      </c>
    </row>
    <row r="6392" spans="1:14" x14ac:dyDescent="0.25">
      <c r="A6392" s="676">
        <f t="shared" si="176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/>
      <c r="L6392" s="676" t="s">
        <v>28</v>
      </c>
      <c r="M6392" s="676">
        <v>9795.119999999999</v>
      </c>
      <c r="N6392" s="676" t="s">
        <v>1241</v>
      </c>
    </row>
    <row r="6393" spans="1:14" x14ac:dyDescent="0.25">
      <c r="A6393" s="676">
        <f t="shared" si="176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/>
      <c r="L6393" s="676" t="s">
        <v>28</v>
      </c>
      <c r="M6393" s="676">
        <v>7669.9800000000005</v>
      </c>
      <c r="N6393" s="676" t="s">
        <v>1241</v>
      </c>
    </row>
    <row r="6394" spans="1:14" x14ac:dyDescent="0.25">
      <c r="A6394" s="678">
        <f t="shared" si="176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/>
      <c r="L6394" s="678" t="s">
        <v>265</v>
      </c>
      <c r="M6394" s="678">
        <v>12033</v>
      </c>
      <c r="N6394" s="678" t="s">
        <v>1236</v>
      </c>
    </row>
    <row r="6395" spans="1:14" x14ac:dyDescent="0.25">
      <c r="A6395" s="676">
        <f t="shared" si="176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/>
      <c r="L6395" s="676" t="s">
        <v>28</v>
      </c>
      <c r="M6395" s="676">
        <v>6828.92</v>
      </c>
      <c r="N6395" s="676" t="s">
        <v>1237</v>
      </c>
    </row>
    <row r="6396" spans="1:14" x14ac:dyDescent="0.25">
      <c r="A6396" s="676">
        <f t="shared" si="176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/>
      <c r="L6396" s="676" t="s">
        <v>28</v>
      </c>
      <c r="M6396" s="676">
        <v>6927.6</v>
      </c>
      <c r="N6396" s="676" t="s">
        <v>1237</v>
      </c>
    </row>
    <row r="6397" spans="1:14" x14ac:dyDescent="0.25">
      <c r="A6397" s="678">
        <f t="shared" si="176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/>
      <c r="L6397" s="678" t="s">
        <v>28</v>
      </c>
      <c r="M6397" s="678">
        <v>881.4</v>
      </c>
      <c r="N6397" s="678" t="s">
        <v>1239</v>
      </c>
    </row>
    <row r="6398" spans="1:14" x14ac:dyDescent="0.25">
      <c r="A6398" s="678">
        <f t="shared" si="176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/>
      <c r="L6398" s="678" t="s">
        <v>28</v>
      </c>
      <c r="M6398" s="678">
        <v>9771.119999999999</v>
      </c>
      <c r="N6398" s="678" t="s">
        <v>1239</v>
      </c>
    </row>
    <row r="6399" spans="1:14" x14ac:dyDescent="0.25">
      <c r="A6399" s="676">
        <f t="shared" si="176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/>
      <c r="L6399" s="676" t="s">
        <v>28</v>
      </c>
      <c r="M6399" s="676">
        <v>9821.7199999999993</v>
      </c>
      <c r="N6399" s="676" t="s">
        <v>1240</v>
      </c>
    </row>
    <row r="6400" spans="1:14" x14ac:dyDescent="0.25">
      <c r="A6400" s="678">
        <f t="shared" si="176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/>
      <c r="L6400" s="678" t="s">
        <v>28</v>
      </c>
      <c r="M6400" s="678">
        <v>4313.28</v>
      </c>
      <c r="N6400" s="678" t="s">
        <v>1241</v>
      </c>
    </row>
    <row r="6401" spans="1:14" x14ac:dyDescent="0.25">
      <c r="A6401" s="678">
        <f t="shared" si="176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/>
      <c r="L6401" s="678" t="s">
        <v>28</v>
      </c>
      <c r="M6401" s="678">
        <v>6904.7999999999993</v>
      </c>
      <c r="N6401" s="678" t="s">
        <v>1241</v>
      </c>
    </row>
    <row r="6402" spans="1:14" x14ac:dyDescent="0.25">
      <c r="A6402" s="676">
        <f t="shared" si="176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/>
      <c r="L6402" s="676" t="s">
        <v>265</v>
      </c>
      <c r="M6402" s="676">
        <v>17657.22</v>
      </c>
      <c r="N6402" s="676" t="s">
        <v>1236</v>
      </c>
    </row>
    <row r="6403" spans="1:14" ht="37.5" x14ac:dyDescent="0.25">
      <c r="A6403" s="678">
        <f t="shared" si="176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/>
      <c r="L6403" s="678" t="s">
        <v>265</v>
      </c>
      <c r="M6403" s="678">
        <v>3237</v>
      </c>
      <c r="N6403" s="678" t="s">
        <v>1237</v>
      </c>
    </row>
    <row r="6404" spans="1:14" ht="37.5" x14ac:dyDescent="0.25">
      <c r="A6404" s="678">
        <f t="shared" si="176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/>
      <c r="L6404" s="678" t="s">
        <v>265</v>
      </c>
      <c r="M6404" s="678">
        <v>10087.720000000001</v>
      </c>
      <c r="N6404" s="678" t="s">
        <v>1393</v>
      </c>
    </row>
    <row r="6405" spans="1:14" x14ac:dyDescent="0.25">
      <c r="A6405" s="676">
        <f t="shared" si="176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/>
      <c r="L6405" s="676" t="s">
        <v>266</v>
      </c>
      <c r="M6405" s="676">
        <v>15450.300000000003</v>
      </c>
      <c r="N6405" s="676" t="s">
        <v>1242</v>
      </c>
    </row>
    <row r="6406" spans="1:14" x14ac:dyDescent="0.25">
      <c r="A6406" s="678">
        <f t="shared" si="176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/>
      <c r="L6406" s="678" t="s">
        <v>266</v>
      </c>
      <c r="M6406" s="678">
        <v>18224.86</v>
      </c>
      <c r="N6406" s="678" t="s">
        <v>1237</v>
      </c>
    </row>
    <row r="6407" spans="1:14" x14ac:dyDescent="0.25">
      <c r="A6407" s="676">
        <f t="shared" si="176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/>
      <c r="L6407" s="676" t="s">
        <v>266</v>
      </c>
      <c r="M6407" s="676">
        <v>18120.96</v>
      </c>
      <c r="N6407" s="676" t="s">
        <v>1239</v>
      </c>
    </row>
    <row r="6408" spans="1:14" x14ac:dyDescent="0.25">
      <c r="A6408" s="678">
        <f t="shared" si="176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/>
      <c r="L6408" s="678" t="s">
        <v>266</v>
      </c>
      <c r="M6408" s="678">
        <v>18003</v>
      </c>
      <c r="N6408" s="678" t="s">
        <v>1240</v>
      </c>
    </row>
    <row r="6409" spans="1:14" x14ac:dyDescent="0.25">
      <c r="A6409" s="676">
        <f t="shared" si="176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/>
      <c r="L6409" s="676" t="s">
        <v>266</v>
      </c>
      <c r="M6409" s="676">
        <v>17424.239999999998</v>
      </c>
      <c r="N6409" s="676" t="s">
        <v>1241</v>
      </c>
    </row>
    <row r="6410" spans="1:14" x14ac:dyDescent="0.25">
      <c r="A6410" s="678">
        <f t="shared" si="176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/>
      <c r="L6410" s="678" t="s">
        <v>266</v>
      </c>
      <c r="M6410" s="678">
        <v>10292.960000000003</v>
      </c>
      <c r="N6410" s="678" t="s">
        <v>1242</v>
      </c>
    </row>
    <row r="6411" spans="1:14" x14ac:dyDescent="0.25">
      <c r="A6411" s="678">
        <f t="shared" si="176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/>
      <c r="L6411" s="678" t="s">
        <v>266</v>
      </c>
      <c r="M6411" s="678">
        <v>7671.0400000000018</v>
      </c>
      <c r="N6411" s="678" t="s">
        <v>1242</v>
      </c>
    </row>
    <row r="6412" spans="1:14" x14ac:dyDescent="0.25">
      <c r="A6412" s="676">
        <f t="shared" si="176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/>
      <c r="L6412" s="676" t="s">
        <v>265</v>
      </c>
      <c r="M6412" s="676">
        <v>3047.8</v>
      </c>
      <c r="N6412" s="676" t="s">
        <v>1236</v>
      </c>
    </row>
    <row r="6413" spans="1:14" x14ac:dyDescent="0.25">
      <c r="A6413" s="676">
        <f t="shared" si="176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/>
      <c r="L6413" s="676" t="s">
        <v>265</v>
      </c>
      <c r="M6413" s="676">
        <v>14538.96</v>
      </c>
      <c r="N6413" s="676" t="s">
        <v>1236</v>
      </c>
    </row>
    <row r="6414" spans="1:14" x14ac:dyDescent="0.25">
      <c r="A6414" s="678">
        <f t="shared" si="176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/>
      <c r="L6414" s="678" t="s">
        <v>265</v>
      </c>
      <c r="M6414" s="678">
        <v>17630.3</v>
      </c>
      <c r="N6414" s="678" t="s">
        <v>1237</v>
      </c>
    </row>
    <row r="6415" spans="1:14" x14ac:dyDescent="0.25">
      <c r="A6415" s="676">
        <f t="shared" si="176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/>
      <c r="L6415" s="676" t="s">
        <v>265</v>
      </c>
      <c r="M6415" s="676">
        <v>17630.3</v>
      </c>
      <c r="N6415" s="676" t="s">
        <v>1239</v>
      </c>
    </row>
    <row r="6416" spans="1:14" x14ac:dyDescent="0.25">
      <c r="A6416" s="678">
        <f t="shared" ref="A6416:A6429" si="177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/>
      <c r="L6416" s="678" t="s">
        <v>265</v>
      </c>
      <c r="M6416" s="678">
        <v>9565.92</v>
      </c>
      <c r="N6416" s="678" t="s">
        <v>1236</v>
      </c>
    </row>
    <row r="6417" spans="1:14" x14ac:dyDescent="0.25">
      <c r="A6417" s="676">
        <f t="shared" si="177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/>
      <c r="L6417" s="676" t="s">
        <v>265</v>
      </c>
      <c r="M6417" s="676">
        <v>9565.92</v>
      </c>
      <c r="N6417" s="676" t="s">
        <v>1237</v>
      </c>
    </row>
    <row r="6418" spans="1:14" x14ac:dyDescent="0.25">
      <c r="A6418" s="678">
        <f t="shared" si="177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/>
      <c r="L6418" s="678" t="s">
        <v>265</v>
      </c>
      <c r="M6418" s="678">
        <v>13688.039999999999</v>
      </c>
      <c r="N6418" s="678" t="s">
        <v>1239</v>
      </c>
    </row>
    <row r="6419" spans="1:14" x14ac:dyDescent="0.25">
      <c r="A6419" s="676">
        <f t="shared" si="177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/>
      <c r="L6419" s="676" t="s">
        <v>28</v>
      </c>
      <c r="M6419" s="676">
        <v>9261</v>
      </c>
      <c r="N6419" s="676" t="s">
        <v>1240</v>
      </c>
    </row>
    <row r="6420" spans="1:14" x14ac:dyDescent="0.25">
      <c r="A6420" s="678">
        <f t="shared" si="177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/>
      <c r="L6420" s="678" t="s">
        <v>266</v>
      </c>
      <c r="M6420" s="678">
        <v>18088.640000000003</v>
      </c>
      <c r="N6420" s="678" t="s">
        <v>1240</v>
      </c>
    </row>
    <row r="6421" spans="1:14" x14ac:dyDescent="0.25">
      <c r="A6421" s="676">
        <f t="shared" si="177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/>
      <c r="L6421" s="676" t="s">
        <v>265</v>
      </c>
      <c r="M6421" s="676">
        <v>17746.230000000003</v>
      </c>
      <c r="N6421" s="676" t="s">
        <v>1236</v>
      </c>
    </row>
    <row r="6422" spans="1:14" x14ac:dyDescent="0.25">
      <c r="A6422" s="678">
        <f t="shared" si="177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/>
      <c r="L6422" s="678" t="s">
        <v>265</v>
      </c>
      <c r="M6422" s="678">
        <v>17746.230000000003</v>
      </c>
      <c r="N6422" s="678" t="s">
        <v>1237</v>
      </c>
    </row>
    <row r="6423" spans="1:14" x14ac:dyDescent="0.25">
      <c r="A6423" s="676">
        <f t="shared" si="177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/>
      <c r="L6423" s="676" t="s">
        <v>28</v>
      </c>
      <c r="M6423" s="676">
        <v>8527.14</v>
      </c>
      <c r="N6423" s="676" t="s">
        <v>1239</v>
      </c>
    </row>
    <row r="6424" spans="1:14" x14ac:dyDescent="0.25">
      <c r="A6424" s="676">
        <f t="shared" si="177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/>
      <c r="L6424" s="676" t="s">
        <v>28</v>
      </c>
      <c r="M6424" s="676">
        <v>1495.14</v>
      </c>
      <c r="N6424" s="676" t="s">
        <v>1239</v>
      </c>
    </row>
    <row r="6425" spans="1:14" x14ac:dyDescent="0.25">
      <c r="A6425" s="676">
        <f t="shared" si="177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/>
      <c r="L6425" s="676" t="s">
        <v>28</v>
      </c>
      <c r="M6425" s="676">
        <v>7454.92</v>
      </c>
      <c r="N6425" s="676" t="s">
        <v>1239</v>
      </c>
    </row>
    <row r="6426" spans="1:14" x14ac:dyDescent="0.25">
      <c r="A6426" s="678">
        <f t="shared" si="177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/>
      <c r="L6426" s="678" t="s">
        <v>28</v>
      </c>
      <c r="M6426" s="678">
        <v>7974.44</v>
      </c>
      <c r="N6426" s="678" t="s">
        <v>1240</v>
      </c>
    </row>
    <row r="6427" spans="1:14" ht="56.25" x14ac:dyDescent="0.25">
      <c r="A6427" s="678">
        <f t="shared" si="177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/>
      <c r="L6427" s="678" t="s">
        <v>28</v>
      </c>
      <c r="M6427" s="678">
        <v>674.88</v>
      </c>
      <c r="N6427" s="678" t="s">
        <v>1240</v>
      </c>
    </row>
    <row r="6428" spans="1:14" x14ac:dyDescent="0.25">
      <c r="A6428" s="678">
        <f t="shared" si="177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/>
      <c r="L6428" s="678" t="s">
        <v>28</v>
      </c>
      <c r="M6428" s="678">
        <v>8775.36</v>
      </c>
      <c r="N6428" s="678" t="s">
        <v>1240</v>
      </c>
    </row>
    <row r="6429" spans="1:14" x14ac:dyDescent="0.25">
      <c r="A6429" s="676">
        <f t="shared" si="177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/>
      <c r="L6429" s="676" t="s">
        <v>28</v>
      </c>
      <c r="M6429" s="676">
        <v>11751.34</v>
      </c>
      <c r="N6429" s="676" t="s">
        <v>1241</v>
      </c>
    </row>
    <row r="6430" spans="1:14" x14ac:dyDescent="0.25">
      <c r="A6430" s="676">
        <f t="shared" ref="A6430:A6493" si="178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/>
      <c r="L6430" s="676" t="s">
        <v>28</v>
      </c>
      <c r="M6430" s="676">
        <v>5724.78</v>
      </c>
      <c r="N6430" s="676" t="s">
        <v>1241</v>
      </c>
    </row>
    <row r="6431" spans="1:14" x14ac:dyDescent="0.25">
      <c r="A6431" s="678">
        <f t="shared" si="178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/>
      <c r="L6431" s="678" t="s">
        <v>28</v>
      </c>
      <c r="M6431" s="678">
        <v>9213.27</v>
      </c>
      <c r="N6431" s="678" t="s">
        <v>1242</v>
      </c>
    </row>
    <row r="6432" spans="1:14" x14ac:dyDescent="0.25">
      <c r="A6432" s="678">
        <f t="shared" si="178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/>
      <c r="L6432" s="678" t="s">
        <v>28</v>
      </c>
      <c r="M6432" s="678">
        <v>2964.36</v>
      </c>
      <c r="N6432" s="678" t="s">
        <v>1242</v>
      </c>
    </row>
    <row r="6433" spans="1:14" x14ac:dyDescent="0.25">
      <c r="A6433" s="678">
        <f t="shared" si="178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/>
      <c r="L6433" s="678" t="s">
        <v>28</v>
      </c>
      <c r="M6433" s="678">
        <v>5244.6399999999994</v>
      </c>
      <c r="N6433" s="678" t="s">
        <v>1242</v>
      </c>
    </row>
    <row r="6434" spans="1:14" x14ac:dyDescent="0.25">
      <c r="A6434" s="676">
        <f t="shared" si="178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/>
      <c r="L6434" s="676" t="s">
        <v>266</v>
      </c>
      <c r="M6434" s="676">
        <v>7492.35</v>
      </c>
      <c r="N6434" s="676" t="s">
        <v>1306</v>
      </c>
    </row>
    <row r="6435" spans="1:14" ht="37.5" x14ac:dyDescent="0.25">
      <c r="A6435" s="678">
        <f t="shared" si="178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/>
      <c r="L6435" s="678" t="s">
        <v>28</v>
      </c>
      <c r="M6435" s="678">
        <v>9855.3200000000015</v>
      </c>
      <c r="N6435" s="695" t="s">
        <v>1419</v>
      </c>
    </row>
    <row r="6436" spans="1:14" x14ac:dyDescent="0.25">
      <c r="A6436" s="676">
        <f t="shared" si="178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/>
      <c r="L6436" s="676" t="s">
        <v>266</v>
      </c>
      <c r="M6436" s="676">
        <v>10327.919999999998</v>
      </c>
      <c r="N6436" s="676" t="s">
        <v>1306</v>
      </c>
    </row>
    <row r="6437" spans="1:14" x14ac:dyDescent="0.25">
      <c r="A6437" s="678">
        <f t="shared" si="178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/>
      <c r="L6437" s="678" t="s">
        <v>266</v>
      </c>
      <c r="M6437" s="678">
        <v>17914.8</v>
      </c>
      <c r="N6437" s="678" t="s">
        <v>1418</v>
      </c>
    </row>
    <row r="6438" spans="1:14" x14ac:dyDescent="0.25">
      <c r="A6438" s="676">
        <f t="shared" si="178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/>
      <c r="L6438" s="676" t="s">
        <v>28</v>
      </c>
      <c r="M6438" s="676">
        <v>2220</v>
      </c>
      <c r="N6438" s="676" t="s">
        <v>1419</v>
      </c>
    </row>
    <row r="6439" spans="1:14" x14ac:dyDescent="0.25">
      <c r="A6439" s="676">
        <f t="shared" si="178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/>
      <c r="L6439" s="676" t="s">
        <v>28</v>
      </c>
      <c r="M6439" s="676">
        <v>691.26</v>
      </c>
      <c r="N6439" s="676" t="s">
        <v>1419</v>
      </c>
    </row>
    <row r="6440" spans="1:14" x14ac:dyDescent="0.25">
      <c r="A6440" s="676">
        <f t="shared" si="178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/>
      <c r="L6440" s="676" t="s">
        <v>266</v>
      </c>
      <c r="M6440" s="676">
        <v>2610</v>
      </c>
      <c r="N6440" s="676" t="s">
        <v>1419</v>
      </c>
    </row>
    <row r="6441" spans="1:14" ht="37.5" x14ac:dyDescent="0.25">
      <c r="A6441" s="678">
        <f t="shared" si="178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/>
      <c r="L6441" s="678" t="s">
        <v>265</v>
      </c>
      <c r="M6441" s="678">
        <v>8022</v>
      </c>
      <c r="N6441" s="678" t="s">
        <v>1237</v>
      </c>
    </row>
    <row r="6442" spans="1:14" x14ac:dyDescent="0.25">
      <c r="A6442" s="676">
        <f t="shared" si="178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/>
      <c r="L6442" s="676" t="s">
        <v>265</v>
      </c>
      <c r="M6442" s="676">
        <v>16581.060000000001</v>
      </c>
      <c r="N6442" s="676" t="s">
        <v>1236</v>
      </c>
    </row>
    <row r="6443" spans="1:14" x14ac:dyDescent="0.25">
      <c r="A6443" s="676">
        <f t="shared" si="178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/>
      <c r="L6443" s="676" t="s">
        <v>265</v>
      </c>
      <c r="M6443" s="676">
        <v>1054.4399999999998</v>
      </c>
      <c r="N6443" s="676" t="s">
        <v>1236</v>
      </c>
    </row>
    <row r="6444" spans="1:14" x14ac:dyDescent="0.25">
      <c r="A6444" s="678">
        <f t="shared" si="178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/>
      <c r="L6444" s="678" t="s">
        <v>265</v>
      </c>
      <c r="M6444" s="678">
        <v>6978.2000000000007</v>
      </c>
      <c r="N6444" s="678" t="s">
        <v>1393</v>
      </c>
    </row>
    <row r="6445" spans="1:14" ht="37.5" x14ac:dyDescent="0.25">
      <c r="A6445" s="676">
        <f t="shared" si="178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/>
      <c r="L6445" s="676" t="s">
        <v>28</v>
      </c>
      <c r="M6445" s="676">
        <v>11055.56</v>
      </c>
      <c r="N6445" s="676" t="s">
        <v>1418</v>
      </c>
    </row>
    <row r="6446" spans="1:14" x14ac:dyDescent="0.25">
      <c r="A6446" s="678">
        <f t="shared" si="178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/>
      <c r="L6446" s="678" t="s">
        <v>265</v>
      </c>
      <c r="M6446" s="678">
        <v>12645.66</v>
      </c>
      <c r="N6446" s="678" t="s">
        <v>1236</v>
      </c>
    </row>
    <row r="6447" spans="1:14" x14ac:dyDescent="0.25">
      <c r="A6447" s="678">
        <f t="shared" si="178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/>
      <c r="L6447" s="678" t="s">
        <v>265</v>
      </c>
      <c r="M6447" s="678">
        <v>2344.8199999999997</v>
      </c>
      <c r="N6447" s="678" t="s">
        <v>1236</v>
      </c>
    </row>
    <row r="6448" spans="1:14" x14ac:dyDescent="0.25">
      <c r="A6448" s="678">
        <f t="shared" si="178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/>
      <c r="L6448" s="678" t="s">
        <v>265</v>
      </c>
      <c r="M6448" s="678">
        <v>2771</v>
      </c>
      <c r="N6448" s="678" t="s">
        <v>1236</v>
      </c>
    </row>
    <row r="6449" spans="1:14" x14ac:dyDescent="0.25">
      <c r="A6449" s="676">
        <f t="shared" si="178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/>
      <c r="L6449" s="676" t="s">
        <v>28</v>
      </c>
      <c r="M6449" s="676">
        <v>2420.5200000000004</v>
      </c>
      <c r="N6449" s="676" t="s">
        <v>1237</v>
      </c>
    </row>
    <row r="6450" spans="1:14" x14ac:dyDescent="0.25">
      <c r="A6450" s="676">
        <f t="shared" si="178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/>
      <c r="L6450" s="676" t="s">
        <v>266</v>
      </c>
      <c r="M6450" s="676">
        <v>14763.749999999998</v>
      </c>
      <c r="N6450" s="676" t="s">
        <v>1237</v>
      </c>
    </row>
    <row r="6451" spans="1:14" x14ac:dyDescent="0.25">
      <c r="A6451" s="678">
        <f t="shared" si="178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/>
      <c r="L6451" s="678" t="s">
        <v>28</v>
      </c>
      <c r="M6451" s="678">
        <v>4472.3</v>
      </c>
      <c r="N6451" s="678" t="s">
        <v>1239</v>
      </c>
    </row>
    <row r="6452" spans="1:14" x14ac:dyDescent="0.25">
      <c r="A6452" s="678">
        <f t="shared" si="178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/>
      <c r="L6452" s="678" t="s">
        <v>28</v>
      </c>
      <c r="M6452" s="678">
        <v>8015.3199999999988</v>
      </c>
      <c r="N6452" s="678" t="s">
        <v>1239</v>
      </c>
    </row>
    <row r="6453" spans="1:14" x14ac:dyDescent="0.25">
      <c r="A6453" s="678">
        <f t="shared" si="178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/>
      <c r="L6453" s="678" t="s">
        <v>28</v>
      </c>
      <c r="M6453" s="678">
        <v>4930.68</v>
      </c>
      <c r="N6453" s="678" t="s">
        <v>1239</v>
      </c>
    </row>
    <row r="6454" spans="1:14" x14ac:dyDescent="0.25">
      <c r="A6454" s="676">
        <f t="shared" si="178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/>
      <c r="L6454" s="676" t="s">
        <v>28</v>
      </c>
      <c r="M6454" s="676">
        <v>6987.8600000000006</v>
      </c>
      <c r="N6454" s="676" t="s">
        <v>1240</v>
      </c>
    </row>
    <row r="6455" spans="1:14" x14ac:dyDescent="0.25">
      <c r="A6455" s="676">
        <f t="shared" si="178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/>
      <c r="L6455" s="676" t="s">
        <v>28</v>
      </c>
      <c r="M6455" s="676">
        <v>10495.949999999999</v>
      </c>
      <c r="N6455" s="676" t="s">
        <v>1240</v>
      </c>
    </row>
    <row r="6456" spans="1:14" x14ac:dyDescent="0.25">
      <c r="A6456" s="678">
        <f t="shared" si="178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/>
      <c r="L6456" s="678" t="s">
        <v>28</v>
      </c>
      <c r="M6456" s="678">
        <v>7098.92</v>
      </c>
      <c r="N6456" s="678" t="s">
        <v>1237</v>
      </c>
    </row>
    <row r="6457" spans="1:14" x14ac:dyDescent="0.25">
      <c r="A6457" s="678">
        <f t="shared" si="178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/>
      <c r="L6457" s="678" t="s">
        <v>28</v>
      </c>
      <c r="M6457" s="678">
        <v>1624.9199999999998</v>
      </c>
      <c r="N6457" s="678" t="s">
        <v>1237</v>
      </c>
    </row>
    <row r="6458" spans="1:14" x14ac:dyDescent="0.25">
      <c r="A6458" s="678">
        <f t="shared" si="178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/>
      <c r="L6458" s="678" t="s">
        <v>28</v>
      </c>
      <c r="M6458" s="678">
        <v>4362.880000000001</v>
      </c>
      <c r="N6458" s="678" t="s">
        <v>1237</v>
      </c>
    </row>
    <row r="6459" spans="1:14" x14ac:dyDescent="0.25">
      <c r="A6459" s="676">
        <f t="shared" si="178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/>
      <c r="L6459" s="676" t="s">
        <v>28</v>
      </c>
      <c r="M6459" s="676">
        <v>11943.839999999998</v>
      </c>
      <c r="N6459" s="676" t="s">
        <v>1239</v>
      </c>
    </row>
    <row r="6460" spans="1:14" x14ac:dyDescent="0.25">
      <c r="A6460" s="678">
        <f t="shared" si="178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/>
      <c r="L6460" s="678" t="s">
        <v>28</v>
      </c>
      <c r="M6460" s="678">
        <v>2494.3199999999997</v>
      </c>
      <c r="N6460" s="678" t="s">
        <v>1240</v>
      </c>
    </row>
    <row r="6461" spans="1:14" x14ac:dyDescent="0.25">
      <c r="A6461" s="678">
        <f t="shared" si="178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/>
      <c r="L6461" s="678" t="s">
        <v>28</v>
      </c>
      <c r="M6461" s="678">
        <v>9989.4</v>
      </c>
      <c r="N6461" s="678" t="s">
        <v>1240</v>
      </c>
    </row>
    <row r="6462" spans="1:14" x14ac:dyDescent="0.25">
      <c r="A6462" s="676">
        <f t="shared" si="178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/>
      <c r="L6462" s="676" t="s">
        <v>265</v>
      </c>
      <c r="M6462" s="676">
        <v>7592.9599999999991</v>
      </c>
      <c r="N6462" s="676" t="s">
        <v>1393</v>
      </c>
    </row>
    <row r="6463" spans="1:14" x14ac:dyDescent="0.25">
      <c r="A6463" s="676">
        <f t="shared" si="178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/>
      <c r="L6463" s="676" t="s">
        <v>265</v>
      </c>
      <c r="M6463" s="676">
        <v>4690.7999999999993</v>
      </c>
      <c r="N6463" s="676" t="s">
        <v>1393</v>
      </c>
    </row>
    <row r="6464" spans="1:14" ht="37.5" x14ac:dyDescent="0.25">
      <c r="A6464" s="697">
        <f t="shared" si="178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/>
      <c r="J6464" s="703" t="s">
        <v>1428</v>
      </c>
      <c r="K6464" s="697"/>
      <c r="L6464" s="697" t="s">
        <v>265</v>
      </c>
      <c r="M6464" s="697">
        <v>5754.18</v>
      </c>
      <c r="N6464" s="696" t="s">
        <v>1237</v>
      </c>
    </row>
    <row r="6465" spans="1:14" x14ac:dyDescent="0.25">
      <c r="A6465" s="678">
        <f t="shared" si="178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/>
      <c r="L6465" s="678" t="s">
        <v>266</v>
      </c>
      <c r="M6465" s="678">
        <v>2189.7099999999996</v>
      </c>
      <c r="N6465" s="678" t="s">
        <v>1240</v>
      </c>
    </row>
    <row r="6466" spans="1:14" x14ac:dyDescent="0.25">
      <c r="A6466" s="678">
        <f t="shared" si="178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/>
      <c r="L6466" s="678" t="s">
        <v>266</v>
      </c>
      <c r="M6466" s="678">
        <v>13886.820000000002</v>
      </c>
      <c r="N6466" s="678" t="s">
        <v>1240</v>
      </c>
    </row>
    <row r="6467" spans="1:14" x14ac:dyDescent="0.25">
      <c r="A6467" s="676">
        <f t="shared" si="178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/>
      <c r="L6467" s="676" t="s">
        <v>266</v>
      </c>
      <c r="M6467" s="676">
        <v>18157.52</v>
      </c>
      <c r="N6467" s="676" t="s">
        <v>1237</v>
      </c>
    </row>
    <row r="6468" spans="1:14" x14ac:dyDescent="0.25">
      <c r="A6468" s="678">
        <f t="shared" si="178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/>
      <c r="L6468" s="678" t="s">
        <v>266</v>
      </c>
      <c r="M6468" s="678">
        <v>18051.14</v>
      </c>
      <c r="N6468" s="678" t="s">
        <v>1239</v>
      </c>
    </row>
    <row r="6469" spans="1:14" x14ac:dyDescent="0.25">
      <c r="A6469" s="676">
        <f t="shared" si="178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/>
      <c r="L6469" s="676" t="s">
        <v>266</v>
      </c>
      <c r="M6469" s="676">
        <v>18016.199999999997</v>
      </c>
      <c r="N6469" s="676" t="s">
        <v>1240</v>
      </c>
    </row>
    <row r="6470" spans="1:14" x14ac:dyDescent="0.25">
      <c r="A6470" s="678">
        <f t="shared" si="178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/>
      <c r="L6470" s="678" t="s">
        <v>266</v>
      </c>
      <c r="M6470" s="678">
        <v>18015</v>
      </c>
      <c r="N6470" s="678" t="s">
        <v>1241</v>
      </c>
    </row>
    <row r="6471" spans="1:14" x14ac:dyDescent="0.25">
      <c r="A6471" s="676">
        <f t="shared" si="178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/>
      <c r="L6471" s="676" t="s">
        <v>266</v>
      </c>
      <c r="M6471" s="676">
        <v>17991.2</v>
      </c>
      <c r="N6471" s="676" t="s">
        <v>1242</v>
      </c>
    </row>
    <row r="6472" spans="1:14" x14ac:dyDescent="0.25">
      <c r="A6472" s="678">
        <f t="shared" si="178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/>
      <c r="L6472" s="678" t="s">
        <v>265</v>
      </c>
      <c r="M6472" s="678">
        <v>12075.740000000002</v>
      </c>
      <c r="N6472" s="678" t="s">
        <v>1236</v>
      </c>
    </row>
    <row r="6473" spans="1:14" x14ac:dyDescent="0.25">
      <c r="A6473" s="678">
        <f t="shared" si="178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/>
      <c r="L6473" s="678" t="s">
        <v>265</v>
      </c>
      <c r="M6473" s="678">
        <v>5562.5999999999995</v>
      </c>
      <c r="N6473" s="678" t="s">
        <v>1236</v>
      </c>
    </row>
    <row r="6474" spans="1:14" x14ac:dyDescent="0.25">
      <c r="A6474" s="676">
        <f t="shared" si="178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/>
      <c r="L6474" s="676" t="s">
        <v>265</v>
      </c>
      <c r="M6474" s="676">
        <v>17606.879999999997</v>
      </c>
      <c r="N6474" s="676" t="s">
        <v>1237</v>
      </c>
    </row>
    <row r="6475" spans="1:14" x14ac:dyDescent="0.25">
      <c r="A6475" s="678">
        <f t="shared" si="178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/>
      <c r="L6475" s="678" t="s">
        <v>266</v>
      </c>
      <c r="M6475" s="678">
        <v>15296.279999999999</v>
      </c>
      <c r="N6475" s="678" t="s">
        <v>1239</v>
      </c>
    </row>
    <row r="6476" spans="1:14" x14ac:dyDescent="0.25">
      <c r="A6476" s="676">
        <f t="shared" si="178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/>
      <c r="L6476" s="676" t="s">
        <v>266</v>
      </c>
      <c r="M6476" s="676">
        <v>7556.4999999999991</v>
      </c>
      <c r="N6476" s="676" t="s">
        <v>1240</v>
      </c>
    </row>
    <row r="6477" spans="1:14" x14ac:dyDescent="0.25">
      <c r="A6477" s="676">
        <f t="shared" si="178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/>
      <c r="L6477" s="676" t="s">
        <v>266</v>
      </c>
      <c r="M6477" s="676">
        <v>6070.5</v>
      </c>
      <c r="N6477" s="676" t="s">
        <v>1240</v>
      </c>
    </row>
    <row r="6478" spans="1:14" x14ac:dyDescent="0.25">
      <c r="A6478" s="704">
        <f t="shared" si="178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/>
      <c r="J6478" s="710"/>
      <c r="K6478" s="704"/>
      <c r="L6478" s="704" t="s">
        <v>266</v>
      </c>
      <c r="M6478" s="704">
        <v>4446.4800000000005</v>
      </c>
      <c r="N6478" s="704" t="s">
        <v>1240</v>
      </c>
    </row>
    <row r="6479" spans="1:14" x14ac:dyDescent="0.25">
      <c r="A6479" s="678">
        <f t="shared" si="178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/>
      <c r="L6479" s="678" t="s">
        <v>265</v>
      </c>
      <c r="M6479" s="678">
        <v>11750.999999999998</v>
      </c>
      <c r="N6479" s="678" t="s">
        <v>1236</v>
      </c>
    </row>
    <row r="6480" spans="1:14" x14ac:dyDescent="0.25">
      <c r="A6480" s="676">
        <f t="shared" si="178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/>
      <c r="L6480" s="676" t="s">
        <v>265</v>
      </c>
      <c r="M6480" s="676">
        <v>17644.04</v>
      </c>
      <c r="N6480" s="676" t="s">
        <v>1236</v>
      </c>
    </row>
    <row r="6481" spans="1:14" x14ac:dyDescent="0.25">
      <c r="A6481" s="678">
        <f t="shared" si="178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/>
      <c r="L6481" s="678" t="s">
        <v>28</v>
      </c>
      <c r="M6481" s="678">
        <v>9476.1600000000017</v>
      </c>
      <c r="N6481" s="678" t="s">
        <v>1237</v>
      </c>
    </row>
    <row r="6482" spans="1:14" ht="56.25" x14ac:dyDescent="0.25">
      <c r="A6482" s="678">
        <f t="shared" si="178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/>
      <c r="L6482" s="678" t="s">
        <v>28</v>
      </c>
      <c r="M6482" s="678">
        <v>1176.96</v>
      </c>
      <c r="N6482" s="678" t="s">
        <v>1237</v>
      </c>
    </row>
    <row r="6483" spans="1:14" x14ac:dyDescent="0.25">
      <c r="A6483" s="678">
        <f t="shared" si="178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/>
      <c r="L6483" s="678" t="s">
        <v>28</v>
      </c>
      <c r="M6483" s="678">
        <v>6693.28</v>
      </c>
      <c r="N6483" s="678" t="s">
        <v>1237</v>
      </c>
    </row>
    <row r="6484" spans="1:14" x14ac:dyDescent="0.25">
      <c r="A6484" s="676">
        <f t="shared" si="178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/>
      <c r="L6484" s="676" t="s">
        <v>28</v>
      </c>
      <c r="M6484" s="676">
        <v>13050.96</v>
      </c>
      <c r="N6484" s="676" t="s">
        <v>1239</v>
      </c>
    </row>
    <row r="6485" spans="1:14" x14ac:dyDescent="0.25">
      <c r="A6485" s="676">
        <f t="shared" si="178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/>
      <c r="L6485" s="676" t="s">
        <v>28</v>
      </c>
      <c r="M6485" s="676">
        <v>1701.8999999999999</v>
      </c>
      <c r="N6485" s="676" t="s">
        <v>1239</v>
      </c>
    </row>
    <row r="6486" spans="1:14" x14ac:dyDescent="0.25">
      <c r="A6486" s="676">
        <f t="shared" si="178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/>
      <c r="L6486" s="676" t="s">
        <v>266</v>
      </c>
      <c r="M6486" s="676">
        <v>2606.4500000000003</v>
      </c>
      <c r="N6486" s="676" t="s">
        <v>1239</v>
      </c>
    </row>
    <row r="6487" spans="1:14" x14ac:dyDescent="0.25">
      <c r="A6487" s="678">
        <f t="shared" si="178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/>
      <c r="L6487" s="678" t="s">
        <v>28</v>
      </c>
      <c r="M6487" s="678">
        <v>4048.2</v>
      </c>
      <c r="N6487" s="678" t="s">
        <v>1240</v>
      </c>
    </row>
    <row r="6488" spans="1:14" x14ac:dyDescent="0.25">
      <c r="A6488" s="678">
        <f t="shared" si="178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/>
      <c r="L6488" s="678" t="s">
        <v>28</v>
      </c>
      <c r="M6488" s="678">
        <v>1830</v>
      </c>
      <c r="N6488" s="678" t="s">
        <v>1240</v>
      </c>
    </row>
    <row r="6489" spans="1:14" x14ac:dyDescent="0.25">
      <c r="A6489" s="678">
        <f t="shared" si="178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/>
      <c r="L6489" s="678" t="s">
        <v>28</v>
      </c>
      <c r="M6489" s="678">
        <v>11576.160000000002</v>
      </c>
      <c r="N6489" s="678" t="s">
        <v>1240</v>
      </c>
    </row>
    <row r="6490" spans="1:14" x14ac:dyDescent="0.25">
      <c r="A6490" s="676">
        <f t="shared" si="178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/>
      <c r="L6490" s="676" t="s">
        <v>28</v>
      </c>
      <c r="M6490" s="676">
        <v>7139.28</v>
      </c>
      <c r="N6490" s="676" t="s">
        <v>1241</v>
      </c>
    </row>
    <row r="6491" spans="1:14" x14ac:dyDescent="0.25">
      <c r="A6491" s="676">
        <f t="shared" si="178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/>
      <c r="L6491" s="676" t="s">
        <v>28</v>
      </c>
      <c r="M6491" s="676">
        <v>10293.359999999999</v>
      </c>
      <c r="N6491" s="676" t="s">
        <v>1241</v>
      </c>
    </row>
    <row r="6492" spans="1:14" x14ac:dyDescent="0.25">
      <c r="A6492" s="678">
        <f t="shared" si="178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/>
      <c r="L6492" s="678" t="s">
        <v>28</v>
      </c>
      <c r="M6492" s="678">
        <v>17471.18</v>
      </c>
      <c r="N6492" s="678" t="s">
        <v>1242</v>
      </c>
    </row>
    <row r="6493" spans="1:14" x14ac:dyDescent="0.25">
      <c r="A6493" s="676">
        <f t="shared" si="178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/>
      <c r="L6493" s="676" t="s">
        <v>28</v>
      </c>
      <c r="M6493" s="676">
        <v>17472.780000000002</v>
      </c>
      <c r="N6493" s="676" t="s">
        <v>1306</v>
      </c>
    </row>
    <row r="6494" spans="1:14" x14ac:dyDescent="0.25">
      <c r="A6494" s="678">
        <f t="shared" ref="A6494:A6549" si="179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/>
      <c r="L6494" s="678" t="s">
        <v>28</v>
      </c>
      <c r="M6494" s="678">
        <v>17526.03</v>
      </c>
      <c r="N6494" s="678" t="s">
        <v>1418</v>
      </c>
    </row>
    <row r="6495" spans="1:14" x14ac:dyDescent="0.25">
      <c r="A6495" s="676">
        <f t="shared" si="179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/>
      <c r="L6495" s="676" t="s">
        <v>28</v>
      </c>
      <c r="M6495" s="676">
        <v>17339.88</v>
      </c>
      <c r="N6495" s="676" t="s">
        <v>1419</v>
      </c>
    </row>
    <row r="6496" spans="1:14" x14ac:dyDescent="0.25">
      <c r="A6496" s="678">
        <f t="shared" si="179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/>
      <c r="L6496" s="678" t="s">
        <v>28</v>
      </c>
      <c r="M6496" s="678">
        <v>17421.75</v>
      </c>
      <c r="N6496" s="678" t="s">
        <v>1434</v>
      </c>
    </row>
    <row r="6497" spans="1:14" x14ac:dyDescent="0.25">
      <c r="A6497" s="676">
        <f t="shared" si="179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/>
      <c r="L6497" s="676" t="s">
        <v>265</v>
      </c>
      <c r="M6497" s="676">
        <v>16269.360000000002</v>
      </c>
      <c r="N6497" s="676" t="s">
        <v>1236</v>
      </c>
    </row>
    <row r="6498" spans="1:14" x14ac:dyDescent="0.25">
      <c r="A6498" s="676">
        <f t="shared" si="179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/>
      <c r="L6498" s="676" t="s">
        <v>265</v>
      </c>
      <c r="M6498" s="676">
        <v>1290.9000000000001</v>
      </c>
      <c r="N6498" s="676" t="s">
        <v>1236</v>
      </c>
    </row>
    <row r="6499" spans="1:14" x14ac:dyDescent="0.25">
      <c r="A6499" s="678">
        <f t="shared" si="179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/>
      <c r="L6499" s="678" t="s">
        <v>265</v>
      </c>
      <c r="M6499" s="678">
        <v>12532.08</v>
      </c>
      <c r="N6499" s="678" t="s">
        <v>1236</v>
      </c>
    </row>
    <row r="6500" spans="1:14" x14ac:dyDescent="0.25">
      <c r="A6500" s="676">
        <f t="shared" si="179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/>
      <c r="L6500" s="676" t="s">
        <v>265</v>
      </c>
      <c r="M6500" s="676">
        <v>15491.92</v>
      </c>
      <c r="N6500" s="676" t="s">
        <v>1236</v>
      </c>
    </row>
    <row r="6501" spans="1:14" x14ac:dyDescent="0.25">
      <c r="A6501" s="676">
        <f t="shared" si="179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/>
      <c r="L6501" s="676" t="s">
        <v>265</v>
      </c>
      <c r="M6501" s="676">
        <v>2184.54</v>
      </c>
      <c r="N6501" s="676" t="s">
        <v>1236</v>
      </c>
    </row>
    <row r="6502" spans="1:14" x14ac:dyDescent="0.25">
      <c r="A6502" s="678">
        <f t="shared" si="179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/>
      <c r="L6502" s="678" t="s">
        <v>266</v>
      </c>
      <c r="M6502" s="678">
        <v>4329.8500000000004</v>
      </c>
      <c r="N6502" s="678" t="s">
        <v>1393</v>
      </c>
    </row>
    <row r="6503" spans="1:14" x14ac:dyDescent="0.25">
      <c r="A6503" s="678">
        <f t="shared" si="179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/>
      <c r="L6503" s="678" t="s">
        <v>266</v>
      </c>
      <c r="M6503" s="678">
        <v>5460.9</v>
      </c>
      <c r="N6503" s="678" t="s">
        <v>1393</v>
      </c>
    </row>
    <row r="6504" spans="1:14" x14ac:dyDescent="0.25">
      <c r="A6504" s="678">
        <f t="shared" si="179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/>
      <c r="L6504" s="678" t="s">
        <v>266</v>
      </c>
      <c r="M6504" s="678">
        <v>5604.16</v>
      </c>
      <c r="N6504" s="678" t="s">
        <v>1393</v>
      </c>
    </row>
    <row r="6505" spans="1:14" x14ac:dyDescent="0.25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/>
      <c r="L6505" s="678" t="s">
        <v>266</v>
      </c>
      <c r="M6505" s="678">
        <v>975</v>
      </c>
      <c r="N6505" s="678" t="s">
        <v>1418</v>
      </c>
    </row>
    <row r="6506" spans="1:14" x14ac:dyDescent="0.25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/>
      <c r="L6506" s="678" t="s">
        <v>266</v>
      </c>
      <c r="M6506" s="678">
        <v>1500</v>
      </c>
      <c r="N6506" s="678" t="s">
        <v>1418</v>
      </c>
    </row>
    <row r="6507" spans="1:14" x14ac:dyDescent="0.25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/>
      <c r="L6507" s="678" t="s">
        <v>266</v>
      </c>
      <c r="M6507" s="678">
        <v>1767.18</v>
      </c>
      <c r="N6507" s="678" t="s">
        <v>1418</v>
      </c>
    </row>
    <row r="6508" spans="1:14" ht="56.25" x14ac:dyDescent="0.25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/>
      <c r="L6508" s="676" t="s">
        <v>28</v>
      </c>
      <c r="M6508" s="676">
        <v>16200.61</v>
      </c>
      <c r="N6508" s="676" t="s">
        <v>1237</v>
      </c>
    </row>
    <row r="6509" spans="1:14" ht="37.5" x14ac:dyDescent="0.25">
      <c r="A6509" s="678">
        <f t="shared" ref="A6509:A6521" si="180">MAX(A6492:A6508)+1</f>
        <v>4079</v>
      </c>
      <c r="B6509" s="678" t="s">
        <v>1432</v>
      </c>
      <c r="C6509" s="679" t="s">
        <v>23</v>
      </c>
      <c r="D6509" s="680">
        <v>16.468</v>
      </c>
      <c r="E6509" s="681"/>
      <c r="F6509" s="678" t="s">
        <v>16</v>
      </c>
      <c r="G6509" s="682" t="s">
        <v>1440</v>
      </c>
      <c r="H6509" s="678" t="s">
        <v>501</v>
      </c>
      <c r="I6509" s="683"/>
      <c r="J6509" s="684"/>
      <c r="K6509" s="678"/>
      <c r="L6509" s="678" t="s">
        <v>28</v>
      </c>
      <c r="M6509" s="678">
        <v>16573.740000000002</v>
      </c>
      <c r="N6509" s="678" t="s">
        <v>1239</v>
      </c>
    </row>
    <row r="6510" spans="1:14" ht="37.5" x14ac:dyDescent="0.25">
      <c r="A6510" s="676">
        <f t="shared" si="180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/>
      <c r="L6510" s="676" t="s">
        <v>28</v>
      </c>
      <c r="M6510" s="676">
        <v>16656.490000000002</v>
      </c>
      <c r="N6510" s="676" t="s">
        <v>1240</v>
      </c>
    </row>
    <row r="6511" spans="1:14" x14ac:dyDescent="0.25">
      <c r="A6511" s="678">
        <f t="shared" si="180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/>
      <c r="L6511" s="678" t="s">
        <v>28</v>
      </c>
      <c r="M6511" s="678">
        <v>17677.54</v>
      </c>
      <c r="N6511" s="678" t="s">
        <v>1241</v>
      </c>
    </row>
    <row r="6512" spans="1:14" x14ac:dyDescent="0.25">
      <c r="A6512" s="676">
        <f t="shared" si="180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/>
      <c r="L6512" s="676" t="s">
        <v>28</v>
      </c>
      <c r="M6512" s="676">
        <v>17552.560000000001</v>
      </c>
      <c r="N6512" s="676" t="s">
        <v>1242</v>
      </c>
    </row>
    <row r="6513" spans="1:14" x14ac:dyDescent="0.25">
      <c r="A6513" s="678">
        <f t="shared" si="180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/>
      <c r="L6513" s="678" t="s">
        <v>28</v>
      </c>
      <c r="M6513" s="678">
        <v>5925</v>
      </c>
      <c r="N6513" s="678" t="s">
        <v>1306</v>
      </c>
    </row>
    <row r="6514" spans="1:14" x14ac:dyDescent="0.25">
      <c r="A6514" s="678">
        <f t="shared" si="180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/>
      <c r="L6514" s="678" t="s">
        <v>266</v>
      </c>
      <c r="M6514" s="678">
        <v>10315.52</v>
      </c>
      <c r="N6514" s="678" t="s">
        <v>1306</v>
      </c>
    </row>
    <row r="6515" spans="1:14" x14ac:dyDescent="0.25">
      <c r="A6515" s="676">
        <f t="shared" si="180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/>
      <c r="L6515" s="676" t="s">
        <v>28</v>
      </c>
      <c r="M6515" s="676">
        <v>5485.32</v>
      </c>
      <c r="N6515" s="676" t="s">
        <v>1237</v>
      </c>
    </row>
    <row r="6516" spans="1:14" x14ac:dyDescent="0.25">
      <c r="A6516" s="676">
        <f t="shared" si="180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/>
      <c r="L6516" s="676" t="s">
        <v>28</v>
      </c>
      <c r="M6516" s="676">
        <v>6157.2000000000007</v>
      </c>
      <c r="N6516" s="676" t="s">
        <v>1237</v>
      </c>
    </row>
    <row r="6517" spans="1:14" x14ac:dyDescent="0.25">
      <c r="A6517" s="678">
        <f t="shared" si="180"/>
        <v>4087</v>
      </c>
      <c r="B6517" s="678" t="s">
        <v>1432</v>
      </c>
      <c r="C6517" s="679" t="s">
        <v>15</v>
      </c>
      <c r="D6517" s="680">
        <v>7.0019999999999998</v>
      </c>
      <c r="E6517" s="681"/>
      <c r="F6517" s="678" t="s">
        <v>30</v>
      </c>
      <c r="G6517" s="682"/>
      <c r="H6517" s="678" t="s">
        <v>501</v>
      </c>
      <c r="I6517" s="683"/>
      <c r="J6517" s="684"/>
      <c r="K6517" s="678"/>
      <c r="L6517" s="678" t="s">
        <v>28</v>
      </c>
      <c r="M6517" s="678">
        <v>7002.4800000000005</v>
      </c>
      <c r="N6517" s="678" t="s">
        <v>1239</v>
      </c>
    </row>
    <row r="6518" spans="1:14" x14ac:dyDescent="0.25">
      <c r="A6518" s="678">
        <f t="shared" si="180"/>
        <v>4088</v>
      </c>
      <c r="B6518" s="678" t="s">
        <v>1432</v>
      </c>
      <c r="C6518" s="679" t="s">
        <v>23</v>
      </c>
      <c r="D6518" s="680">
        <v>2.4590000000000001</v>
      </c>
      <c r="E6518" s="681"/>
      <c r="F6518" s="678" t="s">
        <v>30</v>
      </c>
      <c r="G6518" s="682"/>
      <c r="H6518" s="678" t="s">
        <v>501</v>
      </c>
      <c r="I6518" s="683"/>
      <c r="J6518" s="684"/>
      <c r="K6518" s="678"/>
      <c r="L6518" s="678" t="s">
        <v>28</v>
      </c>
      <c r="M6518" s="678">
        <v>2459.6400000000003</v>
      </c>
      <c r="N6518" s="678" t="s">
        <v>1239</v>
      </c>
    </row>
    <row r="6519" spans="1:14" x14ac:dyDescent="0.25">
      <c r="A6519" s="676">
        <f t="shared" si="180"/>
        <v>4089</v>
      </c>
      <c r="B6519" s="676" t="s">
        <v>1432</v>
      </c>
      <c r="C6519" s="473" t="s">
        <v>587</v>
      </c>
      <c r="D6519" s="474">
        <v>10.941000000000001</v>
      </c>
      <c r="E6519" s="475"/>
      <c r="F6519" s="676" t="s">
        <v>30</v>
      </c>
      <c r="G6519" s="476" t="s">
        <v>23</v>
      </c>
      <c r="H6519" s="676" t="s">
        <v>501</v>
      </c>
      <c r="I6519" s="477"/>
      <c r="J6519" s="478"/>
      <c r="K6519" s="676"/>
      <c r="L6519" s="676" t="s">
        <v>28</v>
      </c>
      <c r="M6519" s="676">
        <v>10941.48</v>
      </c>
      <c r="N6519" s="676" t="s">
        <v>1240</v>
      </c>
    </row>
    <row r="6520" spans="1:14" x14ac:dyDescent="0.25">
      <c r="A6520" s="678">
        <f t="shared" si="180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/>
      <c r="L6520" s="678" t="s">
        <v>28</v>
      </c>
      <c r="M6520" s="678">
        <v>11036.56</v>
      </c>
      <c r="N6520" s="678" t="s">
        <v>1241</v>
      </c>
    </row>
    <row r="6521" spans="1:14" x14ac:dyDescent="0.25">
      <c r="A6521" s="676">
        <f t="shared" si="180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/>
      <c r="L6521" s="676" t="s">
        <v>28</v>
      </c>
      <c r="M6521" s="676">
        <v>10646.2</v>
      </c>
      <c r="N6521" s="676" t="s">
        <v>1242</v>
      </c>
    </row>
    <row r="6522" spans="1:14" x14ac:dyDescent="0.25">
      <c r="A6522" s="678">
        <f t="shared" si="179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/>
      <c r="L6522" s="678" t="s">
        <v>265</v>
      </c>
      <c r="M6522" s="678">
        <v>17657.2</v>
      </c>
      <c r="N6522" s="678" t="s">
        <v>1236</v>
      </c>
    </row>
    <row r="6523" spans="1:14" x14ac:dyDescent="0.25">
      <c r="A6523" s="676">
        <f t="shared" si="179"/>
        <v>4093</v>
      </c>
      <c r="B6523" s="676" t="s">
        <v>1432</v>
      </c>
      <c r="C6523" s="473" t="s">
        <v>32</v>
      </c>
      <c r="D6523" s="474">
        <v>17.75</v>
      </c>
      <c r="E6523" s="475"/>
      <c r="F6523" s="676" t="s">
        <v>16</v>
      </c>
      <c r="G6523" s="476"/>
      <c r="H6523" s="676" t="s">
        <v>1439</v>
      </c>
      <c r="I6523" s="477"/>
      <c r="J6523" s="478"/>
      <c r="K6523" s="676"/>
      <c r="L6523" s="676" t="s">
        <v>266</v>
      </c>
      <c r="M6523" s="676">
        <v>17752.8</v>
      </c>
      <c r="N6523" s="676" t="s">
        <v>1237</v>
      </c>
    </row>
    <row r="6524" spans="1:14" x14ac:dyDescent="0.25">
      <c r="A6524" s="678">
        <f t="shared" si="179"/>
        <v>4094</v>
      </c>
      <c r="B6524" s="678" t="s">
        <v>1438</v>
      </c>
      <c r="C6524" s="679" t="s">
        <v>32</v>
      </c>
      <c r="D6524" s="680">
        <v>17.989000000000001</v>
      </c>
      <c r="E6524" s="681"/>
      <c r="F6524" s="678" t="s">
        <v>16</v>
      </c>
      <c r="G6524" s="682"/>
      <c r="H6524" s="678" t="s">
        <v>1441</v>
      </c>
      <c r="I6524" s="683"/>
      <c r="J6524" s="684"/>
      <c r="K6524" s="678"/>
      <c r="L6524" s="678" t="s">
        <v>266</v>
      </c>
      <c r="M6524" s="678">
        <v>18094.580000000002</v>
      </c>
      <c r="N6524" s="678" t="s">
        <v>1237</v>
      </c>
    </row>
    <row r="6525" spans="1:14" x14ac:dyDescent="0.25">
      <c r="A6525" s="676">
        <f t="shared" si="179"/>
        <v>4095</v>
      </c>
      <c r="B6525" s="676" t="s">
        <v>1438</v>
      </c>
      <c r="C6525" s="473" t="s">
        <v>848</v>
      </c>
      <c r="D6525" s="474">
        <v>17.936</v>
      </c>
      <c r="E6525" s="475"/>
      <c r="F6525" s="676" t="s">
        <v>16</v>
      </c>
      <c r="G6525" s="476"/>
      <c r="H6525" s="676" t="s">
        <v>1441</v>
      </c>
      <c r="I6525" s="477"/>
      <c r="J6525" s="478"/>
      <c r="K6525" s="676"/>
      <c r="L6525" s="676" t="s">
        <v>266</v>
      </c>
      <c r="M6525" s="676">
        <v>18078.280000000002</v>
      </c>
      <c r="N6525" s="676" t="s">
        <v>1240</v>
      </c>
    </row>
    <row r="6526" spans="1:14" x14ac:dyDescent="0.25">
      <c r="A6526" s="678">
        <f t="shared" si="179"/>
        <v>4096</v>
      </c>
      <c r="B6526" s="678" t="s">
        <v>1439</v>
      </c>
      <c r="C6526" s="679" t="s">
        <v>43</v>
      </c>
      <c r="D6526" s="680">
        <v>8.3629999999999995</v>
      </c>
      <c r="E6526" s="681"/>
      <c r="F6526" s="678" t="s">
        <v>16</v>
      </c>
      <c r="G6526" s="682" t="s">
        <v>1295</v>
      </c>
      <c r="H6526" s="678" t="s">
        <v>1445</v>
      </c>
      <c r="I6526" s="683"/>
      <c r="J6526" s="684"/>
      <c r="K6526" s="678"/>
      <c r="L6526" s="678" t="s">
        <v>265</v>
      </c>
      <c r="M6526" s="678">
        <v>8363.58</v>
      </c>
      <c r="N6526" s="678" t="s">
        <v>1236</v>
      </c>
    </row>
    <row r="6527" spans="1:14" x14ac:dyDescent="0.25">
      <c r="A6527" s="678">
        <f t="shared" si="179"/>
        <v>4097</v>
      </c>
      <c r="B6527" s="678" t="s">
        <v>1439</v>
      </c>
      <c r="C6527" s="679" t="s">
        <v>26</v>
      </c>
      <c r="D6527" s="680">
        <v>8.7989999999999995</v>
      </c>
      <c r="E6527" s="681"/>
      <c r="F6527" s="678" t="s">
        <v>16</v>
      </c>
      <c r="G6527" s="682"/>
      <c r="H6527" s="678" t="s">
        <v>1445</v>
      </c>
      <c r="I6527" s="683"/>
      <c r="J6527" s="684"/>
      <c r="K6527" s="678"/>
      <c r="L6527" s="678" t="s">
        <v>265</v>
      </c>
      <c r="M6527" s="678">
        <v>8977.0600000000013</v>
      </c>
      <c r="N6527" s="678" t="s">
        <v>1236</v>
      </c>
    </row>
    <row r="6528" spans="1:14" x14ac:dyDescent="0.25">
      <c r="A6528" s="676">
        <f t="shared" si="179"/>
        <v>4098</v>
      </c>
      <c r="B6528" s="676" t="s">
        <v>1439</v>
      </c>
      <c r="C6528" s="473" t="s">
        <v>26</v>
      </c>
      <c r="D6528" s="474">
        <v>17.718</v>
      </c>
      <c r="E6528" s="475"/>
      <c r="F6528" s="676" t="s">
        <v>16</v>
      </c>
      <c r="G6528" s="476"/>
      <c r="H6528" s="676" t="s">
        <v>1445</v>
      </c>
      <c r="I6528" s="477"/>
      <c r="J6528" s="478"/>
      <c r="K6528" s="676"/>
      <c r="L6528" s="676" t="s">
        <v>265</v>
      </c>
      <c r="M6528" s="676">
        <v>17869.560000000005</v>
      </c>
      <c r="N6528" s="676" t="s">
        <v>1237</v>
      </c>
    </row>
    <row r="6529" spans="1:14" x14ac:dyDescent="0.25">
      <c r="A6529" s="678">
        <f t="shared" si="179"/>
        <v>4099</v>
      </c>
      <c r="B6529" s="678" t="s">
        <v>1439</v>
      </c>
      <c r="C6529" s="679" t="s">
        <v>26</v>
      </c>
      <c r="D6529" s="680">
        <v>17.448</v>
      </c>
      <c r="E6529" s="681"/>
      <c r="F6529" s="678" t="s">
        <v>16</v>
      </c>
      <c r="G6529" s="682"/>
      <c r="H6529" s="678" t="s">
        <v>1445</v>
      </c>
      <c r="I6529" s="683"/>
      <c r="J6529" s="684"/>
      <c r="K6529" s="678"/>
      <c r="L6529" s="678" t="s">
        <v>265</v>
      </c>
      <c r="M6529" s="678">
        <v>17593.560000000005</v>
      </c>
      <c r="N6529" s="678" t="s">
        <v>1239</v>
      </c>
    </row>
    <row r="6530" spans="1:14" x14ac:dyDescent="0.25">
      <c r="A6530" s="676">
        <f t="shared" si="179"/>
        <v>4100</v>
      </c>
      <c r="B6530" s="676" t="s">
        <v>1439</v>
      </c>
      <c r="C6530" s="473" t="s">
        <v>41</v>
      </c>
      <c r="D6530" s="474">
        <v>10.069000000000001</v>
      </c>
      <c r="E6530" s="475"/>
      <c r="F6530" s="676" t="s">
        <v>16</v>
      </c>
      <c r="G6530" s="476"/>
      <c r="H6530" s="676" t="s">
        <v>1445</v>
      </c>
      <c r="I6530" s="477"/>
      <c r="J6530" s="478"/>
      <c r="K6530" s="676"/>
      <c r="L6530" s="676" t="s">
        <v>266</v>
      </c>
      <c r="M6530" s="676">
        <v>10146.809999999998</v>
      </c>
      <c r="N6530" s="676" t="s">
        <v>1447</v>
      </c>
    </row>
    <row r="6531" spans="1:14" x14ac:dyDescent="0.25">
      <c r="A6531" s="676">
        <f t="shared" si="179"/>
        <v>4101</v>
      </c>
      <c r="B6531" s="676" t="s">
        <v>1439</v>
      </c>
      <c r="C6531" s="473" t="s">
        <v>981</v>
      </c>
      <c r="D6531" s="474">
        <v>7.6609999999999996</v>
      </c>
      <c r="E6531" s="475"/>
      <c r="F6531" s="676" t="s">
        <v>16</v>
      </c>
      <c r="G6531" s="476"/>
      <c r="H6531" s="676" t="s">
        <v>1445</v>
      </c>
      <c r="I6531" s="477"/>
      <c r="J6531" s="478"/>
      <c r="K6531" s="676"/>
      <c r="L6531" s="676" t="s">
        <v>266</v>
      </c>
      <c r="M6531" s="676">
        <v>7666.4000000000005</v>
      </c>
      <c r="N6531" s="676" t="s">
        <v>1240</v>
      </c>
    </row>
    <row r="6532" spans="1:14" x14ac:dyDescent="0.25">
      <c r="A6532" s="678">
        <f t="shared" si="179"/>
        <v>4102</v>
      </c>
      <c r="B6532" s="678" t="s">
        <v>1439</v>
      </c>
      <c r="C6532" s="679" t="s">
        <v>26</v>
      </c>
      <c r="D6532" s="680">
        <v>13.074999999999999</v>
      </c>
      <c r="E6532" s="681"/>
      <c r="F6532" s="678" t="s">
        <v>30</v>
      </c>
      <c r="G6532" s="682"/>
      <c r="H6532" s="678" t="s">
        <v>1445</v>
      </c>
      <c r="I6532" s="683"/>
      <c r="J6532" s="684"/>
      <c r="K6532" s="678"/>
      <c r="L6532" s="678" t="s">
        <v>265</v>
      </c>
      <c r="M6532" s="678">
        <v>13075.32</v>
      </c>
      <c r="N6532" s="678" t="s">
        <v>1236</v>
      </c>
    </row>
    <row r="6533" spans="1:14" x14ac:dyDescent="0.25">
      <c r="A6533" s="676">
        <f t="shared" si="179"/>
        <v>4103</v>
      </c>
      <c r="B6533" s="676" t="s">
        <v>1439</v>
      </c>
      <c r="C6533" s="473" t="s">
        <v>26</v>
      </c>
      <c r="D6533" s="474">
        <v>17.606999999999999</v>
      </c>
      <c r="E6533" s="475"/>
      <c r="F6533" s="676" t="s">
        <v>16</v>
      </c>
      <c r="G6533" s="476"/>
      <c r="H6533" s="676" t="s">
        <v>1446</v>
      </c>
      <c r="I6533" s="477"/>
      <c r="J6533" s="478"/>
      <c r="K6533" s="676"/>
      <c r="L6533" s="676" t="s">
        <v>265</v>
      </c>
      <c r="M6533" s="676">
        <v>17790.68</v>
      </c>
      <c r="N6533" s="676" t="s">
        <v>1393</v>
      </c>
    </row>
    <row r="6534" spans="1:14" x14ac:dyDescent="0.25">
      <c r="A6534" s="678">
        <f t="shared" si="179"/>
        <v>4104</v>
      </c>
      <c r="B6534" s="678" t="s">
        <v>1439</v>
      </c>
      <c r="C6534" s="679" t="s">
        <v>26</v>
      </c>
      <c r="D6534" s="680">
        <v>17.597000000000001</v>
      </c>
      <c r="E6534" s="681"/>
      <c r="F6534" s="678" t="s">
        <v>16</v>
      </c>
      <c r="G6534" s="682"/>
      <c r="H6534" s="678" t="s">
        <v>1446</v>
      </c>
      <c r="I6534" s="683"/>
      <c r="J6534" s="684"/>
      <c r="K6534" s="678"/>
      <c r="L6534" s="678" t="s">
        <v>265</v>
      </c>
      <c r="M6534" s="678">
        <v>17780.18</v>
      </c>
      <c r="N6534" s="678" t="s">
        <v>1236</v>
      </c>
    </row>
    <row r="6535" spans="1:14" x14ac:dyDescent="0.25">
      <c r="A6535" s="676">
        <f t="shared" si="179"/>
        <v>4105</v>
      </c>
      <c r="B6535" s="676" t="s">
        <v>1439</v>
      </c>
      <c r="C6535" s="473" t="s">
        <v>24</v>
      </c>
      <c r="D6535" s="474">
        <v>10.696999999999999</v>
      </c>
      <c r="E6535" s="475"/>
      <c r="F6535" s="676" t="s">
        <v>16</v>
      </c>
      <c r="G6535" s="476"/>
      <c r="H6535" s="676" t="s">
        <v>1446</v>
      </c>
      <c r="I6535" s="477"/>
      <c r="J6535" s="478"/>
      <c r="K6535" s="676"/>
      <c r="L6535" s="676" t="s">
        <v>28</v>
      </c>
      <c r="M6535" s="676">
        <v>10847.720000000001</v>
      </c>
      <c r="N6535" s="676" t="s">
        <v>1237</v>
      </c>
    </row>
    <row r="6536" spans="1:14" x14ac:dyDescent="0.25">
      <c r="A6536" s="676">
        <f t="shared" si="179"/>
        <v>4106</v>
      </c>
      <c r="B6536" s="676" t="s">
        <v>1439</v>
      </c>
      <c r="C6536" s="473" t="s">
        <v>764</v>
      </c>
      <c r="D6536" s="474">
        <v>6.75</v>
      </c>
      <c r="E6536" s="475"/>
      <c r="F6536" s="676" t="s">
        <v>16</v>
      </c>
      <c r="G6536" s="476"/>
      <c r="H6536" s="676" t="s">
        <v>1446</v>
      </c>
      <c r="I6536" s="477"/>
      <c r="J6536" s="478"/>
      <c r="K6536" s="676"/>
      <c r="L6536" s="676" t="s">
        <v>28</v>
      </c>
      <c r="M6536" s="676">
        <v>6770.88</v>
      </c>
      <c r="N6536" s="676" t="s">
        <v>1237</v>
      </c>
    </row>
    <row r="6537" spans="1:14" x14ac:dyDescent="0.25">
      <c r="A6537" s="678">
        <f t="shared" si="179"/>
        <v>4107</v>
      </c>
      <c r="B6537" s="678" t="s">
        <v>1439</v>
      </c>
      <c r="C6537" s="679" t="s">
        <v>15</v>
      </c>
      <c r="D6537" s="680">
        <v>17.3</v>
      </c>
      <c r="E6537" s="681"/>
      <c r="F6537" s="678" t="s">
        <v>16</v>
      </c>
      <c r="G6537" s="682"/>
      <c r="H6537" s="678" t="s">
        <v>1446</v>
      </c>
      <c r="I6537" s="683"/>
      <c r="J6537" s="684"/>
      <c r="K6537" s="678"/>
      <c r="L6537" s="678" t="s">
        <v>28</v>
      </c>
      <c r="M6537" s="678">
        <v>17515.560000000001</v>
      </c>
      <c r="N6537" s="678" t="s">
        <v>1239</v>
      </c>
    </row>
    <row r="6538" spans="1:14" x14ac:dyDescent="0.25">
      <c r="A6538" s="676">
        <f t="shared" si="179"/>
        <v>4108</v>
      </c>
      <c r="B6538" s="676" t="s">
        <v>1439</v>
      </c>
      <c r="C6538" s="473" t="s">
        <v>23</v>
      </c>
      <c r="D6538" s="474">
        <v>17.135999999999999</v>
      </c>
      <c r="E6538" s="475"/>
      <c r="F6538" s="676" t="s">
        <v>16</v>
      </c>
      <c r="G6538" s="476"/>
      <c r="H6538" s="676" t="s">
        <v>1446</v>
      </c>
      <c r="I6538" s="477"/>
      <c r="J6538" s="478"/>
      <c r="K6538" s="676"/>
      <c r="L6538" s="676" t="s">
        <v>28</v>
      </c>
      <c r="M6538" s="676">
        <v>17265.100000000006</v>
      </c>
      <c r="N6538" s="676" t="s">
        <v>1240</v>
      </c>
    </row>
    <row r="6539" spans="1:14" x14ac:dyDescent="0.25">
      <c r="A6539" s="678">
        <f t="shared" si="179"/>
        <v>4109</v>
      </c>
      <c r="B6539" s="678" t="s">
        <v>1441</v>
      </c>
      <c r="C6539" s="679" t="s">
        <v>840</v>
      </c>
      <c r="D6539" s="680">
        <v>15.253</v>
      </c>
      <c r="E6539" s="681"/>
      <c r="F6539" s="678" t="s">
        <v>16</v>
      </c>
      <c r="G6539" s="682"/>
      <c r="H6539" s="678" t="s">
        <v>1446</v>
      </c>
      <c r="I6539" s="683"/>
      <c r="J6539" s="684"/>
      <c r="K6539" s="678"/>
      <c r="L6539" s="678" t="s">
        <v>266</v>
      </c>
      <c r="M6539" s="678">
        <v>15303.12</v>
      </c>
      <c r="N6539" s="678" t="s">
        <v>1241</v>
      </c>
    </row>
    <row r="6540" spans="1:14" x14ac:dyDescent="0.25">
      <c r="A6540" s="676">
        <f t="shared" si="179"/>
        <v>4110</v>
      </c>
      <c r="B6540" s="676" t="s">
        <v>1441</v>
      </c>
      <c r="C6540" s="473" t="s">
        <v>1341</v>
      </c>
      <c r="D6540" s="474">
        <v>9.8230000000000004</v>
      </c>
      <c r="E6540" s="475"/>
      <c r="F6540" s="676" t="s">
        <v>16</v>
      </c>
      <c r="G6540" s="476"/>
      <c r="H6540" s="676" t="s">
        <v>1446</v>
      </c>
      <c r="I6540" s="477"/>
      <c r="J6540" s="478"/>
      <c r="K6540" s="676"/>
      <c r="L6540" s="676" t="s">
        <v>266</v>
      </c>
      <c r="M6540" s="676">
        <v>9823.1999999999989</v>
      </c>
      <c r="N6540" s="676" t="s">
        <v>1242</v>
      </c>
    </row>
    <row r="6541" spans="1:14" x14ac:dyDescent="0.25">
      <c r="A6541" s="678">
        <f t="shared" si="179"/>
        <v>4111</v>
      </c>
      <c r="B6541" s="678" t="s">
        <v>1441</v>
      </c>
      <c r="C6541" s="679" t="s">
        <v>26</v>
      </c>
      <c r="D6541" s="680">
        <v>16.109000000000002</v>
      </c>
      <c r="E6541" s="681"/>
      <c r="F6541" s="678" t="s">
        <v>16</v>
      </c>
      <c r="G6541" s="682"/>
      <c r="H6541" s="678" t="s">
        <v>1449</v>
      </c>
      <c r="I6541" s="683"/>
      <c r="J6541" s="684"/>
      <c r="K6541" s="678"/>
      <c r="L6541" s="678" t="s">
        <v>265</v>
      </c>
      <c r="M6541" s="678">
        <v>16266.6</v>
      </c>
      <c r="N6541" s="678" t="s">
        <v>1236</v>
      </c>
    </row>
    <row r="6542" spans="1:14" x14ac:dyDescent="0.25">
      <c r="A6542" s="678">
        <f t="shared" si="179"/>
        <v>4112</v>
      </c>
      <c r="B6542" s="678" t="s">
        <v>1441</v>
      </c>
      <c r="C6542" s="679" t="s">
        <v>952</v>
      </c>
      <c r="D6542" s="680">
        <v>1.22</v>
      </c>
      <c r="E6542" s="681"/>
      <c r="F6542" s="678" t="s">
        <v>16</v>
      </c>
      <c r="G6542" s="682"/>
      <c r="H6542" s="678" t="s">
        <v>1449</v>
      </c>
      <c r="I6542" s="683"/>
      <c r="J6542" s="684"/>
      <c r="K6542" s="678"/>
      <c r="L6542" s="678" t="s">
        <v>265</v>
      </c>
      <c r="M6542" s="678">
        <v>1290.9000000000001</v>
      </c>
      <c r="N6542" s="678" t="s">
        <v>1236</v>
      </c>
    </row>
    <row r="6543" spans="1:14" x14ac:dyDescent="0.25">
      <c r="A6543" s="676">
        <f t="shared" si="179"/>
        <v>4113</v>
      </c>
      <c r="B6543" s="676" t="s">
        <v>1441</v>
      </c>
      <c r="C6543" s="473" t="s">
        <v>47</v>
      </c>
      <c r="D6543" s="474">
        <v>7.9980000000000002</v>
      </c>
      <c r="E6543" s="475"/>
      <c r="F6543" s="676" t="s">
        <v>16</v>
      </c>
      <c r="G6543" s="476"/>
      <c r="H6543" s="676" t="s">
        <v>1449</v>
      </c>
      <c r="I6543" s="477"/>
      <c r="J6543" s="478"/>
      <c r="K6543" s="676"/>
      <c r="L6543" s="676" t="s">
        <v>28</v>
      </c>
      <c r="M6543" s="676">
        <v>8165.7199999999993</v>
      </c>
      <c r="N6543" s="676" t="s">
        <v>1237</v>
      </c>
    </row>
    <row r="6544" spans="1:14" ht="56.25" x14ac:dyDescent="0.25">
      <c r="A6544" s="676">
        <f t="shared" si="179"/>
        <v>4114</v>
      </c>
      <c r="B6544" s="676" t="s">
        <v>1441</v>
      </c>
      <c r="C6544" s="473" t="s">
        <v>587</v>
      </c>
      <c r="D6544" s="474">
        <v>1.4970000000000001</v>
      </c>
      <c r="E6544" s="475"/>
      <c r="F6544" s="676" t="s">
        <v>16</v>
      </c>
      <c r="G6544" s="476" t="s">
        <v>794</v>
      </c>
      <c r="H6544" s="676" t="s">
        <v>1449</v>
      </c>
      <c r="I6544" s="477"/>
      <c r="J6544" s="478"/>
      <c r="K6544" s="676"/>
      <c r="L6544" s="676" t="s">
        <v>28</v>
      </c>
      <c r="M6544" s="676">
        <v>1497.6</v>
      </c>
      <c r="N6544" s="676" t="s">
        <v>1237</v>
      </c>
    </row>
    <row r="6545" spans="1:14" x14ac:dyDescent="0.25">
      <c r="A6545" s="676">
        <f t="shared" si="179"/>
        <v>4115</v>
      </c>
      <c r="B6545" s="676" t="s">
        <v>1441</v>
      </c>
      <c r="C6545" s="473" t="s">
        <v>587</v>
      </c>
      <c r="D6545" s="474">
        <v>7.9580000000000002</v>
      </c>
      <c r="E6545" s="475"/>
      <c r="F6545" s="676" t="s">
        <v>16</v>
      </c>
      <c r="G6545" s="476" t="s">
        <v>47</v>
      </c>
      <c r="H6545" s="676" t="s">
        <v>1449</v>
      </c>
      <c r="I6545" s="477"/>
      <c r="J6545" s="478"/>
      <c r="K6545" s="676"/>
      <c r="L6545" s="676" t="s">
        <v>28</v>
      </c>
      <c r="M6545" s="676">
        <v>7957.9600000000009</v>
      </c>
      <c r="N6545" s="676" t="s">
        <v>1237</v>
      </c>
    </row>
    <row r="6546" spans="1:14" x14ac:dyDescent="0.25">
      <c r="A6546" s="678">
        <f t="shared" si="179"/>
        <v>4116</v>
      </c>
      <c r="B6546" s="678" t="s">
        <v>1441</v>
      </c>
      <c r="C6546" s="679" t="s">
        <v>23</v>
      </c>
      <c r="D6546" s="680">
        <v>12.363</v>
      </c>
      <c r="E6546" s="681"/>
      <c r="F6546" s="678" t="s">
        <v>16</v>
      </c>
      <c r="G6546" s="682"/>
      <c r="H6546" s="678" t="s">
        <v>1449</v>
      </c>
      <c r="I6546" s="683"/>
      <c r="J6546" s="684"/>
      <c r="K6546" s="678"/>
      <c r="L6546" s="678" t="s">
        <v>28</v>
      </c>
      <c r="M6546" s="678">
        <v>12487.76</v>
      </c>
      <c r="N6546" s="678" t="s">
        <v>1239</v>
      </c>
    </row>
    <row r="6547" spans="1:14" x14ac:dyDescent="0.25">
      <c r="A6547" s="678">
        <f t="shared" si="179"/>
        <v>4117</v>
      </c>
      <c r="B6547" s="678" t="s">
        <v>1441</v>
      </c>
      <c r="C6547" s="679" t="s">
        <v>839</v>
      </c>
      <c r="D6547" s="680">
        <v>1.6759999999999999</v>
      </c>
      <c r="E6547" s="681"/>
      <c r="F6547" s="678" t="s">
        <v>16</v>
      </c>
      <c r="G6547" s="682"/>
      <c r="H6547" s="678" t="s">
        <v>1449</v>
      </c>
      <c r="I6547" s="683"/>
      <c r="J6547" s="684"/>
      <c r="K6547" s="678"/>
      <c r="L6547" s="678" t="s">
        <v>28</v>
      </c>
      <c r="M6547" s="678">
        <v>1690.8000000000002</v>
      </c>
      <c r="N6547" s="678" t="s">
        <v>1239</v>
      </c>
    </row>
    <row r="6548" spans="1:14" x14ac:dyDescent="0.25">
      <c r="A6548" s="678">
        <f t="shared" si="179"/>
        <v>4118</v>
      </c>
      <c r="B6548" s="678" t="s">
        <v>1441</v>
      </c>
      <c r="C6548" s="679" t="s">
        <v>913</v>
      </c>
      <c r="D6548" s="680">
        <v>2.9129999999999998</v>
      </c>
      <c r="E6548" s="681"/>
      <c r="F6548" s="678" t="s">
        <v>16</v>
      </c>
      <c r="G6548" s="682"/>
      <c r="H6548" s="678" t="s">
        <v>1449</v>
      </c>
      <c r="I6548" s="683"/>
      <c r="J6548" s="684"/>
      <c r="K6548" s="678"/>
      <c r="L6548" s="678" t="s">
        <v>266</v>
      </c>
      <c r="M6548" s="678">
        <v>2934.3600000000006</v>
      </c>
      <c r="N6548" s="678" t="s">
        <v>1239</v>
      </c>
    </row>
    <row r="6549" spans="1:14" x14ac:dyDescent="0.25">
      <c r="A6549" s="676">
        <f t="shared" si="179"/>
        <v>4119</v>
      </c>
      <c r="B6549" s="676"/>
      <c r="C6549" s="473"/>
      <c r="D6549" s="474"/>
      <c r="E6549" s="475"/>
      <c r="F6549" s="676"/>
      <c r="G6549" s="476"/>
      <c r="H6549" s="676"/>
      <c r="I6549" s="477"/>
      <c r="J6549" s="478"/>
      <c r="K6549" s="676"/>
      <c r="L6549" s="676"/>
      <c r="M6549" s="676"/>
      <c r="N6549" s="676"/>
    </row>
  </sheetData>
  <autoFilter ref="A2:N5630" xr:uid="{00000000-0009-0000-0000-000000000000}">
    <filterColumn colId="10">
      <filters blank="1"/>
    </filterColumn>
  </autoFilter>
  <mergeCells count="1687">
    <mergeCell ref="G6080:G6081"/>
    <mergeCell ref="A5549:A5550"/>
    <mergeCell ref="G5275:G5276"/>
    <mergeCell ref="A5029:A5030"/>
    <mergeCell ref="A5082:A5083"/>
    <mergeCell ref="G5196:G5197"/>
    <mergeCell ref="G5188:G5189"/>
    <mergeCell ref="A5026:A5028"/>
    <mergeCell ref="A5534:A5538"/>
    <mergeCell ref="A5539:A5541"/>
    <mergeCell ref="A891:A893"/>
    <mergeCell ref="A931:A933"/>
    <mergeCell ref="A959:A960"/>
    <mergeCell ref="A963:A967"/>
    <mergeCell ref="A5196:A5197"/>
    <mergeCell ref="A5188:A5189"/>
    <mergeCell ref="A5176:A5178"/>
    <mergeCell ref="A5094:A5097"/>
    <mergeCell ref="A4939:A4941"/>
    <mergeCell ref="A919:A920"/>
    <mergeCell ref="A939:A941"/>
    <mergeCell ref="A943:A947"/>
    <mergeCell ref="A948:A949"/>
    <mergeCell ref="A951:A954"/>
    <mergeCell ref="A935:A936"/>
    <mergeCell ref="A974:A976"/>
    <mergeCell ref="A1026:A1027"/>
    <mergeCell ref="A1115:A1116"/>
    <mergeCell ref="A1117:A1120"/>
    <mergeCell ref="A1096:A1097"/>
    <mergeCell ref="A1102:A1105"/>
    <mergeCell ref="A1106:A1107"/>
    <mergeCell ref="A925:A928"/>
    <mergeCell ref="A929:A930"/>
    <mergeCell ref="A878:A880"/>
    <mergeCell ref="A884:A886"/>
    <mergeCell ref="A900:A904"/>
    <mergeCell ref="A1110:A1112"/>
    <mergeCell ref="G167:G168"/>
    <mergeCell ref="A186:A187"/>
    <mergeCell ref="A188:A189"/>
    <mergeCell ref="A190:A192"/>
    <mergeCell ref="G4391:G4392"/>
    <mergeCell ref="G4331:G4332"/>
    <mergeCell ref="A4416:A4419"/>
    <mergeCell ref="A400:A402"/>
    <mergeCell ref="A490:A492"/>
    <mergeCell ref="A379:A380"/>
    <mergeCell ref="A405:A406"/>
    <mergeCell ref="A410:A411"/>
    <mergeCell ref="A403:A404"/>
    <mergeCell ref="A486:A489"/>
    <mergeCell ref="A574:A579"/>
    <mergeCell ref="A584:A585"/>
    <mergeCell ref="A587:A592"/>
    <mergeCell ref="A593:A595"/>
    <mergeCell ref="A564:A567"/>
    <mergeCell ref="A568:A570"/>
    <mergeCell ref="A762:A763"/>
    <mergeCell ref="A766:A768"/>
    <mergeCell ref="A4400:A4401"/>
    <mergeCell ref="G929:G930"/>
    <mergeCell ref="G596:G597"/>
    <mergeCell ref="A894:A896"/>
    <mergeCell ref="A955:A956"/>
    <mergeCell ref="A957:A958"/>
    <mergeCell ref="A937:A938"/>
    <mergeCell ref="A769:A771"/>
    <mergeCell ref="A571:A573"/>
    <mergeCell ref="A817:A819"/>
    <mergeCell ref="A842:A843"/>
    <mergeCell ref="A865:A866"/>
    <mergeCell ref="A868:A870"/>
    <mergeCell ref="A872:A874"/>
    <mergeCell ref="A876:A877"/>
    <mergeCell ref="A912:A914"/>
    <mergeCell ref="A915:A916"/>
    <mergeCell ref="A907:A908"/>
    <mergeCell ref="A909:A911"/>
    <mergeCell ref="A921:A922"/>
    <mergeCell ref="A862:A864"/>
    <mergeCell ref="A897:A898"/>
    <mergeCell ref="A917:A918"/>
    <mergeCell ref="A923:A924"/>
    <mergeCell ref="A789:A790"/>
    <mergeCell ref="A791:A792"/>
    <mergeCell ref="A793:A796"/>
    <mergeCell ref="A618:A620"/>
    <mergeCell ref="A659:A662"/>
    <mergeCell ref="A644:A646"/>
    <mergeCell ref="A612:A613"/>
    <mergeCell ref="A784:A785"/>
    <mergeCell ref="A751:A754"/>
    <mergeCell ref="A833:A835"/>
    <mergeCell ref="A747:A750"/>
    <mergeCell ref="A596:A597"/>
    <mergeCell ref="A804:A808"/>
    <mergeCell ref="A889:A890"/>
    <mergeCell ref="G408:G409"/>
    <mergeCell ref="G815:G816"/>
    <mergeCell ref="A881:A882"/>
    <mergeCell ref="A839:A841"/>
    <mergeCell ref="A846:A849"/>
    <mergeCell ref="A850:A852"/>
    <mergeCell ref="A855:A860"/>
    <mergeCell ref="A813:A814"/>
    <mergeCell ref="A648:A650"/>
    <mergeCell ref="A651:A653"/>
    <mergeCell ref="A601:A603"/>
    <mergeCell ref="A607:A610"/>
    <mergeCell ref="A493:A494"/>
    <mergeCell ref="A551:A553"/>
    <mergeCell ref="A815:A816"/>
    <mergeCell ref="A774:A778"/>
    <mergeCell ref="A779:A783"/>
    <mergeCell ref="A755:A760"/>
    <mergeCell ref="A823:A829"/>
    <mergeCell ref="A836:A838"/>
    <mergeCell ref="A809:A812"/>
    <mergeCell ref="A786:A788"/>
    <mergeCell ref="A801:A802"/>
    <mergeCell ref="A180:A181"/>
    <mergeCell ref="A599:A600"/>
    <mergeCell ref="G218:G219"/>
    <mergeCell ref="A221:A222"/>
    <mergeCell ref="A227:A230"/>
    <mergeCell ref="G654:G655"/>
    <mergeCell ref="G762:G763"/>
    <mergeCell ref="A415:A418"/>
    <mergeCell ref="A376:A377"/>
    <mergeCell ref="G496:G497"/>
    <mergeCell ref="A654:A655"/>
    <mergeCell ref="A710:A711"/>
    <mergeCell ref="A713:A715"/>
    <mergeCell ref="A556:A557"/>
    <mergeCell ref="A621:A623"/>
    <mergeCell ref="A624:A628"/>
    <mergeCell ref="A629:A630"/>
    <mergeCell ref="A637:A639"/>
    <mergeCell ref="A394:A395"/>
    <mergeCell ref="A640:A643"/>
    <mergeCell ref="A398:A399"/>
    <mergeCell ref="A231:A232"/>
    <mergeCell ref="A234:A237"/>
    <mergeCell ref="A238:A239"/>
    <mergeCell ref="A240:A241"/>
    <mergeCell ref="A243:A244"/>
    <mergeCell ref="A615:A617"/>
    <mergeCell ref="A364:A367"/>
    <mergeCell ref="A371:A374"/>
    <mergeCell ref="G362:G363"/>
    <mergeCell ref="A381:A382"/>
    <mergeCell ref="A383:A384"/>
    <mergeCell ref="A51:A52"/>
    <mergeCell ref="A385:A390"/>
    <mergeCell ref="A408:A409"/>
    <mergeCell ref="A146:A147"/>
    <mergeCell ref="A148:A151"/>
    <mergeCell ref="A153:A154"/>
    <mergeCell ref="A196:A197"/>
    <mergeCell ref="A362:A363"/>
    <mergeCell ref="A471:A472"/>
    <mergeCell ref="A473:A476"/>
    <mergeCell ref="A480:A483"/>
    <mergeCell ref="A258:A259"/>
    <mergeCell ref="A260:A261"/>
    <mergeCell ref="A262:A263"/>
    <mergeCell ref="A264:A265"/>
    <mergeCell ref="A245:A246"/>
    <mergeCell ref="A247:A251"/>
    <mergeCell ref="A158:A159"/>
    <mergeCell ref="A160:A161"/>
    <mergeCell ref="A163:A166"/>
    <mergeCell ref="A167:A168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213:A215"/>
    <mergeCell ref="A216:A217"/>
    <mergeCell ref="A218:A219"/>
    <mergeCell ref="G127:G128"/>
    <mergeCell ref="A182:A183"/>
    <mergeCell ref="A184:A185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91:B92"/>
    <mergeCell ref="A94:A95"/>
    <mergeCell ref="B94:B95"/>
    <mergeCell ref="B51:B52"/>
    <mergeCell ref="A55:A56"/>
    <mergeCell ref="B55:B56"/>
    <mergeCell ref="B48:B50"/>
    <mergeCell ref="A137:A138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31:B34"/>
    <mergeCell ref="B27:B30"/>
    <mergeCell ref="B137:B138"/>
    <mergeCell ref="A139:A140"/>
    <mergeCell ref="A141:A143"/>
    <mergeCell ref="A144:A145"/>
    <mergeCell ref="A59:A60"/>
    <mergeCell ref="B59:B60"/>
    <mergeCell ref="A62:A66"/>
    <mergeCell ref="B62:B66"/>
    <mergeCell ref="A67:A68"/>
    <mergeCell ref="B67:B68"/>
    <mergeCell ref="A105:A107"/>
    <mergeCell ref="B105:B107"/>
    <mergeCell ref="A108:A110"/>
    <mergeCell ref="A113:A114"/>
    <mergeCell ref="B113:B114"/>
    <mergeCell ref="A116:A117"/>
    <mergeCell ref="B116:B117"/>
    <mergeCell ref="A118:A120"/>
    <mergeCell ref="B118:B120"/>
    <mergeCell ref="A121:A122"/>
    <mergeCell ref="B121:B122"/>
    <mergeCell ref="A123:A124"/>
    <mergeCell ref="B123:B124"/>
    <mergeCell ref="A73:A74"/>
    <mergeCell ref="B73:B74"/>
    <mergeCell ref="A91:A92"/>
    <mergeCell ref="A127:A128"/>
    <mergeCell ref="B127:B128"/>
    <mergeCell ref="B75:B77"/>
    <mergeCell ref="A132:A135"/>
    <mergeCell ref="B132:B135"/>
    <mergeCell ref="J264:J265"/>
    <mergeCell ref="A266:A267"/>
    <mergeCell ref="A268:A269"/>
    <mergeCell ref="G268:G269"/>
    <mergeCell ref="G314:G315"/>
    <mergeCell ref="A317:A318"/>
    <mergeCell ref="A320:A323"/>
    <mergeCell ref="A327:A330"/>
    <mergeCell ref="A334:A335"/>
    <mergeCell ref="A337:A338"/>
    <mergeCell ref="A339:A340"/>
    <mergeCell ref="A341:A342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I420:J420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J502:J506"/>
    <mergeCell ref="A504:A506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496:A497"/>
    <mergeCell ref="G556:G557"/>
    <mergeCell ref="A559:A563"/>
    <mergeCell ref="A498:A499"/>
    <mergeCell ref="A502:A503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J734:J735"/>
    <mergeCell ref="A741:A743"/>
    <mergeCell ref="A716:A718"/>
    <mergeCell ref="A719:A726"/>
    <mergeCell ref="A727:A733"/>
    <mergeCell ref="A734:A740"/>
    <mergeCell ref="A968:A969"/>
    <mergeCell ref="A971:A973"/>
    <mergeCell ref="A995:A999"/>
    <mergeCell ref="A1000:A1001"/>
    <mergeCell ref="A1002:A1003"/>
    <mergeCell ref="A1004:A1005"/>
    <mergeCell ref="A1006:A1007"/>
    <mergeCell ref="A1008:A1014"/>
    <mergeCell ref="A1017:A1018"/>
    <mergeCell ref="A1019:A1020"/>
    <mergeCell ref="A980:A982"/>
    <mergeCell ref="A983:A984"/>
    <mergeCell ref="A977:A979"/>
    <mergeCell ref="G1030:G1031"/>
    <mergeCell ref="A1032:A1034"/>
    <mergeCell ref="A1023:A1025"/>
    <mergeCell ref="A1028:A1029"/>
    <mergeCell ref="A1021:A1022"/>
    <mergeCell ref="G983:G984"/>
    <mergeCell ref="A985:A987"/>
    <mergeCell ref="A988:A989"/>
    <mergeCell ref="A990:A992"/>
    <mergeCell ref="A1035:A1036"/>
    <mergeCell ref="A1041:A1042"/>
    <mergeCell ref="A1043:A1045"/>
    <mergeCell ref="A1046:A1047"/>
    <mergeCell ref="A1052:A1059"/>
    <mergeCell ref="A1062:A1063"/>
    <mergeCell ref="A1065:A1067"/>
    <mergeCell ref="A1068:A1069"/>
    <mergeCell ref="A1070:A1071"/>
    <mergeCell ref="A1072:A1074"/>
    <mergeCell ref="A1075:A1077"/>
    <mergeCell ref="A1078:A1079"/>
    <mergeCell ref="A1080:A1081"/>
    <mergeCell ref="G1080:G1081"/>
    <mergeCell ref="A1082:A1083"/>
    <mergeCell ref="A1030:A1031"/>
    <mergeCell ref="A1121:A1122"/>
    <mergeCell ref="G1121:G1122"/>
    <mergeCell ref="A1092:A1093"/>
    <mergeCell ref="A1087:A1090"/>
    <mergeCell ref="A1125:A1126"/>
    <mergeCell ref="A1127:A1128"/>
    <mergeCell ref="A1136:A1137"/>
    <mergeCell ref="A1138:A1139"/>
    <mergeCell ref="A1140:A1141"/>
    <mergeCell ref="A1144:A1145"/>
    <mergeCell ref="A1146:A1147"/>
    <mergeCell ref="A1148:A1151"/>
    <mergeCell ref="A1154:A1156"/>
    <mergeCell ref="A1158:A1162"/>
    <mergeCell ref="A1163:A1166"/>
    <mergeCell ref="A1167:A1168"/>
    <mergeCell ref="G1167:G1168"/>
    <mergeCell ref="A1170:A1171"/>
    <mergeCell ref="A1172:A1173"/>
    <mergeCell ref="A1176:A1179"/>
    <mergeCell ref="A1180:A1181"/>
    <mergeCell ref="A1182:A1183"/>
    <mergeCell ref="A1186:A1190"/>
    <mergeCell ref="A1192:A1193"/>
    <mergeCell ref="A1194:A1197"/>
    <mergeCell ref="A1199:A1200"/>
    <mergeCell ref="A1202:A1203"/>
    <mergeCell ref="G1202:G1203"/>
    <mergeCell ref="A1205:A1206"/>
    <mergeCell ref="A1207:A1208"/>
    <mergeCell ref="A1209:A1210"/>
    <mergeCell ref="A1211:A1212"/>
    <mergeCell ref="A1216:A1217"/>
    <mergeCell ref="A1218:A1219"/>
    <mergeCell ref="A1221:A1222"/>
    <mergeCell ref="A1223:A1224"/>
    <mergeCell ref="A1226:A1230"/>
    <mergeCell ref="A1232:A1233"/>
    <mergeCell ref="A1235:A1236"/>
    <mergeCell ref="A1238:A1239"/>
    <mergeCell ref="A1242:A1243"/>
    <mergeCell ref="A1244:A1245"/>
    <mergeCell ref="A1246:A1247"/>
    <mergeCell ref="A1248:A1249"/>
    <mergeCell ref="A1250:A1251"/>
    <mergeCell ref="G1250:G1251"/>
    <mergeCell ref="A1252:A1253"/>
    <mergeCell ref="A1257:A1258"/>
    <mergeCell ref="A1259:A1260"/>
    <mergeCell ref="A1262:A1263"/>
    <mergeCell ref="A1264:A1265"/>
    <mergeCell ref="A1268:A1269"/>
    <mergeCell ref="A1270:A1271"/>
    <mergeCell ref="A1273:A1278"/>
    <mergeCell ref="A1282:A1283"/>
    <mergeCell ref="A1284:A1285"/>
    <mergeCell ref="A1286:A1287"/>
    <mergeCell ref="A1289:A1290"/>
    <mergeCell ref="A1291:A1292"/>
    <mergeCell ref="G1291:G1292"/>
    <mergeCell ref="A1294:A1295"/>
    <mergeCell ref="A1296:A1298"/>
    <mergeCell ref="A1299:A1300"/>
    <mergeCell ref="A1301:A1302"/>
    <mergeCell ref="A1305:A1306"/>
    <mergeCell ref="A1308:A1309"/>
    <mergeCell ref="A1311:A1312"/>
    <mergeCell ref="A1318:A1322"/>
    <mergeCell ref="A1324:A1325"/>
    <mergeCell ref="A1328:A1329"/>
    <mergeCell ref="A1330:A1331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1374:A1375"/>
    <mergeCell ref="A1377:A1378"/>
    <mergeCell ref="G1377:G1378"/>
    <mergeCell ref="A1380:A1381"/>
    <mergeCell ref="A1382:A1383"/>
    <mergeCell ref="A1384:A1385"/>
    <mergeCell ref="A1388:A1389"/>
    <mergeCell ref="A1390:A1391"/>
    <mergeCell ref="A1395:A1396"/>
    <mergeCell ref="A1397:A1398"/>
    <mergeCell ref="A1401:A1404"/>
    <mergeCell ref="G1401:G1404"/>
    <mergeCell ref="A1407:A1408"/>
    <mergeCell ref="A1409:A1410"/>
    <mergeCell ref="A1412:A1413"/>
    <mergeCell ref="A1415:A1416"/>
    <mergeCell ref="A1418:A1419"/>
    <mergeCell ref="G1418:G1419"/>
    <mergeCell ref="A1421:A1422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4305:A4307"/>
    <mergeCell ref="A4282:A4283"/>
    <mergeCell ref="A4284:A4286"/>
    <mergeCell ref="G3983:G3984"/>
    <mergeCell ref="G4090:G4092"/>
    <mergeCell ref="G4064:G4065"/>
    <mergeCell ref="G4055:G4056"/>
    <mergeCell ref="G4231:G4232"/>
    <mergeCell ref="G4278:G4279"/>
    <mergeCell ref="G4251:G4254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781:A3784"/>
    <mergeCell ref="A3779:A3780"/>
    <mergeCell ref="A3765:A3767"/>
    <mergeCell ref="A3769:A3771"/>
    <mergeCell ref="A3749:A3750"/>
    <mergeCell ref="A3835:A3836"/>
    <mergeCell ref="A3861:A3864"/>
    <mergeCell ref="A4171:A4172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802:A3803"/>
    <mergeCell ref="G3765:G3767"/>
    <mergeCell ref="G3779:G3780"/>
    <mergeCell ref="G3721:G3722"/>
    <mergeCell ref="A3854:A3855"/>
    <mergeCell ref="G3820:G3821"/>
    <mergeCell ref="G3912:G3913"/>
    <mergeCell ref="G3949:G3950"/>
    <mergeCell ref="A3914:A3915"/>
    <mergeCell ref="A3867:A3872"/>
    <mergeCell ref="A3874:A3875"/>
    <mergeCell ref="A4233:A4235"/>
    <mergeCell ref="A4237:A4239"/>
    <mergeCell ref="A3837:A3838"/>
    <mergeCell ref="A3859:A3860"/>
    <mergeCell ref="A4184:A4185"/>
    <mergeCell ref="A4167:A4168"/>
    <mergeCell ref="A4164:A4166"/>
    <mergeCell ref="A4169:A4170"/>
    <mergeCell ref="A4106:A4108"/>
    <mergeCell ref="A4131:A4132"/>
    <mergeCell ref="A3876:A3879"/>
    <mergeCell ref="A3890:A3891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G3895:G3896"/>
    <mergeCell ref="A4090:A4092"/>
    <mergeCell ref="A3992:A3995"/>
    <mergeCell ref="A4066:A4070"/>
    <mergeCell ref="A4120:A4122"/>
    <mergeCell ref="A3928:A3929"/>
    <mergeCell ref="A4055:A4056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45:A4246"/>
    <mergeCell ref="A3895:A3896"/>
    <mergeCell ref="A3960:A3961"/>
    <mergeCell ref="A3912:A3913"/>
    <mergeCell ref="A3945:A3946"/>
    <mergeCell ref="A3906:A3908"/>
    <mergeCell ref="A3909:A3911"/>
    <mergeCell ref="A4240:A4243"/>
    <mergeCell ref="A4204:A4205"/>
    <mergeCell ref="A4227:A4229"/>
    <mergeCell ref="A4212:A4213"/>
    <mergeCell ref="A4064:A4065"/>
    <mergeCell ref="A3976:A3977"/>
    <mergeCell ref="A4182:A4183"/>
    <mergeCell ref="A4133:A4136"/>
    <mergeCell ref="G4493:G4494"/>
    <mergeCell ref="A4503:A4504"/>
    <mergeCell ref="A4505:A4506"/>
    <mergeCell ref="A4529:A4530"/>
    <mergeCell ref="A4532:A4533"/>
    <mergeCell ref="A4339:A4344"/>
    <mergeCell ref="A4527:A4528"/>
    <mergeCell ref="A4501:A4502"/>
    <mergeCell ref="A4402:A4405"/>
    <mergeCell ref="A4507:A4508"/>
    <mergeCell ref="A4512:A4514"/>
    <mergeCell ref="A4499:A4500"/>
    <mergeCell ref="A4414:A4415"/>
    <mergeCell ref="A4354:A4355"/>
    <mergeCell ref="A4367:A4369"/>
    <mergeCell ref="A4360:A4362"/>
    <mergeCell ref="A4298:A4299"/>
    <mergeCell ref="A4324:A4326"/>
    <mergeCell ref="A4315:A4316"/>
    <mergeCell ref="A4317:A4318"/>
    <mergeCell ref="A4329:A4330"/>
    <mergeCell ref="A4331:A4332"/>
    <mergeCell ref="A4345:A4346"/>
    <mergeCell ref="A4334:A4335"/>
    <mergeCell ref="A4311:A4314"/>
    <mergeCell ref="G4311:G4314"/>
    <mergeCell ref="A4431:A4432"/>
    <mergeCell ref="A4493:A4494"/>
    <mergeCell ref="A4453:A4454"/>
    <mergeCell ref="A4456:A4457"/>
    <mergeCell ref="A4458:A4460"/>
    <mergeCell ref="A4461:A4463"/>
    <mergeCell ref="A4552:A4553"/>
    <mergeCell ref="A4536:A4538"/>
    <mergeCell ref="A4554:A4555"/>
    <mergeCell ref="A4391:A4392"/>
    <mergeCell ref="A4393:A4395"/>
    <mergeCell ref="A3934:A3935"/>
    <mergeCell ref="A3936:A3938"/>
    <mergeCell ref="A4006:A4008"/>
    <mergeCell ref="A4267:A4269"/>
    <mergeCell ref="A4272:A4274"/>
    <mergeCell ref="A4347:A4349"/>
    <mergeCell ref="A4322:A4323"/>
    <mergeCell ref="A4270:A4271"/>
    <mergeCell ref="A4193:A4195"/>
    <mergeCell ref="A4196:A4200"/>
    <mergeCell ref="A4202:A4203"/>
    <mergeCell ref="A4543:A4544"/>
    <mergeCell ref="A4539:A4541"/>
    <mergeCell ref="A4214:A4216"/>
    <mergeCell ref="A4231:A4232"/>
    <mergeCell ref="A4082:A4084"/>
    <mergeCell ref="A4114:A4115"/>
    <mergeCell ref="A4209:A4210"/>
    <mergeCell ref="A4406:A4407"/>
    <mergeCell ref="A4429:A4430"/>
    <mergeCell ref="A4489:A4492"/>
    <mergeCell ref="A4251:A4254"/>
    <mergeCell ref="A4278:A4279"/>
    <mergeCell ref="A4292:A4293"/>
    <mergeCell ref="A4548:A4549"/>
    <mergeCell ref="A4445:A4448"/>
    <mergeCell ref="A4473:A4475"/>
    <mergeCell ref="A4700:A4701"/>
    <mergeCell ref="G4700:G4701"/>
    <mergeCell ref="A4721:A4722"/>
    <mergeCell ref="A4806:A4807"/>
    <mergeCell ref="G4579:G4581"/>
    <mergeCell ref="A4582:A4584"/>
    <mergeCell ref="A4681:A4682"/>
    <mergeCell ref="A4370:A4372"/>
    <mergeCell ref="A4357:A4359"/>
    <mergeCell ref="A4422:A4423"/>
    <mergeCell ref="A4424:A4425"/>
    <mergeCell ref="A4376:A4377"/>
    <mergeCell ref="A4477:A4479"/>
    <mergeCell ref="A4442:A4443"/>
    <mergeCell ref="A4427:A4428"/>
    <mergeCell ref="A4579:A4581"/>
    <mergeCell ref="A4521:A4523"/>
    <mergeCell ref="A4524:A4526"/>
    <mergeCell ref="A4517:A4518"/>
    <mergeCell ref="A4480:A4481"/>
    <mergeCell ref="A4437:A4440"/>
    <mergeCell ref="A4515:A4516"/>
    <mergeCell ref="A4387:A4390"/>
    <mergeCell ref="A4384:A4386"/>
    <mergeCell ref="A4374:A4375"/>
    <mergeCell ref="A4560:A4562"/>
    <mergeCell ref="A4563:A4565"/>
    <mergeCell ref="A4567:A4569"/>
    <mergeCell ref="A4570:A4571"/>
    <mergeCell ref="A4572:A4574"/>
    <mergeCell ref="A4550:A4551"/>
    <mergeCell ref="A4586:A4587"/>
    <mergeCell ref="A4591:A4592"/>
    <mergeCell ref="A4593:A4595"/>
    <mergeCell ref="G4615:G4616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640:A4641"/>
    <mergeCell ref="A4643:A4645"/>
    <mergeCell ref="A4646:A4648"/>
    <mergeCell ref="A4679:A4680"/>
    <mergeCell ref="A4653:A4655"/>
    <mergeCell ref="A4687:A4690"/>
    <mergeCell ref="A4601:A4602"/>
    <mergeCell ref="A4622:A4623"/>
    <mergeCell ref="A4605:A4608"/>
    <mergeCell ref="A4610:A4611"/>
    <mergeCell ref="A4615:A4616"/>
    <mergeCell ref="A4649:A4650"/>
    <mergeCell ref="A4627:A4628"/>
    <mergeCell ref="A4629:A4632"/>
    <mergeCell ref="A4633:A4634"/>
    <mergeCell ref="A4635:A4636"/>
    <mergeCell ref="A4597:A4598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745:A4747"/>
    <mergeCell ref="A4748:A4750"/>
    <mergeCell ref="A4751:A4752"/>
    <mergeCell ref="G4751:G4752"/>
    <mergeCell ref="A4812:A4813"/>
    <mergeCell ref="G4776:G4777"/>
    <mergeCell ref="A4709:A4711"/>
    <mergeCell ref="A4767:A4768"/>
    <mergeCell ref="A4719:A4720"/>
    <mergeCell ref="A4808:A4811"/>
    <mergeCell ref="A4799:A4800"/>
    <mergeCell ref="A4788:A4790"/>
    <mergeCell ref="A4792:A4793"/>
    <mergeCell ref="G4792:G4793"/>
    <mergeCell ref="A4794:A4795"/>
    <mergeCell ref="A4723:A4724"/>
    <mergeCell ref="A4727:A4728"/>
    <mergeCell ref="A4729:A4732"/>
    <mergeCell ref="A4734:A4736"/>
    <mergeCell ref="A4770:A4771"/>
    <mergeCell ref="A4776:A4777"/>
    <mergeCell ref="G4999:G5000"/>
    <mergeCell ref="A4989:A4991"/>
    <mergeCell ref="A4992:A4994"/>
    <mergeCell ref="A4842:A4843"/>
    <mergeCell ref="A4889:A4890"/>
    <mergeCell ref="A4844:A4845"/>
    <mergeCell ref="A4846:A4847"/>
    <mergeCell ref="A4887:A4888"/>
    <mergeCell ref="A4838:A4839"/>
    <mergeCell ref="G4838:G4839"/>
    <mergeCell ref="A4840:A4841"/>
    <mergeCell ref="A4832:A4833"/>
    <mergeCell ref="A4926:A4929"/>
    <mergeCell ref="A4866:A4867"/>
    <mergeCell ref="A4986:A4987"/>
    <mergeCell ref="A4966:A4968"/>
    <mergeCell ref="A4983:A4985"/>
    <mergeCell ref="A4999:A5000"/>
    <mergeCell ref="A4881:A4884"/>
    <mergeCell ref="A4856:A4858"/>
    <mergeCell ref="A4897:A4898"/>
    <mergeCell ref="A4969:A4970"/>
    <mergeCell ref="A4825:A4826"/>
    <mergeCell ref="A4834:A4837"/>
    <mergeCell ref="G4830:G4831"/>
    <mergeCell ref="A4830:A4831"/>
    <mergeCell ref="G4866:G4867"/>
    <mergeCell ref="A4868:A4871"/>
    <mergeCell ref="A4872:A4873"/>
    <mergeCell ref="A4859:A4860"/>
    <mergeCell ref="A4854:A4855"/>
    <mergeCell ref="G4729:G4732"/>
    <mergeCell ref="A4891:A4892"/>
    <mergeCell ref="G4820:G4822"/>
    <mergeCell ref="A4933:A4934"/>
    <mergeCell ref="A4935:A4936"/>
    <mergeCell ref="G4935:G4936"/>
    <mergeCell ref="A4924:A4925"/>
    <mergeCell ref="A4964:A4965"/>
    <mergeCell ref="A4960:A4961"/>
    <mergeCell ref="A4996:A4997"/>
    <mergeCell ref="G4996:G4997"/>
    <mergeCell ref="A5001:A5002"/>
    <mergeCell ref="A5014:A5015"/>
    <mergeCell ref="A5150:A5152"/>
    <mergeCell ref="A5146:A5147"/>
    <mergeCell ref="A4956:A4957"/>
    <mergeCell ref="A4977:A4978"/>
    <mergeCell ref="G4977:G4978"/>
    <mergeCell ref="A4772:A4773"/>
    <mergeCell ref="A4816:A4817"/>
    <mergeCell ref="A4818:A4819"/>
    <mergeCell ref="A4820:A4822"/>
    <mergeCell ref="A4774:A4775"/>
    <mergeCell ref="A5049:A5052"/>
    <mergeCell ref="G5035:G5036"/>
    <mergeCell ref="A5037:A5038"/>
    <mergeCell ref="A5039:A5041"/>
    <mergeCell ref="A5114:A5115"/>
    <mergeCell ref="G5116:G5117"/>
    <mergeCell ref="A5110:A5113"/>
    <mergeCell ref="G5110:G5113"/>
    <mergeCell ref="A5099:A5101"/>
    <mergeCell ref="G4854:G4855"/>
    <mergeCell ref="A5226:A5228"/>
    <mergeCell ref="G5140:G5141"/>
    <mergeCell ref="A5138:A5139"/>
    <mergeCell ref="A5126:A5127"/>
    <mergeCell ref="A5134:A5137"/>
    <mergeCell ref="A5210:A5211"/>
    <mergeCell ref="A5179:A5180"/>
    <mergeCell ref="A5181:A5182"/>
    <mergeCell ref="A5164:A5165"/>
    <mergeCell ref="G5216:G5217"/>
    <mergeCell ref="A5222:A5225"/>
    <mergeCell ref="A5084:A5086"/>
    <mergeCell ref="A5087:A5088"/>
    <mergeCell ref="G5084:G5086"/>
    <mergeCell ref="G4930:G4931"/>
    <mergeCell ref="A5059:A5060"/>
    <mergeCell ref="A5102:A5104"/>
    <mergeCell ref="A5091:A5092"/>
    <mergeCell ref="A5019:A5020"/>
    <mergeCell ref="A4878:A4880"/>
    <mergeCell ref="A5128:A5129"/>
    <mergeCell ref="A5123:A5125"/>
    <mergeCell ref="A5116:A5117"/>
    <mergeCell ref="A5153:A5154"/>
    <mergeCell ref="A5156:A5159"/>
    <mergeCell ref="A5161:A5162"/>
    <mergeCell ref="A5142:A5144"/>
    <mergeCell ref="G4903:G4904"/>
    <mergeCell ref="A4971:A4973"/>
    <mergeCell ref="A4946:A4947"/>
    <mergeCell ref="G5091:G5092"/>
    <mergeCell ref="A4900:A4902"/>
    <mergeCell ref="A4905:A4906"/>
    <mergeCell ref="G4893:G4894"/>
    <mergeCell ref="A4908:A4910"/>
    <mergeCell ref="A5199:A5200"/>
    <mergeCell ref="A5202:A5203"/>
    <mergeCell ref="G5202:G5203"/>
    <mergeCell ref="A5205:A5207"/>
    <mergeCell ref="A5172:A5175"/>
    <mergeCell ref="A5054:A5055"/>
    <mergeCell ref="A5042:A5044"/>
    <mergeCell ref="A5183:A5184"/>
    <mergeCell ref="A4942:A4943"/>
    <mergeCell ref="A4903:A4904"/>
    <mergeCell ref="A4954:A4955"/>
    <mergeCell ref="A5006:A5008"/>
    <mergeCell ref="A5009:A5011"/>
    <mergeCell ref="A5012:A5013"/>
    <mergeCell ref="A4930:A4931"/>
    <mergeCell ref="A5074:A5076"/>
    <mergeCell ref="A5077:A5078"/>
    <mergeCell ref="A5079:A5080"/>
    <mergeCell ref="A5070:A5071"/>
    <mergeCell ref="G4950:G4951"/>
    <mergeCell ref="A4979:A4980"/>
    <mergeCell ref="A4948:A4949"/>
    <mergeCell ref="A4950:A4951"/>
    <mergeCell ref="A4911:A4913"/>
    <mergeCell ref="G4960:G4961"/>
    <mergeCell ref="G5042:G5044"/>
    <mergeCell ref="A5047:A5048"/>
    <mergeCell ref="G5019:G5020"/>
    <mergeCell ref="G5126:G5127"/>
    <mergeCell ref="A5035:A5036"/>
    <mergeCell ref="A5192:A5195"/>
    <mergeCell ref="A5216:A5217"/>
    <mergeCell ref="A5219:A5221"/>
    <mergeCell ref="G5047:G5048"/>
    <mergeCell ref="A5121:A5122"/>
    <mergeCell ref="A5140:A5141"/>
    <mergeCell ref="A5212:A5213"/>
    <mergeCell ref="A5282:A5283"/>
    <mergeCell ref="A5250:A5251"/>
    <mergeCell ref="A5240:A5242"/>
    <mergeCell ref="A5234:A5235"/>
    <mergeCell ref="A5279:A5281"/>
    <mergeCell ref="A5262:A5263"/>
    <mergeCell ref="A5265:A5266"/>
    <mergeCell ref="A5267:A5269"/>
    <mergeCell ref="A5270:A5271"/>
    <mergeCell ref="A5272:A5273"/>
    <mergeCell ref="A5275:A5276"/>
    <mergeCell ref="A5326:A5327"/>
    <mergeCell ref="A5331:A5334"/>
    <mergeCell ref="A5321:A5325"/>
    <mergeCell ref="G5321:G5325"/>
    <mergeCell ref="A5316:A5317"/>
    <mergeCell ref="A4917:A4918"/>
    <mergeCell ref="A4893:A4894"/>
    <mergeCell ref="A5063:A5064"/>
    <mergeCell ref="A5065:A5069"/>
    <mergeCell ref="G5065:G5066"/>
    <mergeCell ref="A5247:A5249"/>
    <mergeCell ref="A5374:A5375"/>
    <mergeCell ref="A5348:A5350"/>
    <mergeCell ref="A5351:A5353"/>
    <mergeCell ref="A5355:A5357"/>
    <mergeCell ref="A5358:A5359"/>
    <mergeCell ref="A5338:A5341"/>
    <mergeCell ref="A5342:A5343"/>
    <mergeCell ref="A5298:A5299"/>
    <mergeCell ref="A5302:A5304"/>
    <mergeCell ref="A5305:A5308"/>
    <mergeCell ref="A5309:A5310"/>
    <mergeCell ref="A5311:A5312"/>
    <mergeCell ref="A5296:A5297"/>
    <mergeCell ref="A5229:A5230"/>
    <mergeCell ref="A5260:A5261"/>
    <mergeCell ref="A5254:A5255"/>
    <mergeCell ref="A5243:A5244"/>
    <mergeCell ref="A5232:A5233"/>
    <mergeCell ref="G5232:G5233"/>
    <mergeCell ref="A5286:A5289"/>
    <mergeCell ref="A5290:A5292"/>
    <mergeCell ref="A5363:A5364"/>
    <mergeCell ref="G5363:G5364"/>
    <mergeCell ref="A5416:A5417"/>
    <mergeCell ref="A5527:A5528"/>
    <mergeCell ref="A5504:A5505"/>
    <mergeCell ref="G5504:G5505"/>
    <mergeCell ref="A5507:A5508"/>
    <mergeCell ref="A5493:A5495"/>
    <mergeCell ref="A5497:A5498"/>
    <mergeCell ref="A5499:A5500"/>
    <mergeCell ref="A5501:A5502"/>
    <mergeCell ref="A5489:A5490"/>
    <mergeCell ref="G5489:G5490"/>
    <mergeCell ref="A5485:A5486"/>
    <mergeCell ref="A5476:A5478"/>
    <mergeCell ref="A5479:A5481"/>
    <mergeCell ref="A5482:A5484"/>
    <mergeCell ref="A5467:A5468"/>
    <mergeCell ref="A5470:A5471"/>
    <mergeCell ref="A5436:A5437"/>
    <mergeCell ref="G5436:G5437"/>
    <mergeCell ref="A5439:A5440"/>
    <mergeCell ref="A5441:A5442"/>
    <mergeCell ref="A5443:A5444"/>
    <mergeCell ref="A5445:A5446"/>
    <mergeCell ref="A5511:A5512"/>
    <mergeCell ref="A5513:A5514"/>
    <mergeCell ref="A5515:A5516"/>
    <mergeCell ref="G5416:G5417"/>
    <mergeCell ref="A5408:A5409"/>
    <mergeCell ref="G5408:G5409"/>
    <mergeCell ref="A5412:A5413"/>
    <mergeCell ref="A5378:A5379"/>
    <mergeCell ref="A5380:A5381"/>
    <mergeCell ref="A5370:A5373"/>
    <mergeCell ref="G5370:G5373"/>
    <mergeCell ref="A5394:A5397"/>
    <mergeCell ref="A5398:A5399"/>
    <mergeCell ref="A5400:A5401"/>
    <mergeCell ref="A5402:A5403"/>
    <mergeCell ref="G5402:G5403"/>
    <mergeCell ref="A5406:A5407"/>
    <mergeCell ref="A5464:A5466"/>
    <mergeCell ref="A5455:A5456"/>
    <mergeCell ref="A5449:A5451"/>
    <mergeCell ref="A5452:A5453"/>
    <mergeCell ref="A5472:A5474"/>
    <mergeCell ref="G5515:G5516"/>
    <mergeCell ref="A5385:A5386"/>
    <mergeCell ref="A5387:A5388"/>
    <mergeCell ref="A5428:A5429"/>
    <mergeCell ref="A5430:A5431"/>
    <mergeCell ref="A5432:A5433"/>
    <mergeCell ref="A5418:A5419"/>
    <mergeCell ref="A5420:A5421"/>
    <mergeCell ref="A5625:A5626"/>
    <mergeCell ref="A5584:A5587"/>
    <mergeCell ref="A5588:A5589"/>
    <mergeCell ref="A5590:A5592"/>
    <mergeCell ref="A5593:A5594"/>
    <mergeCell ref="A5595:A5596"/>
    <mergeCell ref="A5564:A5565"/>
    <mergeCell ref="A5570:A5572"/>
    <mergeCell ref="A5573:A5574"/>
    <mergeCell ref="A5575:A5576"/>
    <mergeCell ref="A5561:A5562"/>
    <mergeCell ref="A5551:A5552"/>
    <mergeCell ref="A5553:A5555"/>
    <mergeCell ref="G5531:G5532"/>
    <mergeCell ref="G5534:G5538"/>
    <mergeCell ref="A5542:A5546"/>
    <mergeCell ref="A5518:A5522"/>
    <mergeCell ref="A5523:A5525"/>
    <mergeCell ref="A5531:A5532"/>
    <mergeCell ref="A5609:A5610"/>
    <mergeCell ref="A5612:A5615"/>
    <mergeCell ref="A5617:A5618"/>
    <mergeCell ref="A5619:A5620"/>
    <mergeCell ref="A5621:A5622"/>
    <mergeCell ref="A5623:A5624"/>
    <mergeCell ref="G5623:G5624"/>
    <mergeCell ref="A5606:A5607"/>
    <mergeCell ref="A5599:A5600"/>
    <mergeCell ref="G5599:G5600"/>
    <mergeCell ref="A5602:A5603"/>
    <mergeCell ref="A5577:A5578"/>
    <mergeCell ref="G5549:G555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User</cp:lastModifiedBy>
  <cp:revision>375</cp:revision>
  <cp:lastPrinted>2026-01-29T07:41:29Z</cp:lastPrinted>
  <dcterms:created xsi:type="dcterms:W3CDTF">2015-06-05T18:19:34Z</dcterms:created>
  <dcterms:modified xsi:type="dcterms:W3CDTF">2026-06-25T16:28:27Z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