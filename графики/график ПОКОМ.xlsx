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15F8A7F-DB0E-49DE-ACB7-271274AEE61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Лист1!$A$2:$N$6885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874" i="1" l="1"/>
  <c r="A6872" i="1" l="1"/>
  <c r="E6856" i="1" l="1"/>
  <c r="P6876" i="1" l="1"/>
  <c r="P6864" i="1"/>
  <c r="P6862" i="1"/>
  <c r="P6861" i="1"/>
  <c r="P6850" i="1"/>
  <c r="P6851" i="1"/>
  <c r="P6849" i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s="1"/>
  <c r="A6836" i="1" s="1"/>
  <c r="A6839" i="1" l="1"/>
  <c r="A6840" i="1" s="1"/>
  <c r="A6844" i="1" s="1"/>
  <c r="A6847" i="1" l="1"/>
  <c r="A6852" i="1" s="1"/>
  <c r="A6854" i="1" s="1"/>
  <c r="A6856" i="1" s="1"/>
  <c r="A6860" i="1" l="1"/>
  <c r="A6861" i="1" s="1"/>
  <c r="A6864" i="1" l="1"/>
  <c r="A6866" i="1" s="1"/>
  <c r="A6868" i="1" s="1"/>
  <c r="A6869" i="1" s="1"/>
  <c r="A6870" i="1" s="1"/>
  <c r="A6876" i="1" l="1"/>
  <c r="A6878" i="1" l="1"/>
  <c r="A6879" i="1" s="1"/>
  <c r="A6881" i="1" s="1"/>
  <c r="A6882" i="1" s="1"/>
  <c r="A6883" i="1" s="1"/>
  <c r="A6884" i="1" s="1"/>
  <c r="A6885" i="1" s="1"/>
</calcChain>
</file>

<file path=xl/sharedStrings.xml><?xml version="1.0" encoding="utf-8"?>
<sst xmlns="http://schemas.openxmlformats.org/spreadsheetml/2006/main" count="43541" uniqueCount="1845">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</sst>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0" fontId="14" fillId="17" borderId="42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166" fontId="44" fillId="0" borderId="0" xfId="0" applyNumberFormat="1" applyFont="1" applyAlignment="1">
      <alignment vertical="center"/>
    </xf>
    <xf numFmtId="166" fontId="43" fillId="44" borderId="0" xfId="0" applyNumberFormat="1" applyFont="1" applyFill="1" applyAlignment="1">
      <alignment horizontal="left" vertical="center"/>
    </xf>
    <xf numFmtId="166" fontId="43" fillId="43" borderId="0" xfId="0" applyNumberFormat="1" applyFont="1" applyFill="1" applyAlignment="1">
      <alignment horizontal="left" vertical="center"/>
    </xf>
    <xf numFmtId="166" fontId="43" fillId="45" borderId="0" xfId="0" applyNumberFormat="1" applyFont="1" applyFill="1" applyAlignment="1">
      <alignment horizontal="left" vertical="center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ownloads/&#1047;&#1072;&#1082;&#1072;&#1079;&#1099;%20&#1053;&#1042;%2003.08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Заказ</v>
          </cell>
          <cell r="B1" t="str">
            <v>"Счет на" в заказе</v>
          </cell>
          <cell r="C1" t="str">
            <v>Краткое наименование</v>
          </cell>
          <cell r="D1" t="str">
            <v>Вес нетто</v>
          </cell>
        </row>
        <row r="2">
          <cell r="A2">
            <v>6283298</v>
          </cell>
          <cell r="B2" t="str">
            <v>Нв900</v>
          </cell>
          <cell r="C2" t="str">
            <v>НВ, ООО 9001015535</v>
          </cell>
          <cell r="D2">
            <v>1612.56</v>
          </cell>
        </row>
        <row r="3">
          <cell r="A3">
            <v>6284442</v>
          </cell>
          <cell r="B3" t="str">
            <v>Нв900</v>
          </cell>
          <cell r="C3" t="str">
            <v>НВ, ООО 9001015535</v>
          </cell>
          <cell r="D3">
            <v>3740.54</v>
          </cell>
        </row>
        <row r="4">
          <cell r="A4">
            <v>6284451</v>
          </cell>
          <cell r="B4" t="str">
            <v>Нв900</v>
          </cell>
          <cell r="C4" t="str">
            <v>НВ, ООО 9001015535</v>
          </cell>
          <cell r="D4">
            <v>10246</v>
          </cell>
        </row>
        <row r="5">
          <cell r="A5">
            <v>6284611</v>
          </cell>
          <cell r="B5" t="str">
            <v>Нв900</v>
          </cell>
          <cell r="C5" t="str">
            <v>НВ, ООО 9001015535</v>
          </cell>
          <cell r="D5">
            <v>14005.28</v>
          </cell>
        </row>
        <row r="6">
          <cell r="A6">
            <v>6284634</v>
          </cell>
          <cell r="B6" t="str">
            <v>Нв900</v>
          </cell>
          <cell r="C6" t="str">
            <v>НВ, ООО 9001015535</v>
          </cell>
          <cell r="D6">
            <v>9617.7000000000007</v>
          </cell>
        </row>
        <row r="7">
          <cell r="A7">
            <v>6284749</v>
          </cell>
          <cell r="B7" t="str">
            <v>Нв900</v>
          </cell>
          <cell r="C7" t="str">
            <v>НВ, ООО 9001015535</v>
          </cell>
          <cell r="D7">
            <v>4110</v>
          </cell>
        </row>
        <row r="8">
          <cell r="A8">
            <v>6284896</v>
          </cell>
          <cell r="B8" t="str">
            <v>Нв900</v>
          </cell>
          <cell r="C8" t="str">
            <v>НВ, ООО 9001015535</v>
          </cell>
          <cell r="D8">
            <v>3510</v>
          </cell>
        </row>
        <row r="9">
          <cell r="D9">
            <v>2866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85"/>
  <sheetViews>
    <sheetView tabSelected="1" zoomScale="85" zoomScaleNormal="85" workbookViewId="0">
      <pane ySplit="2" topLeftCell="A6857" activePane="bottomLeft" state="frozen"/>
      <selection pane="bottomLeft" activeCell="J6883" sqref="J688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.28515625" style="867" customWidth="1"/>
    <col min="16" max="16" width="16.7109375" style="847" customWidth="1"/>
    <col min="17" max="17" width="10.42578125" style="833" customWidth="1"/>
    <col min="18" max="18" width="17" style="2" customWidth="1"/>
    <col min="19" max="1021" width="9.140625" style="2"/>
  </cols>
  <sheetData>
    <row r="1" spans="1:17" ht="19.5" customHeight="1" thickBot="1" x14ac:dyDescent="0.3">
      <c r="A1" s="967" t="s">
        <v>0</v>
      </c>
      <c r="B1" s="967"/>
      <c r="C1" s="967"/>
      <c r="D1" s="967"/>
      <c r="E1" s="967"/>
      <c r="F1" s="967"/>
      <c r="G1" s="967"/>
      <c r="H1" s="967"/>
      <c r="I1" s="967"/>
      <c r="J1" s="967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68">
        <v>1</v>
      </c>
      <c r="B3" s="96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68"/>
      <c r="B4" s="96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69">
        <v>3</v>
      </c>
      <c r="B6" s="96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69"/>
      <c r="B7" s="96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69"/>
      <c r="B8" s="96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69">
        <v>5</v>
      </c>
      <c r="B10" s="96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69"/>
      <c r="B11" s="96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61">
        <v>8</v>
      </c>
      <c r="B14" s="96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61"/>
      <c r="B15" s="96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69">
        <v>11</v>
      </c>
      <c r="B18" s="96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69"/>
      <c r="B19" s="96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69"/>
      <c r="B20" s="96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69"/>
      <c r="B21" s="96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69">
        <v>13</v>
      </c>
      <c r="B23" s="96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69"/>
      <c r="B24" s="96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61">
        <v>14</v>
      </c>
      <c r="B25" s="96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61"/>
      <c r="B26" s="96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69">
        <v>15</v>
      </c>
      <c r="B27" s="96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69"/>
      <c r="B28" s="96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69"/>
      <c r="B29" s="96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69"/>
      <c r="B30" s="96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61">
        <v>16</v>
      </c>
      <c r="B31" s="96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61"/>
      <c r="B32" s="96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61"/>
      <c r="B33" s="96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61"/>
      <c r="B34" s="96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69">
        <v>17</v>
      </c>
      <c r="B35" s="96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69"/>
      <c r="B36" s="96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69">
        <v>21</v>
      </c>
      <c r="B40" s="96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69"/>
      <c r="B41" s="96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69">
        <v>23</v>
      </c>
      <c r="B43" s="96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69"/>
      <c r="B44" s="96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69"/>
      <c r="B45" s="96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61">
        <v>24</v>
      </c>
      <c r="B46" s="96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61"/>
      <c r="B47" s="96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69">
        <v>25</v>
      </c>
      <c r="B48" s="96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69"/>
      <c r="B49" s="96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69"/>
      <c r="B50" s="96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61">
        <v>26</v>
      </c>
      <c r="B51" s="96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61"/>
      <c r="B52" s="96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69">
        <v>29</v>
      </c>
      <c r="B55" s="96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69"/>
      <c r="B56" s="96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61">
        <v>32</v>
      </c>
      <c r="B59" s="96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61"/>
      <c r="B60" s="96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61">
        <v>34</v>
      </c>
      <c r="B62" s="96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61"/>
      <c r="B63" s="96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61"/>
      <c r="B64" s="96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61"/>
      <c r="B65" s="96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61"/>
      <c r="B66" s="96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69">
        <v>35</v>
      </c>
      <c r="B67" s="96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69"/>
      <c r="B68" s="96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40">
        <v>40</v>
      </c>
      <c r="B73" s="96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40"/>
      <c r="B74" s="96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41">
        <v>41</v>
      </c>
      <c r="B75" s="96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41"/>
      <c r="B76" s="96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41"/>
      <c r="B77" s="96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40">
        <v>42</v>
      </c>
      <c r="B78" s="96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40"/>
      <c r="B79" s="96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41">
        <v>49</v>
      </c>
      <c r="B86" s="96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41"/>
      <c r="B87" s="96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41"/>
      <c r="B88" s="96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40">
        <v>50</v>
      </c>
      <c r="B89" s="96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40"/>
      <c r="B90" s="96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41">
        <v>51</v>
      </c>
      <c r="B91" s="96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41"/>
      <c r="B92" s="96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41">
        <v>53</v>
      </c>
      <c r="B94" s="96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41"/>
      <c r="B95" s="96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40">
        <v>54</v>
      </c>
      <c r="B96" s="96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40"/>
      <c r="B97" s="96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40"/>
      <c r="B98" s="96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40">
        <v>58</v>
      </c>
      <c r="B102" s="96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40"/>
      <c r="B103" s="96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40">
        <v>60</v>
      </c>
      <c r="B105" s="96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40"/>
      <c r="B106" s="96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40"/>
      <c r="B107" s="96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41">
        <v>61</v>
      </c>
      <c r="B108" s="96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41"/>
      <c r="B109" s="96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41"/>
      <c r="B110" s="96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40">
        <v>64</v>
      </c>
      <c r="B113" s="96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40"/>
      <c r="B114" s="96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40">
        <v>66</v>
      </c>
      <c r="B116" s="96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40"/>
      <c r="B117" s="96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41">
        <v>67</v>
      </c>
      <c r="B118" s="96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41"/>
      <c r="B119" s="96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41"/>
      <c r="B120" s="96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40">
        <v>68</v>
      </c>
      <c r="B121" s="96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40"/>
      <c r="B122" s="96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41">
        <v>69</v>
      </c>
      <c r="B123" s="96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41"/>
      <c r="B124" s="96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40">
        <v>72</v>
      </c>
      <c r="B127" s="961" t="s">
        <v>65</v>
      </c>
      <c r="C127" s="119" t="s">
        <v>26</v>
      </c>
      <c r="D127" s="120">
        <v>3.3</v>
      </c>
      <c r="E127" s="121"/>
      <c r="F127" s="122" t="s">
        <v>30</v>
      </c>
      <c r="G127" s="96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40"/>
      <c r="B128" s="961"/>
      <c r="C128" s="103" t="s">
        <v>26</v>
      </c>
      <c r="D128" s="88">
        <v>12.9</v>
      </c>
      <c r="E128" s="106"/>
      <c r="F128" s="107" t="s">
        <v>16</v>
      </c>
      <c r="G128" s="96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40">
        <v>76</v>
      </c>
      <c r="B132" s="97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40"/>
      <c r="B133" s="97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40"/>
      <c r="B134" s="97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40"/>
      <c r="B135" s="97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40">
        <v>78</v>
      </c>
      <c r="B137" s="96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40"/>
      <c r="B138" s="96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7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7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4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4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4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4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4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4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4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4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4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4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4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4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4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4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4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4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4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4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4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4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4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4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4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4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4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4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4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4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4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4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4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4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4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4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4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4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4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4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4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4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4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4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4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4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4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4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4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4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4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4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4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4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4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4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4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4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4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4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4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4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4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4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4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4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6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4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6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4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4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4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4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4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4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4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4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4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4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4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4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4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4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4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4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4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4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4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4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4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4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4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4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4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4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4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4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4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4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4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4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4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2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4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4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4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6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4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6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4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4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4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4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4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4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4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4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4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4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4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4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4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4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4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4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4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4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4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4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4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4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4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4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4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4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4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4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4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4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4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4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4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4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4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4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4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4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4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4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4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4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4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4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4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4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4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4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4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4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4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4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4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4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4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4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4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4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4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4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4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4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4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4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4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4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4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4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4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4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4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4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4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4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4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4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4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4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4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4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4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4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4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4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4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4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4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4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4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4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4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4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4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4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4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4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4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4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4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4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4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4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4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4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4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4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3" t="s">
        <v>133</v>
      </c>
      <c r="J420" s="963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4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4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4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4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4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4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4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4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4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4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4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4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4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4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4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4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4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4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4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4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4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4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4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4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4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4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4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4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4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4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4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4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4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4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4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4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4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4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4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4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4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4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4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4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4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4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4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4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4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4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4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4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4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4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4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4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4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4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4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4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4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4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4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4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2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4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2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4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2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4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2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4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4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4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4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4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4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4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4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4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4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4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4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4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4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4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4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4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4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4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4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4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4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4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4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4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4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4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4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4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4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4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4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4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4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4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4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4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4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4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4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4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4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4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4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4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4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4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4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4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4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4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4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4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4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4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4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4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4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4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4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4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4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4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4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4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4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4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4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4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4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4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4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4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4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4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4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4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4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4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4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4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4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4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4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4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4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4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4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4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4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4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4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4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4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4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4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4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4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4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4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4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4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4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4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4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4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4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4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4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4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4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4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4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4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4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4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4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4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4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4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4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4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4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9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4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4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4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4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4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4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4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4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4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4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4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4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4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4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4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4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4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4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4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4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4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4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4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4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4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4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4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4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4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4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6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6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6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4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4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4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6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6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4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4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4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6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6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4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4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4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4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4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4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4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4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4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4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4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4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4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4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4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4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4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4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4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4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4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4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5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4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5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4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4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4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4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4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4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4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4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4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4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4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4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4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4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4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4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7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7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7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7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7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7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4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4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4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4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4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4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4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4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4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4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4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4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4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4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4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4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4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4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7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7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4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4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4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4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4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4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4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4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4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4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4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4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4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4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4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4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4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4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4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4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4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4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4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4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4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4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4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4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4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4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4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4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4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4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4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4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4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4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4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4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4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4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4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4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4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4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4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4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4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4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4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4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4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4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4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4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4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4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4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4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4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4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4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4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4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4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4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4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4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4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4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4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4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4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4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4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4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4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4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4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4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4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4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4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4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4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4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4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4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4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4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4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4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4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4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4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4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4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4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4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4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4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4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4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4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4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4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4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4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4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4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4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4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4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4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4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4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4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4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4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4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4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4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4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4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4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4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4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4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4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4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4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4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4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4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4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4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4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4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4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4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5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5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4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4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4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4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4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4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4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4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4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4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4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4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4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4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4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4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4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4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4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4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4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4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4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4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4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4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4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4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4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4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4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4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4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4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4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4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4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4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4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4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4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4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4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4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4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4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4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4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4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4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4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4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4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4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4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4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4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4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4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4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4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4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4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4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4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4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4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4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4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4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4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4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4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4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4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4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4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4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4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4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4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4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4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4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4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4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4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4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4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4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4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4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4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4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4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4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4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4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4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4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4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4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4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4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4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4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4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4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4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4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4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4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4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4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4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4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4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4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4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4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4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4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4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4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4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4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4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4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4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4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4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4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4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4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4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4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4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4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4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4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4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4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4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4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4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4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4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4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4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4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4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4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4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4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4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4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4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4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4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4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4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4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4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4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4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4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4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4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4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4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4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4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4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4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4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4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4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4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4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4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4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4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4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4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4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4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4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4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4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4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4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4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4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4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4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4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4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4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4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4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4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4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4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4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4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4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4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4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4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4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4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4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4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4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4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4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4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4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4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4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4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4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4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4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4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4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4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4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4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4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4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4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4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4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4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4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4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4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4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4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4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4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4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4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4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4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4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4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4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4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4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4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4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4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4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4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4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4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4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4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4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4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4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4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4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4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4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4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4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4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4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4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4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4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4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4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4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4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4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4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4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4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4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4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4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4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4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4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4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4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4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4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4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4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4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4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4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4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4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4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4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4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4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4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4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4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4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4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4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4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4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4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4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4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4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4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4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4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4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4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4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4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4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4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4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4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4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4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4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4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4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4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4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4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4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4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4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4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4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4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4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4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4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4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4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4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4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4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4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4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4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4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4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4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4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4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4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4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4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4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4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4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4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4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4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4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4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4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4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4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4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4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4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4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4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4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4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4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4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4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4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4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4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4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4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4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4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4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4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4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4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4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4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4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4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4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4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4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4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4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4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4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4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4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4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4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4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4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4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4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4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4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4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4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4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4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4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4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4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4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4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4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4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4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4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4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4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4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4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4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4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4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4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4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4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4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4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4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4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4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4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4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4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4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4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4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4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4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4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4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4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4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4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4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4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4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4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4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4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4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4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4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4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4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4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4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4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4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4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4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4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4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4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4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4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4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4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4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4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4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4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4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4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4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4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4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4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4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4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4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4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4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4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4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4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4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4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4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4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4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4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4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4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4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4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4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4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4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4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4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4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4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4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4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4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4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4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4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4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4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4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4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4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4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4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4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4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4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4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4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4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4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4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4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4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4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4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4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4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4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4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4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4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4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4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4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4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4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4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4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4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4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4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4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4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4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4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4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4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4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4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4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4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4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4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4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4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4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4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4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4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4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4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4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4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4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4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4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4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4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4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4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4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4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4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4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4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4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4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4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4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4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4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4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4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4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4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4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4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4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4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4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4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4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4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4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4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4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4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4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4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4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4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4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4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4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4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4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4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4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4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4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4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4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4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4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4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4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4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4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4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4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4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4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4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4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4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4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4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4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4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4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4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4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4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4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4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4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4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4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4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4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4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4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4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4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4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4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4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4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4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4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4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4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4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4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4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4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4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4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4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4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4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4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4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4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4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4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4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4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4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4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4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4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4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4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4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4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4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4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4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4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4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4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4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4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4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4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4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4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4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4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4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4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4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4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4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4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4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4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4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4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4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4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4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4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4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4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4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4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4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4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4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4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4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4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4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4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4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4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4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4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4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4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4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4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4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4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4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4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4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4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4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4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4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4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4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4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4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4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4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4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4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4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4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4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4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4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4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4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4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4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4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4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4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4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4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4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4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4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4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4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4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4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4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4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4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4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4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4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4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4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4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4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4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4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4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4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4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4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4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4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4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4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4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4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4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4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4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4" t="s">
        <v>467</v>
      </c>
      <c r="H2160" s="414" t="s">
        <v>515</v>
      </c>
      <c r="I2160" s="415" t="s">
        <v>516</v>
      </c>
      <c r="J2160" s="95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4"/>
      <c r="H2161" s="421" t="s">
        <v>515</v>
      </c>
      <c r="I2161" s="422" t="s">
        <v>516</v>
      </c>
      <c r="J2161" s="95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4"/>
      <c r="H2162" s="429" t="s">
        <v>515</v>
      </c>
      <c r="I2162" s="430" t="s">
        <v>516</v>
      </c>
      <c r="J2162" s="95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4" t="s">
        <v>467</v>
      </c>
      <c r="H2165" s="414" t="s">
        <v>516</v>
      </c>
      <c r="I2165" s="415" t="s">
        <v>516</v>
      </c>
      <c r="J2165" s="95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4"/>
      <c r="H2166" s="429" t="s">
        <v>516</v>
      </c>
      <c r="I2166" s="430" t="s">
        <v>516</v>
      </c>
      <c r="J2166" s="95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4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4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4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4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4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4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4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4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4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4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4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4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4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4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4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4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4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4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4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4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4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4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4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4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4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4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4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4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4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4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4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4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4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4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4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4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4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4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4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4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4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4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4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4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4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4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4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4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4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4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4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4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4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4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4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4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4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4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4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4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4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4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4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4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4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4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4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4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4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4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4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4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4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4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4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4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4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4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4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4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4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4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4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4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4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4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4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4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4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4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4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4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4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4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4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4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4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4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4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4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4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4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4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4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4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4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4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4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4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4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4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4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4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4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4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4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4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4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4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4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4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4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4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4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4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4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4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4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4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4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4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4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4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4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4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4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4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4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4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4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4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4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4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4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4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4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4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4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4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4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4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4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4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4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4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4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4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4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4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4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4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4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4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4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4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4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4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4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4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4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4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4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4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4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4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4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4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4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4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4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4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4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4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4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4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4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4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4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4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4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4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4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4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4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4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4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4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4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4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4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4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4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4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4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4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4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4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4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4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4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4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4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4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4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4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4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4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4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4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4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4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4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4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4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4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4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4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4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4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4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4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4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4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4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4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4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4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4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4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4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4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4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4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4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4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4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4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4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4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4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4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4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4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4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4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4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4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4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4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4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4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4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4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4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4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4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4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4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4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4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4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4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4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4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4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4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4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4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4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4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4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4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4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4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4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4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4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4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4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4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4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4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4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4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4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4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4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4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4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4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4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4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4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4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4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4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4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4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4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4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4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4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4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4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4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4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4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4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4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4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4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4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4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4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4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4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4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4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4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4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4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4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4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4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4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4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4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4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4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4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4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4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4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4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4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4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4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4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4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4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4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4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4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4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4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4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4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4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4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4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4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4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4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4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4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4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4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4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4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4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4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4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4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4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4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4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4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4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4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4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4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4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4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4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4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4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4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4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4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4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4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4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4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4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4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4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4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4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4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4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4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4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4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4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4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4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4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4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4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4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4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4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4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4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4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4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4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4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4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4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4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4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4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4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4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4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4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4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4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4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4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4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4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4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4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4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4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4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4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4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4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4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4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4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4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4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4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4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4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4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4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4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4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4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4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4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4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4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4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4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4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4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4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4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4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4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4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4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4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4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4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4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4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4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4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4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4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4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4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4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4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4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4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4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4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4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4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4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4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4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4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4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4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4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4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4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4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4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4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4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4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4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4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4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4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4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4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4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4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4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4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4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4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4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4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4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4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4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4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4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4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4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4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4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4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4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4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4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4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4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4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4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4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4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4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4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4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4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4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4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4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4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4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4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4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4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4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4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4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4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4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4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4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4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4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4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4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4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4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4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4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4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4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4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4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4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4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4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4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4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4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4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4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4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4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4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4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4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4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4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4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4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4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4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4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4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4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4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4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4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4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4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4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4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4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4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4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4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4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4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4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4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4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4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4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4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4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4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4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4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4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4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4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4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4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4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4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4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4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4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4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4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4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4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4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4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4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4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4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4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4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4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4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4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4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4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4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4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4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4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4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4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4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4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4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4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4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4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4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4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4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4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4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4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4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4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4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4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4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4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4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4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4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4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4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4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4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4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4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4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4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4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4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4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4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4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4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4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4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4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4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4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4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4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4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4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4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4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4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4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4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4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4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4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4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4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4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4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4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4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4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4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4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4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4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4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4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4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4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4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4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4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4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4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4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4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4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4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4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4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4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4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4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4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4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4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4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4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4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4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4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4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4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4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4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4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4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4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4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4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4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4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4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4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4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4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4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4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4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4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4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4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4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4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4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4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4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4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4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4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4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4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4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4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4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4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4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4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4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4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4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4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4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4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4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4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4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4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4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4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4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4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4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4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4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4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4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4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4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4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4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4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4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4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4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4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4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4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4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4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4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4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4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4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4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4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4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4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4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4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4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4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4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4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4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4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4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4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4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4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4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4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4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4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4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4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4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4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4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4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4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4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4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4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4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4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4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4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4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4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4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4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4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4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4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4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4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4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4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4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4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4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4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4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4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4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4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4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4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4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4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4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4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4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4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4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4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4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4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4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4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4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4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4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4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4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4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4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4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4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4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4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4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4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4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4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4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4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4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4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4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4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4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4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4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4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4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4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4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4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4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4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4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4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4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4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4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4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4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4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4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4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4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4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4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4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4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4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4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4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4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4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4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4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4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4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4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4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4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4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4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4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4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4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4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4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4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4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4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4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4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4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4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4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4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90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92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3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90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92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3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92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3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92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3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1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3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90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90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90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92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92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92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1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2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2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2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3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90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1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3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90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92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92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92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92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92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91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3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3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90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1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3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3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90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92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92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90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92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1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2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2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3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1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2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2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90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92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92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92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92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92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1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3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90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90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90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1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3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90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92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90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1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3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90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92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1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2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3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1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2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2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2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2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2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90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1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3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3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90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1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3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90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92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92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90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1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2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3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90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91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3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3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90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92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92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92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92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92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1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3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1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3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1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3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3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90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92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1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2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3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90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92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1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2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2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2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1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3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90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92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90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92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92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92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1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2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1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2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2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2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2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2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90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90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92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3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90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92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1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2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3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90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92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92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90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1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2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2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3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90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90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1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3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1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2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2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2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2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90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90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92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1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3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90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1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3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90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1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2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90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92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1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3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90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1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3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90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90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92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2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2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2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2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2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2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90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90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1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2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2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3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90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92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92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92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92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90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1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2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2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3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1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2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2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2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2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2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90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90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1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2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3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90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92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92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1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2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3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90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92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3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1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3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3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90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1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3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90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92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92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92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92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92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1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3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90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1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2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3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90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92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92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1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3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90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90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1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2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3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1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3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90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92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1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2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1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2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2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2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2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90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90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92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1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3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3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90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92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92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92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92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92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1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2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2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2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90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92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90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1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3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90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92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90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2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90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92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92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92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92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1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3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90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92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1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3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90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90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1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2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2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90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92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1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1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2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90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1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90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92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1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2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90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92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92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92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92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1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2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90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1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90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92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1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1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2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90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92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92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91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2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2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1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2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1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2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2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90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92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1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1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2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2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2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2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90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1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1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2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2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90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92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92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1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1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2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90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92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92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1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90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1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1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2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2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90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1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1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2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2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2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2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90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1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1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2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2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90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1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1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2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90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1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90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92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1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90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1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1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2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1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2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2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90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92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92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92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1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90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92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1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2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1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2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1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2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90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92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1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1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2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2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2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90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92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1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90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1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1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2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2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1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2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2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90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92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92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1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90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1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91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2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2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2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90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92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1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90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1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1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2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2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90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1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1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2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2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91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2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90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1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1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2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2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1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2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90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1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1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2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90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1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1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2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2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2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2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90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92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1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90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92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3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92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3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1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1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2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90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1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90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1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1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2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2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90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1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91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2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1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2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1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2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2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2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2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2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90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92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1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2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2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90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1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90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92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1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1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2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2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90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92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1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1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2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2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1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2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90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1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1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2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2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90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92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92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1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1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2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90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92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1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1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2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90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92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92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92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1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2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90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1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1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2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2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2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90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1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1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2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1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2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90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1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1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2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90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92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92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1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90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1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90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92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92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1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1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2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1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2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90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92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1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1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2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2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1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2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2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1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2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2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90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1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90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92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92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1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1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2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90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1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1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2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90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1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1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2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90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1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90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92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1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1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2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90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1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1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2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2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90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92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1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1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2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90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1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90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92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1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2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2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90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92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1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90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1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90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1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1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2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90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1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1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2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90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92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1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1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2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2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1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2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2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90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1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1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2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2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90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92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3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1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1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2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2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1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2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1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2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90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92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1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90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1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1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2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90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92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92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1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90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1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90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1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1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2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1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2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1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2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90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92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92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1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1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2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90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1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90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1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90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92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1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1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2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2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90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1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1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2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2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90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1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1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2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90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1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1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2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2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92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92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1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2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90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1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1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2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2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2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90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1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1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2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90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1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90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1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90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92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1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1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2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2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90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92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1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1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2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1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2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90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92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1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2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90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1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1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2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2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2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1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2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2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1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2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90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92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90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92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1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1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2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2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90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1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90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1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1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2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1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2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2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2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90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92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3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1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2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1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2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90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1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1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2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90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1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90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92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1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1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2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2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91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2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90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1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90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92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90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1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1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2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2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2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90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1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1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2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90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1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1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2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2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90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1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90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1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1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2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90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92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92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1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91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2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90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1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1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2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90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1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1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2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90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1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1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2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2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90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1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90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1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1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2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2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2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90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1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1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2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2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90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92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92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1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1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2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90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1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1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2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90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1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1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2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1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2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2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90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92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3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1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2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1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2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2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90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92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1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90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1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90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1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1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2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2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2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90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1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90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1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91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2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90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92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92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1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2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90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1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1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2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90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1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1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2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90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1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1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2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90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1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1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2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2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90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1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1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2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2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1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2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90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92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1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2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2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90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1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90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92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1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1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2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2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91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2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1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2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90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92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90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92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1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1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2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2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90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1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1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2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91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2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1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2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2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90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1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91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2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90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1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1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2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2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90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92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3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92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3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1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2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92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92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92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92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92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92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90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92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1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2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90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92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92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92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92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1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2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90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92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1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1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2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90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1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90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1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1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2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2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90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92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1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2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1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2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2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2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1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2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2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90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92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1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90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92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3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92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3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92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3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1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2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90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1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90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1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1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2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2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90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1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1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2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90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92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92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1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1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2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90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1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1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2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2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1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2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90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92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92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1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2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1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2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2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2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1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2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1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2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90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92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92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1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1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2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2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90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1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1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2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90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1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90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92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3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1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2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2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2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90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1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90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1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90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1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90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92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1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1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2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90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1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1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2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1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2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2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90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92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92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1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1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2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2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90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92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90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1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1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2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90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92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92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1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2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90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92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1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1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2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90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1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1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2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90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1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90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1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1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2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2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90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1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1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2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1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2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90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92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92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1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2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90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92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92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1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1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2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2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1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2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90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1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1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2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2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90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92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92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1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1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2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90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1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90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92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90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92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3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92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3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92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3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92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3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1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2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1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2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2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2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1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2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2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2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90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1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1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2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2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90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92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1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90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92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1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1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2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1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2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1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2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2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2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90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1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1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2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90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1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90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1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1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2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1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2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2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2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92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92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1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2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92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3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92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3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1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2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90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1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1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2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90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92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3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1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2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90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1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1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2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90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1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1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2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90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1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90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1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1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2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90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1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1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2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90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92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1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1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2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1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2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1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2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2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90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1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90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1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1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2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2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1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2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2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90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92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1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1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2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2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90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92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1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2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90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92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1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90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1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1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2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90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1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90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1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90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1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1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2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90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1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1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2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1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2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2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2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2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90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92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1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90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92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1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2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1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2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2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2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2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90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92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1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1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2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2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2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2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90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1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1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2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90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92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1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90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1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90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1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1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2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2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90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1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1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2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90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92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90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92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92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1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1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2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90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92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1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1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2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90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1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1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2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1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2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90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1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90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1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90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92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92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1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90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1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1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2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90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1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91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2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90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1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7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7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8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8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8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1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2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8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8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2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8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2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8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8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1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2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2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92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2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7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91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7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7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7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2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2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91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92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1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2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2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2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2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91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2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1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3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2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3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90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91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90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1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90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92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1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1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92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91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2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1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2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2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90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92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91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1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2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2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90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91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1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92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2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1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2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2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2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91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92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32.25" hidden="1" thickBot="1" x14ac:dyDescent="0.3">
      <c r="A6651" s="92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90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1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1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2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91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92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2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2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91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1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91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90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1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90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92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19.5" hidden="1" thickBot="1" x14ac:dyDescent="0.3">
      <c r="A6682" s="91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91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2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2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19.5" hidden="1" thickBot="1" x14ac:dyDescent="0.3">
      <c r="A6687" s="9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1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1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91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1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91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19.5" hidden="1" thickBot="1" x14ac:dyDescent="0.3">
      <c r="A6696" s="92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32.25" hidden="1" thickBot="1" x14ac:dyDescent="0.3">
      <c r="A6697" s="9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19.5" hidden="1" thickBot="1" x14ac:dyDescent="0.3">
      <c r="A6698" s="91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91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2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90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19.5" hidden="1" thickBot="1" x14ac:dyDescent="0.3">
      <c r="A6704" s="92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92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92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19.5" hidden="1" thickBot="1" x14ac:dyDescent="0.3">
      <c r="A6709" s="91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19.5" hidden="1" thickBot="1" x14ac:dyDescent="0.3">
      <c r="A6710" s="92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19.5" hidden="1" thickBot="1" x14ac:dyDescent="0.3">
      <c r="A6711" s="92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19.5" hidden="1" thickBot="1" x14ac:dyDescent="0.3">
      <c r="A6712" s="92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91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19.5" hidden="1" thickBot="1" x14ac:dyDescent="0.3">
      <c r="A6714" s="91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91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1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1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1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19.5" hidden="1" thickBot="1" x14ac:dyDescent="0.3">
      <c r="A6720" s="91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1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91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92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0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91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19.5" hidden="1" thickBot="1" x14ac:dyDescent="0.3">
      <c r="A6724" s="91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3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19.5" hidden="1" thickBot="1" x14ac:dyDescent="0.3">
      <c r="A6726" s="9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90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19.5" hidden="1" thickBot="1" x14ac:dyDescent="0.3">
      <c r="A6728" s="91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91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92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90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92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2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2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19.5" hidden="1" thickBot="1" x14ac:dyDescent="0.3">
      <c r="A6735" s="91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19.5" hidden="1" thickBot="1" x14ac:dyDescent="0.3">
      <c r="A6736" s="91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91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91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19.5" hidden="1" thickBot="1" x14ac:dyDescent="0.3">
      <c r="A6741" s="91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19.5" hidden="1" thickBot="1" x14ac:dyDescent="0.3">
      <c r="A6742" s="91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19.5" hidden="1" thickBot="1" x14ac:dyDescent="0.3">
      <c r="A6743" s="91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19.5" hidden="1" thickBot="1" x14ac:dyDescent="0.3">
      <c r="A6744" s="91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19.5" hidden="1" thickBot="1" x14ac:dyDescent="0.3">
      <c r="A6745" s="92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19.5" hidden="1" thickBot="1" x14ac:dyDescent="0.3">
      <c r="A6746" s="92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90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92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19.5" hidden="1" thickBot="1" x14ac:dyDescent="0.3">
      <c r="A6749" s="91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91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2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92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19.5" hidden="1" thickBot="1" x14ac:dyDescent="0.3">
      <c r="A6754" s="91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19.5" hidden="1" thickBot="1" x14ac:dyDescent="0.3">
      <c r="A6755" s="92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19.5" hidden="1" thickBot="1" x14ac:dyDescent="0.3">
      <c r="A6756" s="91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1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91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2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2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19.5" hidden="1" thickBot="1" x14ac:dyDescent="0.3">
      <c r="A6763" s="91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1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19.5" hidden="1" thickBot="1" x14ac:dyDescent="0.3">
      <c r="A6765" s="91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91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2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91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92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19.5" hidden="1" thickBot="1" x14ac:dyDescent="0.3">
      <c r="A6771" s="91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1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1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91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2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2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91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19.5" hidden="1" thickBot="1" x14ac:dyDescent="0.3">
      <c r="A6781" s="91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2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2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91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91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91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0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2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19.5" hidden="1" thickBot="1" x14ac:dyDescent="0.3">
      <c r="A6789" s="90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91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19.5" hidden="1" thickBot="1" x14ac:dyDescent="0.3">
      <c r="A6791" s="91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2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19.5" hidden="1" thickBot="1" x14ac:dyDescent="0.3">
      <c r="A6793" s="92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19.5" hidden="1" thickBot="1" x14ac:dyDescent="0.3">
      <c r="A6797" s="9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19.5" hidden="1" thickBot="1" x14ac:dyDescent="0.3">
      <c r="A6798" s="92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19.5" hidden="1" thickBot="1" x14ac:dyDescent="0.3">
      <c r="A6799" s="92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19.5" hidden="1" thickBot="1" x14ac:dyDescent="0.3">
      <c r="A6800" s="92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90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92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04"/>
      <c r="L6803" s="508" t="s">
        <v>266</v>
      </c>
      <c r="M6803" s="508">
        <v>18126.759999999998</v>
      </c>
      <c r="N6803" s="512">
        <v>0.41666666666666669</v>
      </c>
      <c r="O6803" s="867" t="s">
        <v>1835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14"/>
      <c r="L6806" s="518" t="s">
        <v>266</v>
      </c>
      <c r="M6806" s="518">
        <v>18182.159999999996</v>
      </c>
      <c r="N6806" s="522">
        <v>0.54166666666666663</v>
      </c>
      <c r="O6806" s="867" t="s">
        <v>1802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2"/>
      <c r="L6807" s="556" t="s">
        <v>266</v>
      </c>
      <c r="M6807" s="556">
        <v>18167.34</v>
      </c>
      <c r="N6807" s="560">
        <v>0.58333333333333337</v>
      </c>
      <c r="O6807" s="867" t="s">
        <v>1803</v>
      </c>
    </row>
    <row r="6808" spans="1:15" ht="56.25" x14ac:dyDescent="0.25">
      <c r="A6808" s="90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x14ac:dyDescent="0.25">
      <c r="A6809" s="92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92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91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x14ac:dyDescent="0.25">
      <c r="A6812" s="91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1797</v>
      </c>
    </row>
    <row r="6813" spans="1:15" x14ac:dyDescent="0.25">
      <c r="A6813" s="92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1798</v>
      </c>
    </row>
    <row r="6814" spans="1:15" x14ac:dyDescent="0.25">
      <c r="A6814" s="92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1799</v>
      </c>
    </row>
    <row r="6815" spans="1:15" ht="19.5" thickBot="1" x14ac:dyDescent="0.3">
      <c r="A6815" s="92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1800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4"/>
      <c r="L6816" s="518" t="s">
        <v>28</v>
      </c>
      <c r="M6816" s="518">
        <v>11131.199999999999</v>
      </c>
      <c r="N6816" s="522">
        <v>0.41666666666666669</v>
      </c>
      <c r="O6816" s="867" t="s">
        <v>1805</v>
      </c>
    </row>
    <row r="6817" spans="1:15" x14ac:dyDescent="0.25">
      <c r="A6817" s="91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5" x14ac:dyDescent="0.25">
      <c r="A6818" s="922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5" x14ac:dyDescent="0.25">
      <c r="A6819" s="922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5" x14ac:dyDescent="0.25">
      <c r="A6820" s="92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  <c r="O6820" s="867" t="s">
        <v>1810</v>
      </c>
    </row>
    <row r="6821" spans="1:15" ht="19.5" thickBot="1" x14ac:dyDescent="0.3">
      <c r="A6821" s="92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5" x14ac:dyDescent="0.25">
      <c r="A6822" s="90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79"/>
      <c r="L6822" s="483" t="s">
        <v>28</v>
      </c>
      <c r="M6822" s="483">
        <v>5401.7999999999993</v>
      </c>
      <c r="N6822" s="486">
        <v>0.5</v>
      </c>
      <c r="O6822" s="867" t="s">
        <v>1812</v>
      </c>
    </row>
    <row r="6823" spans="1:15" x14ac:dyDescent="0.25">
      <c r="A6823" s="92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91"/>
      <c r="L6823" s="763" t="s">
        <v>28</v>
      </c>
      <c r="M6823" s="763">
        <v>2720.36</v>
      </c>
      <c r="N6823" s="770">
        <v>0.5</v>
      </c>
      <c r="O6823" s="867" t="s">
        <v>1813</v>
      </c>
    </row>
    <row r="6824" spans="1:15" x14ac:dyDescent="0.25">
      <c r="A6824" s="92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67" t="s">
        <v>1814</v>
      </c>
    </row>
    <row r="6825" spans="1:15" x14ac:dyDescent="0.25">
      <c r="A6825" s="92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78"/>
      <c r="L6825" s="882" t="s">
        <v>28</v>
      </c>
      <c r="M6825" s="882">
        <v>4295.45</v>
      </c>
      <c r="N6825" s="846">
        <v>0.54166666666666663</v>
      </c>
      <c r="O6825" s="867" t="s">
        <v>1815</v>
      </c>
    </row>
    <row r="6826" spans="1:15" x14ac:dyDescent="0.25">
      <c r="A6826" s="92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86"/>
      <c r="L6826" s="844" t="s">
        <v>28</v>
      </c>
      <c r="M6826" s="844">
        <v>1377.6</v>
      </c>
      <c r="N6826" s="846">
        <v>0.54166666666666663</v>
      </c>
      <c r="O6826" s="867" t="s">
        <v>1818</v>
      </c>
    </row>
    <row r="6827" spans="1:15" x14ac:dyDescent="0.25">
      <c r="A6827" s="92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86"/>
      <c r="L6827" s="844" t="s">
        <v>28</v>
      </c>
      <c r="M6827" s="844">
        <v>2010</v>
      </c>
      <c r="N6827" s="846">
        <v>0.54166666666666663</v>
      </c>
      <c r="O6827" s="867" t="s">
        <v>1817</v>
      </c>
    </row>
    <row r="6828" spans="1:15" ht="19.5" thickBot="1" x14ac:dyDescent="0.3">
      <c r="A6828" s="91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86"/>
      <c r="L6828" s="844" t="s">
        <v>28</v>
      </c>
      <c r="M6828" s="844">
        <v>2160</v>
      </c>
      <c r="N6828" s="846">
        <v>0.54166666666666663</v>
      </c>
      <c r="O6828" s="867" t="s">
        <v>1816</v>
      </c>
    </row>
    <row r="6829" spans="1:15" ht="37.5" x14ac:dyDescent="0.25">
      <c r="A6829" s="9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1"/>
      <c r="L6829" s="535" t="s">
        <v>28</v>
      </c>
      <c r="M6829" s="535">
        <v>15500.699999999999</v>
      </c>
      <c r="N6829" s="539">
        <v>0.58333333333333337</v>
      </c>
      <c r="O6829" s="867" t="s">
        <v>1828</v>
      </c>
    </row>
    <row r="6830" spans="1:15" x14ac:dyDescent="0.25">
      <c r="A6830" s="92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49"/>
      <c r="L6830" s="819" t="s">
        <v>28</v>
      </c>
      <c r="M6830" s="819">
        <v>12426.6</v>
      </c>
      <c r="N6830" s="811">
        <v>0.45833333333333331</v>
      </c>
      <c r="O6830" s="867" t="s">
        <v>1829</v>
      </c>
    </row>
    <row r="6831" spans="1:15" ht="37.5" x14ac:dyDescent="0.25">
      <c r="A6831" s="92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5"/>
      <c r="L6831" s="892" t="s">
        <v>28</v>
      </c>
      <c r="M6831" s="892">
        <v>2371.2200000000003</v>
      </c>
      <c r="N6831" s="804">
        <v>0.58333333333333337</v>
      </c>
      <c r="O6831" s="867" t="s">
        <v>1826</v>
      </c>
    </row>
    <row r="6832" spans="1:15" ht="19.5" thickBot="1" x14ac:dyDescent="0.3">
      <c r="A6832" s="90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877"/>
      <c r="L6832" s="788" t="s">
        <v>28</v>
      </c>
      <c r="M6832" s="788">
        <v>2520</v>
      </c>
      <c r="N6832" s="784">
        <v>0.58333333333333337</v>
      </c>
      <c r="O6832" s="867" t="s">
        <v>1827</v>
      </c>
    </row>
    <row r="6833" spans="1:15" x14ac:dyDescent="0.25">
      <c r="A6833" s="90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79"/>
      <c r="L6833" s="483" t="s">
        <v>265</v>
      </c>
      <c r="M6833" s="483">
        <v>17441.560000000001</v>
      </c>
      <c r="N6833" s="486">
        <v>0.375</v>
      </c>
      <c r="O6833" s="867" t="s">
        <v>1823</v>
      </c>
    </row>
    <row r="6834" spans="1:15" x14ac:dyDescent="0.25">
      <c r="A6834" s="92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86"/>
      <c r="L6834" s="844" t="s">
        <v>265</v>
      </c>
      <c r="M6834" s="844">
        <v>1470</v>
      </c>
      <c r="N6834" s="846">
        <v>0.375</v>
      </c>
      <c r="O6834" s="867" t="s">
        <v>1824</v>
      </c>
    </row>
    <row r="6835" spans="1:15" ht="19.5" thickBot="1" x14ac:dyDescent="0.3">
      <c r="A6835" s="91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86"/>
      <c r="L6835" s="844" t="s">
        <v>265</v>
      </c>
      <c r="M6835" s="844">
        <v>510</v>
      </c>
      <c r="N6835" s="846">
        <v>0.375</v>
      </c>
      <c r="O6835" s="867" t="s">
        <v>1825</v>
      </c>
    </row>
    <row r="6836" spans="1:15" x14ac:dyDescent="0.25">
      <c r="A6836" s="9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1"/>
      <c r="L6836" s="535" t="s">
        <v>28</v>
      </c>
      <c r="M6836" s="535">
        <v>17649.77</v>
      </c>
      <c r="N6836" s="539">
        <v>0.625</v>
      </c>
      <c r="O6836" s="867" t="s">
        <v>1820</v>
      </c>
    </row>
    <row r="6837" spans="1:15" x14ac:dyDescent="0.25">
      <c r="A6837" s="92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49"/>
      <c r="L6837" s="819" t="s">
        <v>28</v>
      </c>
      <c r="M6837" s="819">
        <v>1472.01</v>
      </c>
      <c r="N6837" s="811">
        <v>0.45833333333333331</v>
      </c>
      <c r="O6837" s="867" t="s">
        <v>1819</v>
      </c>
    </row>
    <row r="6838" spans="1:15" ht="19.5" thickBot="1" x14ac:dyDescent="0.3">
      <c r="A6838" s="90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877"/>
      <c r="L6838" s="788" t="s">
        <v>28</v>
      </c>
      <c r="M6838" s="788">
        <v>1830</v>
      </c>
      <c r="N6838" s="784">
        <v>0.625</v>
      </c>
      <c r="O6838" s="867" t="s">
        <v>1834</v>
      </c>
    </row>
    <row r="6839" spans="1:15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5"/>
      <c r="L6839" s="499" t="s">
        <v>265</v>
      </c>
      <c r="M6839" s="499">
        <v>15280.68</v>
      </c>
      <c r="N6839" s="502">
        <v>0.375</v>
      </c>
      <c r="O6839" s="867" t="s">
        <v>1811</v>
      </c>
    </row>
    <row r="6840" spans="1:15" x14ac:dyDescent="0.25">
      <c r="A6840" s="9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1"/>
      <c r="L6840" s="535" t="s">
        <v>265</v>
      </c>
      <c r="M6840" s="535">
        <v>15820.990000000002</v>
      </c>
      <c r="N6840" s="539">
        <v>0.375</v>
      </c>
      <c r="O6840" s="867" t="s">
        <v>1833</v>
      </c>
    </row>
    <row r="6841" spans="1:15" x14ac:dyDescent="0.25">
      <c r="A6841" s="92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49"/>
      <c r="L6841" s="819" t="s">
        <v>265</v>
      </c>
      <c r="M6841" s="819">
        <v>1743.48</v>
      </c>
      <c r="N6841" s="811">
        <v>0.375</v>
      </c>
      <c r="O6841" s="867" t="s">
        <v>1832</v>
      </c>
    </row>
    <row r="6842" spans="1:15" x14ac:dyDescent="0.25">
      <c r="A6842" s="92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48"/>
      <c r="L6842" s="801" t="s">
        <v>265</v>
      </c>
      <c r="M6842" s="801">
        <v>1110</v>
      </c>
      <c r="N6842" s="804">
        <v>0.375</v>
      </c>
      <c r="O6842" s="867" t="s">
        <v>1830</v>
      </c>
    </row>
    <row r="6843" spans="1:15" ht="19.5" thickBot="1" x14ac:dyDescent="0.3">
      <c r="A6843" s="92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877"/>
      <c r="L6843" s="788" t="s">
        <v>265</v>
      </c>
      <c r="M6843" s="788">
        <v>4905</v>
      </c>
      <c r="N6843" s="784">
        <v>0.375</v>
      </c>
      <c r="O6843" s="867" t="s">
        <v>1831</v>
      </c>
    </row>
    <row r="6844" spans="1:15" x14ac:dyDescent="0.25">
      <c r="A6844" s="90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3"/>
      <c r="L6844" s="527" t="s">
        <v>28</v>
      </c>
      <c r="M6844" s="527">
        <v>9497.5999999999985</v>
      </c>
      <c r="N6844" s="530">
        <v>0.41666666666666669</v>
      </c>
      <c r="O6844" s="867" t="s">
        <v>1806</v>
      </c>
    </row>
    <row r="6845" spans="1:15" x14ac:dyDescent="0.25">
      <c r="A6845" s="92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91"/>
      <c r="L6845" s="763" t="s">
        <v>28</v>
      </c>
      <c r="M6845" s="763">
        <v>8634.7800000000007</v>
      </c>
      <c r="N6845" s="770">
        <v>0.41666666666666669</v>
      </c>
      <c r="O6845" s="867" t="s">
        <v>1804</v>
      </c>
    </row>
    <row r="6846" spans="1:15" ht="19.5" thickBot="1" x14ac:dyDescent="0.3">
      <c r="A6846" s="91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86"/>
      <c r="L6846" s="844" t="s">
        <v>28</v>
      </c>
      <c r="M6846" s="844">
        <v>1170</v>
      </c>
      <c r="N6846" s="846">
        <v>0.41666666666666669</v>
      </c>
      <c r="O6846" s="867" t="s">
        <v>1807</v>
      </c>
    </row>
    <row r="6847" spans="1:15" x14ac:dyDescent="0.25">
      <c r="A6847" s="92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/>
      <c r="J6847" s="538"/>
      <c r="K6847" s="531"/>
      <c r="L6847" s="535" t="s">
        <v>266</v>
      </c>
      <c r="M6847" s="535">
        <v>13800.840000000002</v>
      </c>
      <c r="N6847" s="539">
        <v>0.45833333333333331</v>
      </c>
      <c r="O6847" s="867" t="s">
        <v>1808</v>
      </c>
    </row>
    <row r="6848" spans="1:15" x14ac:dyDescent="0.25">
      <c r="A6848" s="92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/>
      <c r="J6848" s="825"/>
      <c r="K6848" s="849"/>
      <c r="L6848" s="819" t="s">
        <v>266</v>
      </c>
      <c r="M6848" s="819">
        <v>2417.71</v>
      </c>
      <c r="N6848" s="811">
        <v>0.45833333333333331</v>
      </c>
      <c r="O6848" s="867" t="s">
        <v>1809</v>
      </c>
    </row>
    <row r="6849" spans="1:17" x14ac:dyDescent="0.25">
      <c r="A6849" s="921"/>
      <c r="B6849" s="824" t="s">
        <v>1769</v>
      </c>
      <c r="C6849" s="820" t="s">
        <v>23</v>
      </c>
      <c r="D6849" s="821">
        <v>1.6</v>
      </c>
      <c r="E6849" s="822"/>
      <c r="F6849" s="819" t="s">
        <v>16</v>
      </c>
      <c r="G6849" s="823"/>
      <c r="H6849" s="819" t="s">
        <v>1783</v>
      </c>
      <c r="I6849" s="782"/>
      <c r="J6849" s="825"/>
      <c r="K6849" s="849"/>
      <c r="L6849" s="819" t="s">
        <v>28</v>
      </c>
      <c r="M6849" s="819">
        <v>1612.56</v>
      </c>
      <c r="N6849" s="811">
        <v>0.45833333333333331</v>
      </c>
      <c r="O6849" s="867">
        <v>6283298</v>
      </c>
      <c r="P6849" s="899">
        <f>VLOOKUP(O6849,[1]Лист1!$A:$D,4,0)</f>
        <v>1612.56</v>
      </c>
    </row>
    <row r="6850" spans="1:17" x14ac:dyDescent="0.25">
      <c r="A6850" s="921"/>
      <c r="B6850" s="798" t="s">
        <v>1473</v>
      </c>
      <c r="C6850" s="799" t="s">
        <v>23</v>
      </c>
      <c r="D6850" s="800">
        <v>3.5</v>
      </c>
      <c r="E6850" s="800"/>
      <c r="F6850" s="801" t="s">
        <v>16</v>
      </c>
      <c r="G6850" s="802"/>
      <c r="H6850" s="801" t="s">
        <v>1783</v>
      </c>
      <c r="I6850" s="801"/>
      <c r="J6850" s="803"/>
      <c r="K6850" s="848"/>
      <c r="L6850" s="801" t="s">
        <v>28</v>
      </c>
      <c r="M6850" s="801">
        <v>3510</v>
      </c>
      <c r="N6850" s="804">
        <v>0.45833333333333331</v>
      </c>
      <c r="O6850" s="867">
        <v>6284896</v>
      </c>
      <c r="P6850" s="899">
        <f>VLOOKUP(O6850,[1]Лист1!$A:$D,4,0)</f>
        <v>3510</v>
      </c>
    </row>
    <row r="6851" spans="1:17" ht="19.5" thickBot="1" x14ac:dyDescent="0.3">
      <c r="A6851" s="906"/>
      <c r="B6851" s="798" t="s">
        <v>1770</v>
      </c>
      <c r="C6851" s="799" t="s">
        <v>23</v>
      </c>
      <c r="D6851" s="800">
        <v>4.0999999999999996</v>
      </c>
      <c r="E6851" s="800"/>
      <c r="F6851" s="801" t="s">
        <v>16</v>
      </c>
      <c r="G6851" s="802" t="s">
        <v>76</v>
      </c>
      <c r="H6851" s="801" t="s">
        <v>1783</v>
      </c>
      <c r="I6851" s="801"/>
      <c r="J6851" s="803"/>
      <c r="K6851" s="848"/>
      <c r="L6851" s="801" t="s">
        <v>28</v>
      </c>
      <c r="M6851" s="801">
        <v>4110</v>
      </c>
      <c r="N6851" s="804">
        <v>0.45833333333333331</v>
      </c>
      <c r="O6851" s="867">
        <v>6284749</v>
      </c>
      <c r="P6851" s="900">
        <f>VLOOKUP(O6851,[1]Лист1!$A:$D,4,0)</f>
        <v>4110</v>
      </c>
    </row>
    <row r="6852" spans="1:17" x14ac:dyDescent="0.25">
      <c r="A6852" s="91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79"/>
      <c r="L6852" s="483" t="s">
        <v>28</v>
      </c>
      <c r="M6852" s="483">
        <v>17606.16</v>
      </c>
      <c r="N6852" s="486">
        <v>0.5</v>
      </c>
      <c r="O6852" s="833" t="s">
        <v>1821</v>
      </c>
      <c r="P6852" s="833"/>
    </row>
    <row r="6853" spans="1:17" ht="19.5" thickBot="1" x14ac:dyDescent="0.3">
      <c r="A6853" s="91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86"/>
      <c r="L6853" s="844" t="s">
        <v>28</v>
      </c>
      <c r="M6853" s="844">
        <v>1545</v>
      </c>
      <c r="N6853" s="846">
        <v>0.5</v>
      </c>
      <c r="O6853" s="833" t="s">
        <v>1822</v>
      </c>
      <c r="P6853" s="833"/>
    </row>
    <row r="6854" spans="1:17" x14ac:dyDescent="0.25">
      <c r="A6854" s="90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/>
      <c r="F6854" s="535" t="s">
        <v>16</v>
      </c>
      <c r="G6854" s="536"/>
      <c r="H6854" s="535" t="s">
        <v>1795</v>
      </c>
      <c r="I6854" s="537"/>
      <c r="J6854" s="538"/>
      <c r="K6854" s="531"/>
      <c r="L6854" s="535" t="s">
        <v>265</v>
      </c>
      <c r="M6854" s="535">
        <v>17561.68</v>
      </c>
      <c r="N6854" s="539">
        <v>0.375</v>
      </c>
    </row>
    <row r="6855" spans="1:17" ht="19.5" thickBot="1" x14ac:dyDescent="0.3">
      <c r="A6855" s="906"/>
      <c r="B6855" s="798" t="s">
        <v>1783</v>
      </c>
      <c r="C6855" s="799" t="s">
        <v>26</v>
      </c>
      <c r="D6855" s="800">
        <v>5.3</v>
      </c>
      <c r="E6855" s="800"/>
      <c r="F6855" s="801" t="s">
        <v>16</v>
      </c>
      <c r="G6855" s="802"/>
      <c r="H6855" s="801" t="s">
        <v>1795</v>
      </c>
      <c r="I6855" s="801"/>
      <c r="J6855" s="803"/>
      <c r="K6855" s="848"/>
      <c r="L6855" s="801" t="s">
        <v>265</v>
      </c>
      <c r="M6855" s="801">
        <v>5335.8</v>
      </c>
      <c r="N6855" s="804">
        <v>0.375</v>
      </c>
    </row>
    <row r="6856" spans="1:17" x14ac:dyDescent="0.25">
      <c r="A6856" s="91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896"/>
      <c r="H6856" s="483" t="s">
        <v>1795</v>
      </c>
      <c r="I6856" s="484" t="s">
        <v>1795</v>
      </c>
      <c r="J6856" s="485"/>
      <c r="K6856" s="479"/>
      <c r="L6856" s="483" t="s">
        <v>265</v>
      </c>
      <c r="M6856" s="483">
        <v>13866.14</v>
      </c>
      <c r="N6856" s="486">
        <v>0.41666666666666669</v>
      </c>
      <c r="O6856" s="867" t="s">
        <v>1837</v>
      </c>
      <c r="P6856" s="847" t="s">
        <v>1838</v>
      </c>
    </row>
    <row r="6857" spans="1:17" x14ac:dyDescent="0.25">
      <c r="A6857" s="91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897" t="s">
        <v>844</v>
      </c>
      <c r="H6857" s="763" t="s">
        <v>1795</v>
      </c>
      <c r="I6857" s="768" t="s">
        <v>1795</v>
      </c>
      <c r="J6857" s="779"/>
      <c r="K6857" s="791"/>
      <c r="L6857" s="763" t="s">
        <v>265</v>
      </c>
      <c r="M6857" s="763">
        <v>1966.3799999999997</v>
      </c>
      <c r="N6857" s="770">
        <v>0.41666666666666669</v>
      </c>
      <c r="O6857" s="867" t="s">
        <v>1839</v>
      </c>
    </row>
    <row r="6858" spans="1:17" x14ac:dyDescent="0.25">
      <c r="A6858" s="91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897" t="s">
        <v>845</v>
      </c>
      <c r="H6858" s="763" t="s">
        <v>1795</v>
      </c>
      <c r="I6858" s="768" t="s">
        <v>1795</v>
      </c>
      <c r="J6858" s="779"/>
      <c r="K6858" s="791"/>
      <c r="L6858" s="763" t="s">
        <v>265</v>
      </c>
      <c r="M6858" s="763">
        <v>1759.38</v>
      </c>
      <c r="N6858" s="770">
        <v>0.41666666666666669</v>
      </c>
      <c r="O6858" s="867" t="s">
        <v>1840</v>
      </c>
    </row>
    <row r="6859" spans="1:17" ht="19.5" thickBot="1" x14ac:dyDescent="0.3">
      <c r="A6859" s="91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87"/>
      <c r="L6859" s="808" t="s">
        <v>265</v>
      </c>
      <c r="M6859" s="808">
        <v>5935.8</v>
      </c>
      <c r="N6859" s="778">
        <v>0.41666666666666669</v>
      </c>
      <c r="O6859" s="867" t="s">
        <v>1841</v>
      </c>
    </row>
    <row r="6860" spans="1:17" ht="19.5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0"/>
      <c r="L6860" s="594" t="s">
        <v>265</v>
      </c>
      <c r="M6860" s="594">
        <v>14860.759999999997</v>
      </c>
      <c r="N6860" s="598">
        <v>0.375</v>
      </c>
      <c r="O6860" s="867" t="s">
        <v>1843</v>
      </c>
    </row>
    <row r="6861" spans="1:17" x14ac:dyDescent="0.25">
      <c r="A6861" s="91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/>
      <c r="F6861" s="483" t="s">
        <v>16</v>
      </c>
      <c r="G6861" s="916" t="s">
        <v>1633</v>
      </c>
      <c r="H6861" s="483" t="s">
        <v>1795</v>
      </c>
      <c r="I6861" s="484"/>
      <c r="J6861" s="485"/>
      <c r="K6861" s="479"/>
      <c r="L6861" s="483" t="s">
        <v>28</v>
      </c>
      <c r="M6861" s="483">
        <v>5256.92</v>
      </c>
      <c r="N6861" s="486">
        <v>0.45833333333333331</v>
      </c>
      <c r="O6861" s="867">
        <v>6284442</v>
      </c>
      <c r="P6861" s="901">
        <f>VLOOKUP(O6861,[1]Лист1!$A:$D,4,0)</f>
        <v>3740.54</v>
      </c>
      <c r="Q6861" s="898"/>
    </row>
    <row r="6862" spans="1:17" x14ac:dyDescent="0.25">
      <c r="A6862" s="914"/>
      <c r="B6862" s="769" t="s">
        <v>1774</v>
      </c>
      <c r="C6862" s="764" t="s">
        <v>24</v>
      </c>
      <c r="D6862" s="765">
        <v>11.551</v>
      </c>
      <c r="E6862" s="766"/>
      <c r="F6862" s="763" t="s">
        <v>16</v>
      </c>
      <c r="G6862" s="917"/>
      <c r="H6862" s="763" t="s">
        <v>1795</v>
      </c>
      <c r="I6862" s="768"/>
      <c r="J6862" s="779"/>
      <c r="K6862" s="791"/>
      <c r="L6862" s="763" t="s">
        <v>28</v>
      </c>
      <c r="M6862" s="763">
        <v>11740.74</v>
      </c>
      <c r="N6862" s="770">
        <v>0.45833333333333331</v>
      </c>
      <c r="O6862" s="867">
        <v>6284634</v>
      </c>
      <c r="P6862" s="901">
        <f>VLOOKUP(O6862,[1]Лист1!$A:$D,4,0)</f>
        <v>9617.7000000000007</v>
      </c>
      <c r="Q6862" s="898"/>
    </row>
    <row r="6863" spans="1:17" ht="19.5" thickBot="1" x14ac:dyDescent="0.3">
      <c r="A6863" s="915"/>
      <c r="B6863" s="805" t="s">
        <v>1795</v>
      </c>
      <c r="C6863" s="806" t="s">
        <v>24</v>
      </c>
      <c r="D6863" s="807">
        <v>3.6</v>
      </c>
      <c r="E6863" s="807"/>
      <c r="F6863" s="808" t="s">
        <v>16</v>
      </c>
      <c r="G6863" s="918"/>
      <c r="H6863" s="808" t="s">
        <v>1795</v>
      </c>
      <c r="I6863" s="808"/>
      <c r="J6863" s="810"/>
      <c r="K6863" s="887"/>
      <c r="L6863" s="808" t="s">
        <v>28</v>
      </c>
      <c r="M6863" s="808">
        <v>3615</v>
      </c>
      <c r="N6863" s="778">
        <v>0.45833333333333331</v>
      </c>
      <c r="O6863" s="867" t="s">
        <v>1801</v>
      </c>
      <c r="Q6863" s="898"/>
    </row>
    <row r="6864" spans="1:17" x14ac:dyDescent="0.25">
      <c r="A6864" s="91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/>
      <c r="F6864" s="567" t="s">
        <v>16</v>
      </c>
      <c r="G6864" s="568"/>
      <c r="H6864" s="567" t="s">
        <v>1795</v>
      </c>
      <c r="I6864" s="569"/>
      <c r="J6864" s="570"/>
      <c r="K6864" s="563"/>
      <c r="L6864" s="567" t="s">
        <v>28</v>
      </c>
      <c r="M6864" s="567">
        <v>12834.22</v>
      </c>
      <c r="N6864" s="571">
        <v>0.5</v>
      </c>
      <c r="O6864" s="867">
        <v>6284451</v>
      </c>
      <c r="P6864" s="899">
        <f>VLOOKUP(O6864,[1]Лист1!$A:$D,4,0)</f>
        <v>10246</v>
      </c>
      <c r="Q6864" s="898"/>
    </row>
    <row r="6865" spans="1:17" ht="19.5" thickBot="1" x14ac:dyDescent="0.3">
      <c r="A6865" s="920"/>
      <c r="B6865" s="636" t="s">
        <v>1774</v>
      </c>
      <c r="C6865" s="637" t="s">
        <v>480</v>
      </c>
      <c r="D6865" s="638">
        <v>4.7300000000000004</v>
      </c>
      <c r="E6865" s="639"/>
      <c r="F6865" s="640" t="s">
        <v>16</v>
      </c>
      <c r="G6865" s="641"/>
      <c r="H6865" s="640" t="s">
        <v>1795</v>
      </c>
      <c r="I6865" s="642"/>
      <c r="J6865" s="643"/>
      <c r="K6865" s="636"/>
      <c r="L6865" s="640" t="s">
        <v>266</v>
      </c>
      <c r="M6865" s="640">
        <v>4831</v>
      </c>
      <c r="N6865" s="644">
        <v>0.5</v>
      </c>
      <c r="P6865" s="899">
        <v>2866</v>
      </c>
    </row>
    <row r="6866" spans="1:17" x14ac:dyDescent="0.25">
      <c r="A6866" s="90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/>
      <c r="F6866" s="483" t="s">
        <v>30</v>
      </c>
      <c r="G6866" s="549" t="s">
        <v>23</v>
      </c>
      <c r="H6866" s="483" t="s">
        <v>1795</v>
      </c>
      <c r="I6866" s="484"/>
      <c r="J6866" s="485"/>
      <c r="K6866" s="479"/>
      <c r="L6866" s="483" t="s">
        <v>28</v>
      </c>
      <c r="M6866" s="483">
        <v>7129.7199999999993</v>
      </c>
      <c r="N6866" s="486">
        <v>0.41666666666666669</v>
      </c>
    </row>
    <row r="6867" spans="1:17" ht="19.5" thickBot="1" x14ac:dyDescent="0.3">
      <c r="A6867" s="910"/>
      <c r="B6867" s="645" t="s">
        <v>1774</v>
      </c>
      <c r="C6867" s="646" t="s">
        <v>23</v>
      </c>
      <c r="D6867" s="647">
        <v>6.4139999999999997</v>
      </c>
      <c r="E6867" s="648"/>
      <c r="F6867" s="649" t="s">
        <v>30</v>
      </c>
      <c r="G6867" s="650"/>
      <c r="H6867" s="649" t="s">
        <v>1795</v>
      </c>
      <c r="I6867" s="651"/>
      <c r="J6867" s="652"/>
      <c r="K6867" s="645"/>
      <c r="L6867" s="649" t="s">
        <v>28</v>
      </c>
      <c r="M6867" s="649">
        <v>6414</v>
      </c>
      <c r="N6867" s="653">
        <v>0.41666666666666669</v>
      </c>
    </row>
    <row r="6868" spans="1:17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O6868" s="867" t="s">
        <v>1844</v>
      </c>
    </row>
    <row r="6869" spans="1:17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902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O6869" s="867" t="s">
        <v>1842</v>
      </c>
    </row>
    <row r="6870" spans="1:17" x14ac:dyDescent="0.25">
      <c r="A6870" s="90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/>
      <c r="F6870" s="535" t="s">
        <v>16</v>
      </c>
      <c r="G6870" s="536"/>
      <c r="H6870" s="535" t="s">
        <v>1796</v>
      </c>
      <c r="I6870" s="537"/>
      <c r="J6870" s="538"/>
      <c r="K6870" s="531"/>
      <c r="L6870" s="535" t="s">
        <v>265</v>
      </c>
      <c r="M6870" s="535">
        <v>17583.84</v>
      </c>
      <c r="N6870" s="539">
        <v>0.375</v>
      </c>
    </row>
    <row r="6871" spans="1:17" ht="19.5" thickBot="1" x14ac:dyDescent="0.3">
      <c r="A6871" s="906"/>
      <c r="B6871" s="798" t="s">
        <v>1795</v>
      </c>
      <c r="C6871" s="799" t="s">
        <v>26</v>
      </c>
      <c r="D6871" s="800">
        <v>2.7</v>
      </c>
      <c r="E6871" s="800"/>
      <c r="F6871" s="801" t="s">
        <v>16</v>
      </c>
      <c r="G6871" s="802" t="s">
        <v>76</v>
      </c>
      <c r="H6871" s="801" t="s">
        <v>1796</v>
      </c>
      <c r="I6871" s="801"/>
      <c r="J6871" s="803"/>
      <c r="K6871" s="848"/>
      <c r="L6871" s="801" t="s">
        <v>265</v>
      </c>
      <c r="M6871" s="801">
        <v>2715</v>
      </c>
      <c r="N6871" s="804">
        <v>0.375</v>
      </c>
      <c r="O6871" s="867" t="s">
        <v>1801</v>
      </c>
    </row>
    <row r="6872" spans="1:17" x14ac:dyDescent="0.25">
      <c r="A6872" s="913">
        <f>MAX(A6815:A6871)+1</f>
        <v>4284</v>
      </c>
      <c r="B6872" s="610" t="s">
        <v>1774</v>
      </c>
      <c r="C6872" s="480" t="s">
        <v>26</v>
      </c>
      <c r="D6872" s="481">
        <v>17.475000000000001</v>
      </c>
      <c r="E6872" s="482"/>
      <c r="F6872" s="483" t="s">
        <v>16</v>
      </c>
      <c r="G6872" s="904"/>
      <c r="H6872" s="483" t="s">
        <v>1796</v>
      </c>
      <c r="I6872" s="484"/>
      <c r="J6872" s="485"/>
      <c r="K6872" s="479"/>
      <c r="L6872" s="483" t="s">
        <v>265</v>
      </c>
      <c r="M6872" s="483">
        <v>17665.38</v>
      </c>
      <c r="N6872" s="486">
        <v>0.41666666666666669</v>
      </c>
    </row>
    <row r="6873" spans="1:17" ht="19.5" thickBot="1" x14ac:dyDescent="0.3">
      <c r="A6873" s="915"/>
      <c r="B6873" s="805" t="s">
        <v>1795</v>
      </c>
      <c r="C6873" s="806" t="s">
        <v>26</v>
      </c>
      <c r="D6873" s="807">
        <v>3.1</v>
      </c>
      <c r="E6873" s="807"/>
      <c r="F6873" s="808" t="s">
        <v>16</v>
      </c>
      <c r="G6873" s="809" t="s">
        <v>76</v>
      </c>
      <c r="H6873" s="808" t="s">
        <v>1796</v>
      </c>
      <c r="I6873" s="808"/>
      <c r="J6873" s="810"/>
      <c r="K6873" s="887"/>
      <c r="L6873" s="808" t="s">
        <v>265</v>
      </c>
      <c r="M6873" s="808">
        <v>3105</v>
      </c>
      <c r="N6873" s="778">
        <v>0.41666666666666669</v>
      </c>
      <c r="O6873" s="867" t="s">
        <v>1801</v>
      </c>
    </row>
    <row r="6874" spans="1:17" x14ac:dyDescent="0.25">
      <c r="A6874" s="905">
        <f>MAX(A6816:A6873)+1</f>
        <v>4285</v>
      </c>
      <c r="B6874" s="760" t="s">
        <v>1774</v>
      </c>
      <c r="C6874" s="564" t="s">
        <v>23</v>
      </c>
      <c r="D6874" s="565">
        <v>16.715</v>
      </c>
      <c r="E6874" s="566"/>
      <c r="F6874" s="567" t="s">
        <v>16</v>
      </c>
      <c r="G6874" s="908" t="s">
        <v>1633</v>
      </c>
      <c r="H6874" s="567" t="s">
        <v>1796</v>
      </c>
      <c r="I6874" s="569"/>
      <c r="J6874" s="570"/>
      <c r="K6874" s="563"/>
      <c r="L6874" s="567" t="s">
        <v>28</v>
      </c>
      <c r="M6874" s="567">
        <v>16782.48</v>
      </c>
      <c r="N6874" s="571">
        <v>0.45833333333333331</v>
      </c>
      <c r="O6874" s="867">
        <v>6285226</v>
      </c>
      <c r="P6874" s="847">
        <v>15635</v>
      </c>
      <c r="Q6874" s="898"/>
    </row>
    <row r="6875" spans="1:17" ht="19.5" thickBot="1" x14ac:dyDescent="0.3">
      <c r="A6875" s="906"/>
      <c r="B6875" s="798" t="s">
        <v>1795</v>
      </c>
      <c r="C6875" s="799" t="s">
        <v>23</v>
      </c>
      <c r="D6875" s="800">
        <v>1</v>
      </c>
      <c r="E6875" s="800"/>
      <c r="F6875" s="801" t="s">
        <v>16</v>
      </c>
      <c r="G6875" s="908"/>
      <c r="H6875" s="801" t="s">
        <v>1796</v>
      </c>
      <c r="I6875" s="801"/>
      <c r="J6875" s="803"/>
      <c r="K6875" s="848"/>
      <c r="L6875" s="801" t="s">
        <v>28</v>
      </c>
      <c r="M6875" s="801">
        <v>1005</v>
      </c>
      <c r="N6875" s="804">
        <v>0.45833333333333331</v>
      </c>
      <c r="O6875" s="867" t="s">
        <v>1801</v>
      </c>
      <c r="Q6875" s="898"/>
    </row>
    <row r="6876" spans="1:17" x14ac:dyDescent="0.25">
      <c r="A6876" s="909">
        <f>MAX(A6817:A6875)+1</f>
        <v>4286</v>
      </c>
      <c r="B6876" s="610" t="s">
        <v>1774</v>
      </c>
      <c r="C6876" s="480" t="s">
        <v>47</v>
      </c>
      <c r="D6876" s="481">
        <v>16.702999999999999</v>
      </c>
      <c r="E6876" s="482"/>
      <c r="F6876" s="483" t="s">
        <v>16</v>
      </c>
      <c r="G6876" s="911" t="s">
        <v>1633</v>
      </c>
      <c r="H6876" s="483" t="s">
        <v>1796</v>
      </c>
      <c r="I6876" s="484"/>
      <c r="J6876" s="485"/>
      <c r="K6876" s="479"/>
      <c r="L6876" s="483" t="s">
        <v>28</v>
      </c>
      <c r="M6876" s="483">
        <v>16885.699999999997</v>
      </c>
      <c r="N6876" s="486">
        <v>0.5</v>
      </c>
      <c r="O6876" s="867">
        <v>6284611</v>
      </c>
      <c r="P6876" s="847">
        <f>VLOOKUP(O6876,[1]Лист1!$A:$D,4,0)</f>
        <v>14005.28</v>
      </c>
      <c r="Q6876" s="898"/>
    </row>
    <row r="6877" spans="1:17" ht="19.5" thickBot="1" x14ac:dyDescent="0.3">
      <c r="A6877" s="910"/>
      <c r="B6877" s="805" t="s">
        <v>1795</v>
      </c>
      <c r="C6877" s="806" t="s">
        <v>47</v>
      </c>
      <c r="D6877" s="807">
        <v>2.6</v>
      </c>
      <c r="E6877" s="807"/>
      <c r="F6877" s="808" t="s">
        <v>16</v>
      </c>
      <c r="G6877" s="912"/>
      <c r="H6877" s="808" t="s">
        <v>1796</v>
      </c>
      <c r="I6877" s="808"/>
      <c r="J6877" s="810"/>
      <c r="K6877" s="887"/>
      <c r="L6877" s="808" t="s">
        <v>28</v>
      </c>
      <c r="M6877" s="808">
        <v>2610</v>
      </c>
      <c r="N6877" s="778">
        <v>0.5</v>
      </c>
      <c r="O6877" s="867" t="s">
        <v>1801</v>
      </c>
      <c r="Q6877" s="898"/>
    </row>
    <row r="6878" spans="1:17" ht="19.5" thickBot="1" x14ac:dyDescent="0.3">
      <c r="A6878" s="503">
        <f>MAX(A6818:A6877)+1</f>
        <v>4287</v>
      </c>
      <c r="B6878" s="636" t="s">
        <v>1774</v>
      </c>
      <c r="C6878" s="637" t="s">
        <v>23</v>
      </c>
      <c r="D6878" s="638">
        <v>12.749000000000001</v>
      </c>
      <c r="E6878" s="639"/>
      <c r="F6878" s="640" t="s">
        <v>30</v>
      </c>
      <c r="G6878" s="903"/>
      <c r="H6878" s="640" t="s">
        <v>1796</v>
      </c>
      <c r="I6878" s="642"/>
      <c r="J6878" s="643"/>
      <c r="K6878" s="636"/>
      <c r="L6878" s="640" t="s">
        <v>28</v>
      </c>
      <c r="M6878" s="640">
        <v>12749.48</v>
      </c>
      <c r="N6878" s="644">
        <v>0.375</v>
      </c>
    </row>
    <row r="6879" spans="1:17" x14ac:dyDescent="0.25">
      <c r="A6879" s="909">
        <f>MAX(A6819:A6878)+1</f>
        <v>4288</v>
      </c>
      <c r="B6879" s="479" t="s">
        <v>1774</v>
      </c>
      <c r="C6879" s="480" t="s">
        <v>15</v>
      </c>
      <c r="D6879" s="481">
        <v>9.3079999999999998</v>
      </c>
      <c r="E6879" s="482"/>
      <c r="F6879" s="483" t="s">
        <v>30</v>
      </c>
      <c r="G6879" s="549"/>
      <c r="H6879" s="483" t="s">
        <v>1796</v>
      </c>
      <c r="I6879" s="484"/>
      <c r="J6879" s="485"/>
      <c r="K6879" s="479"/>
      <c r="L6879" s="483" t="s">
        <v>28</v>
      </c>
      <c r="M6879" s="483">
        <v>9308.8799999999992</v>
      </c>
      <c r="N6879" s="486">
        <v>0.41666666666666669</v>
      </c>
    </row>
    <row r="6880" spans="1:17" ht="19.5" thickBot="1" x14ac:dyDescent="0.3">
      <c r="A6880" s="910"/>
      <c r="B6880" s="645" t="s">
        <v>1774</v>
      </c>
      <c r="C6880" s="646" t="s">
        <v>24</v>
      </c>
      <c r="D6880" s="647">
        <v>5.5679999999999996</v>
      </c>
      <c r="E6880" s="648"/>
      <c r="F6880" s="649" t="s">
        <v>30</v>
      </c>
      <c r="G6880" s="650"/>
      <c r="H6880" s="649" t="s">
        <v>1796</v>
      </c>
      <c r="I6880" s="651"/>
      <c r="J6880" s="652"/>
      <c r="K6880" s="645"/>
      <c r="L6880" s="649" t="s">
        <v>28</v>
      </c>
      <c r="M6880" s="649">
        <v>5568.24</v>
      </c>
      <c r="N6880" s="653">
        <v>0.41666666666666669</v>
      </c>
    </row>
    <row r="6881" spans="1:14" ht="19.5" thickBot="1" x14ac:dyDescent="0.3">
      <c r="A6881" s="503">
        <f>MAX(A6821:A6880)+1</f>
        <v>4289</v>
      </c>
      <c r="B6881" s="504" t="s">
        <v>1795</v>
      </c>
      <c r="C6881" s="505" t="s">
        <v>32</v>
      </c>
      <c r="D6881" s="506">
        <v>17.8</v>
      </c>
      <c r="E6881" s="507"/>
      <c r="F6881" s="508" t="s">
        <v>16</v>
      </c>
      <c r="G6881" s="509"/>
      <c r="H6881" s="508" t="s">
        <v>1836</v>
      </c>
      <c r="I6881" s="510"/>
      <c r="J6881" s="511"/>
      <c r="K6881" s="504"/>
      <c r="L6881" s="508" t="s">
        <v>266</v>
      </c>
      <c r="M6881" s="508">
        <v>17807.399999999998</v>
      </c>
      <c r="N6881" s="512">
        <v>0.41666666666666669</v>
      </c>
    </row>
    <row r="6882" spans="1:14" x14ac:dyDescent="0.25">
      <c r="A6882" s="676">
        <f>MAX(A6822:A6881)+1</f>
        <v>4290</v>
      </c>
      <c r="B6882" s="676"/>
      <c r="C6882" s="473"/>
      <c r="D6882" s="474"/>
      <c r="E6882" s="475"/>
      <c r="F6882" s="676"/>
      <c r="G6882" s="476"/>
      <c r="H6882" s="676"/>
      <c r="I6882" s="477"/>
      <c r="J6882" s="478"/>
      <c r="K6882" s="676"/>
      <c r="L6882" s="676"/>
      <c r="M6882" s="676"/>
      <c r="N6882" s="676"/>
    </row>
    <row r="6883" spans="1:14" x14ac:dyDescent="0.25">
      <c r="A6883" s="676">
        <f>MAX(A6823:A6882)+1</f>
        <v>4291</v>
      </c>
      <c r="B6883" s="676"/>
      <c r="C6883" s="473"/>
      <c r="D6883" s="474"/>
      <c r="E6883" s="475"/>
      <c r="F6883" s="676"/>
      <c r="G6883" s="476"/>
      <c r="H6883" s="676"/>
      <c r="I6883" s="477"/>
      <c r="J6883" s="478"/>
      <c r="K6883" s="676"/>
      <c r="L6883" s="676"/>
      <c r="M6883" s="676"/>
      <c r="N6883" s="676"/>
    </row>
    <row r="6884" spans="1:14" x14ac:dyDescent="0.25">
      <c r="A6884" s="676">
        <f>MAX(A6824:A6883)+1</f>
        <v>4292</v>
      </c>
      <c r="B6884" s="676"/>
      <c r="C6884" s="473"/>
      <c r="D6884" s="474"/>
      <c r="E6884" s="475"/>
      <c r="F6884" s="676"/>
      <c r="G6884" s="476"/>
      <c r="H6884" s="676"/>
      <c r="I6884" s="477"/>
      <c r="J6884" s="478"/>
      <c r="K6884" s="676"/>
      <c r="L6884" s="676"/>
      <c r="M6884" s="676"/>
      <c r="N6884" s="676"/>
    </row>
    <row r="6885" spans="1:14" x14ac:dyDescent="0.25">
      <c r="A6885" s="676">
        <f>MAX(A6828:A6884)+1</f>
        <v>4293</v>
      </c>
      <c r="B6885" s="676"/>
      <c r="C6885" s="473"/>
      <c r="D6885" s="474"/>
      <c r="E6885" s="475"/>
      <c r="F6885" s="676"/>
      <c r="G6885" s="476"/>
      <c r="H6885" s="676"/>
      <c r="I6885" s="477"/>
      <c r="J6885" s="478"/>
      <c r="K6885" s="676"/>
      <c r="L6885" s="676"/>
      <c r="M6885" s="676"/>
      <c r="N6885" s="676"/>
    </row>
  </sheetData>
  <autoFilter ref="A2:N6885" xr:uid="{00000000-0009-0000-0000-000000000000}">
    <filterColumn colId="10">
      <filters blank="1"/>
    </filterColumn>
  </autoFilter>
  <mergeCells count="1794">
    <mergeCell ref="A6552:A6554"/>
    <mergeCell ref="A6555:A6556"/>
    <mergeCell ref="A6559:A6561"/>
    <mergeCell ref="A6567:A6568"/>
    <mergeCell ref="A6870:A6871"/>
    <mergeCell ref="A6872:A6873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40:A6843"/>
    <mergeCell ref="A6844:A6846"/>
    <mergeCell ref="A6847:A6851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833:A6835"/>
    <mergeCell ref="A6754:A6755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6695:A6697"/>
    <mergeCell ref="A6700:A6702"/>
    <mergeCell ref="A1035:A1036"/>
    <mergeCell ref="A1041:A1042"/>
    <mergeCell ref="G5623:G5624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091:A5092"/>
    <mergeCell ref="G5140:G5141"/>
    <mergeCell ref="A5232:A5233"/>
    <mergeCell ref="A5298:A5299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1218:A1219"/>
    <mergeCell ref="A1032:A1034"/>
    <mergeCell ref="A1028:A1029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1065:A1067"/>
    <mergeCell ref="A839:A841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76:A87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A339:A340"/>
    <mergeCell ref="B62:B66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915:A916"/>
    <mergeCell ref="A872:A874"/>
    <mergeCell ref="A943:A947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A990:A992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070:A1071"/>
    <mergeCell ref="A1072:A1074"/>
    <mergeCell ref="A1062:A1063"/>
    <mergeCell ref="A955:A956"/>
    <mergeCell ref="A1043:A1045"/>
    <mergeCell ref="A957:A958"/>
    <mergeCell ref="A912:A914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125:A1126"/>
    <mergeCell ref="A1127:A1128"/>
    <mergeCell ref="A1136:A1137"/>
    <mergeCell ref="A1023:A1025"/>
    <mergeCell ref="A988:A989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756:A6758"/>
    <mergeCell ref="A6691:A6692"/>
    <mergeCell ref="A6693:A6694"/>
    <mergeCell ref="A6673:A6674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A5247:A5249"/>
    <mergeCell ref="A5497:A5498"/>
    <mergeCell ref="A5499:A5500"/>
    <mergeCell ref="A5302:A5304"/>
    <mergeCell ref="A5305:A5308"/>
    <mergeCell ref="A5577:A5578"/>
    <mergeCell ref="A6571:A6572"/>
    <mergeCell ref="A5573:A5574"/>
    <mergeCell ref="A6874:A6875"/>
    <mergeCell ref="G6874:G6875"/>
    <mergeCell ref="A6876:A6877"/>
    <mergeCell ref="G6876:G6877"/>
    <mergeCell ref="A6856:A6859"/>
    <mergeCell ref="A6861:A6863"/>
    <mergeCell ref="G6861:G6863"/>
    <mergeCell ref="A6864:A6865"/>
    <mergeCell ref="A6866:A6867"/>
    <mergeCell ref="A6879:A6880"/>
    <mergeCell ref="A6836:A6838"/>
    <mergeCell ref="A6789:A6790"/>
    <mergeCell ref="A6663:A6664"/>
    <mergeCell ref="A6644:A6647"/>
    <mergeCell ref="A6649:A6651"/>
    <mergeCell ref="A6654:A6655"/>
    <mergeCell ref="G6560:G6561"/>
    <mergeCell ref="A6817:A6821"/>
    <mergeCell ref="A6822:A6828"/>
    <mergeCell ref="A6829:A6832"/>
    <mergeCell ref="A6808:A6811"/>
    <mergeCell ref="A6797:A6800"/>
    <mergeCell ref="A6780:A6781"/>
    <mergeCell ref="A6782:A6784"/>
    <mergeCell ref="A6812:A6815"/>
    <mergeCell ref="A6854:A6855"/>
    <mergeCell ref="A6852:A6853"/>
    <mergeCell ref="A6611:A6612"/>
    <mergeCell ref="A6614:A6616"/>
    <mergeCell ref="A6617:A6618"/>
    <mergeCell ref="A6769:A6770"/>
    <mergeCell ref="A6771:A677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2026-08-03T13:36:23Z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