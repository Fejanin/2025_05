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7F2A34F5-0BDC-43BA-8533-7448508C9C1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Лист1!$A$2:$R$7026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R6999" i="1" l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70" i="1" s="1"/>
  <c r="A6975" i="1" l="1"/>
  <c r="A6979" i="1" s="1"/>
  <c r="A6980" i="1" s="1"/>
  <c r="A6981" i="1" s="1"/>
  <c r="A6985" i="1" s="1"/>
  <c r="A6987" i="1" l="1"/>
  <c r="A6989" i="1" s="1"/>
  <c r="A6992" i="1" s="1"/>
  <c r="A6996" i="1" s="1"/>
  <c r="A6999" i="1" s="1"/>
  <c r="A7003" i="1" s="1"/>
  <c r="A7005" i="1" s="1"/>
  <c r="A7007" i="1" l="1"/>
  <c r="A7008" i="1" s="1"/>
  <c r="A7009" i="1" s="1"/>
  <c r="A7010" i="1" s="1"/>
  <c r="A7013" i="1" s="1"/>
  <c r="A7014" i="1" l="1"/>
  <c r="A7015" i="1" s="1"/>
  <c r="A7018" i="1" l="1"/>
  <c r="A7019" i="1" l="1"/>
  <c r="A7020" i="1" s="1"/>
  <c r="A7021" i="1" s="1"/>
  <c r="A7022" i="1" s="1"/>
  <c r="A7023" i="1" l="1"/>
  <c r="A7024" i="1" s="1"/>
  <c r="A7025" i="1" s="1"/>
  <c r="A7026" i="1" s="1"/>
  <c r="A7027" i="1" l="1"/>
  <c r="A7028" i="1" s="1"/>
  <c r="A7029" i="1" s="1"/>
  <c r="A7030" i="1" l="1"/>
  <c r="A7031" i="1" l="1"/>
  <c r="A7032" i="1" s="1"/>
</calcChain>
</file>

<file path=xl/sharedStrings.xml><?xml version="1.0" encoding="utf-8"?>
<sst xmlns="http://schemas.openxmlformats.org/spreadsheetml/2006/main" count="44711" uniqueCount="2130">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</sst>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5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0" fontId="45" fillId="16" borderId="50" xfId="0" applyFont="1" applyFill="1" applyBorder="1" applyAlignment="1">
      <alignment horizontal="center" vertical="center" wrapText="1"/>
    </xf>
    <xf numFmtId="0" fontId="45" fillId="16" borderId="34" xfId="0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vertical="center" wrapText="1"/>
    </xf>
    <xf numFmtId="164" fontId="45" fillId="16" borderId="16" xfId="0" applyNumberFormat="1" applyFont="1" applyFill="1" applyBorder="1" applyAlignment="1">
      <alignment horizontal="center" vertical="center" wrapText="1"/>
    </xf>
    <xf numFmtId="0" fontId="45" fillId="16" borderId="16" xfId="0" applyFont="1" applyFill="1" applyBorder="1" applyAlignment="1">
      <alignment horizontal="center" vertical="center" wrapText="1"/>
    </xf>
    <xf numFmtId="49" fontId="45" fillId="16" borderId="16" xfId="0" applyNumberFormat="1" applyFont="1" applyFill="1" applyBorder="1" applyAlignment="1">
      <alignment horizontal="left" vertical="center" wrapText="1"/>
    </xf>
    <xf numFmtId="49" fontId="45" fillId="16" borderId="17" xfId="0" applyNumberFormat="1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vertical="center" wrapText="1"/>
    </xf>
    <xf numFmtId="0" fontId="45" fillId="16" borderId="83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5" fillId="17" borderId="79" xfId="0" applyFont="1" applyFill="1" applyBorder="1" applyAlignment="1">
      <alignment horizontal="center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32"/>
  <sheetViews>
    <sheetView tabSelected="1" zoomScale="80" zoomScaleNormal="80" workbookViewId="0">
      <pane ySplit="2" topLeftCell="A6998" activePane="bottomLeft" state="frozen"/>
      <selection pane="bottomLeft" activeCell="P7013" sqref="P701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0" t="s">
        <v>0</v>
      </c>
      <c r="B1" s="1010"/>
      <c r="C1" s="1010"/>
      <c r="D1" s="1010"/>
      <c r="E1" s="1010"/>
      <c r="F1" s="1010"/>
      <c r="G1" s="1010"/>
      <c r="H1" s="1010"/>
      <c r="I1" s="1010"/>
      <c r="J1" s="1010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1">
        <v>1</v>
      </c>
      <c r="B3" s="101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1"/>
      <c r="B4" s="101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2">
        <v>3</v>
      </c>
      <c r="B6" s="101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2"/>
      <c r="B7" s="101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2"/>
      <c r="B8" s="101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2">
        <v>5</v>
      </c>
      <c r="B10" s="101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2"/>
      <c r="B11" s="101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3">
        <v>8</v>
      </c>
      <c r="B14" s="101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3"/>
      <c r="B15" s="101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2">
        <v>11</v>
      </c>
      <c r="B18" s="101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2"/>
      <c r="B19" s="101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2"/>
      <c r="B20" s="101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2"/>
      <c r="B21" s="101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2">
        <v>13</v>
      </c>
      <c r="B23" s="101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2"/>
      <c r="B24" s="101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3">
        <v>14</v>
      </c>
      <c r="B25" s="101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3"/>
      <c r="B26" s="101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2">
        <v>15</v>
      </c>
      <c r="B27" s="101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2"/>
      <c r="B28" s="101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2"/>
      <c r="B29" s="101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2"/>
      <c r="B30" s="101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3">
        <v>16</v>
      </c>
      <c r="B31" s="101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3"/>
      <c r="B32" s="101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3"/>
      <c r="B33" s="101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3"/>
      <c r="B34" s="101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2">
        <v>17</v>
      </c>
      <c r="B35" s="101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2"/>
      <c r="B36" s="101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2">
        <v>21</v>
      </c>
      <c r="B40" s="101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2"/>
      <c r="B41" s="101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2">
        <v>23</v>
      </c>
      <c r="B43" s="101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2"/>
      <c r="B44" s="101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2"/>
      <c r="B45" s="101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3">
        <v>24</v>
      </c>
      <c r="B46" s="101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3"/>
      <c r="B47" s="101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2">
        <v>25</v>
      </c>
      <c r="B48" s="101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2"/>
      <c r="B49" s="101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2"/>
      <c r="B50" s="101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3">
        <v>26</v>
      </c>
      <c r="B51" s="101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3"/>
      <c r="B52" s="101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2">
        <v>29</v>
      </c>
      <c r="B55" s="101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2"/>
      <c r="B56" s="101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3">
        <v>32</v>
      </c>
      <c r="B59" s="101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3"/>
      <c r="B60" s="101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3">
        <v>34</v>
      </c>
      <c r="B62" s="101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3"/>
      <c r="B63" s="101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3"/>
      <c r="B64" s="101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3"/>
      <c r="B65" s="101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3"/>
      <c r="B66" s="101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2">
        <v>35</v>
      </c>
      <c r="B67" s="101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2"/>
      <c r="B68" s="101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5">
        <v>40</v>
      </c>
      <c r="B73" s="101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5"/>
      <c r="B74" s="101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6">
        <v>41</v>
      </c>
      <c r="B75" s="101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6"/>
      <c r="B76" s="101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6"/>
      <c r="B77" s="101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5">
        <v>42</v>
      </c>
      <c r="B78" s="101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5"/>
      <c r="B79" s="101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6">
        <v>49</v>
      </c>
      <c r="B86" s="101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6"/>
      <c r="B87" s="101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6"/>
      <c r="B88" s="101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5">
        <v>50</v>
      </c>
      <c r="B89" s="101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5"/>
      <c r="B90" s="101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6">
        <v>51</v>
      </c>
      <c r="B91" s="101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6"/>
      <c r="B92" s="101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6">
        <v>53</v>
      </c>
      <c r="B94" s="101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6"/>
      <c r="B95" s="101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5">
        <v>54</v>
      </c>
      <c r="B96" s="101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5"/>
      <c r="B97" s="101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5"/>
      <c r="B98" s="101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5">
        <v>58</v>
      </c>
      <c r="B102" s="101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5"/>
      <c r="B103" s="101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5">
        <v>60</v>
      </c>
      <c r="B105" s="101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5"/>
      <c r="B106" s="101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5"/>
      <c r="B107" s="101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6">
        <v>61</v>
      </c>
      <c r="B108" s="101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6"/>
      <c r="B109" s="101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6"/>
      <c r="B110" s="101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5">
        <v>64</v>
      </c>
      <c r="B113" s="101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5"/>
      <c r="B114" s="101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5">
        <v>66</v>
      </c>
      <c r="B116" s="101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5"/>
      <c r="B117" s="101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6">
        <v>67</v>
      </c>
      <c r="B118" s="101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6"/>
      <c r="B119" s="101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6"/>
      <c r="B120" s="101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5">
        <v>68</v>
      </c>
      <c r="B121" s="101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5"/>
      <c r="B122" s="101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6">
        <v>69</v>
      </c>
      <c r="B123" s="101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6"/>
      <c r="B124" s="101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5">
        <v>72</v>
      </c>
      <c r="B127" s="1013" t="s">
        <v>65</v>
      </c>
      <c r="C127" s="119" t="s">
        <v>26</v>
      </c>
      <c r="D127" s="120">
        <v>3.3</v>
      </c>
      <c r="E127" s="121"/>
      <c r="F127" s="122" t="s">
        <v>30</v>
      </c>
      <c r="G127" s="100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5"/>
      <c r="B128" s="1013"/>
      <c r="C128" s="103" t="s">
        <v>26</v>
      </c>
      <c r="D128" s="88">
        <v>12.9</v>
      </c>
      <c r="E128" s="106"/>
      <c r="F128" s="107" t="s">
        <v>16</v>
      </c>
      <c r="G128" s="100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5">
        <v>76</v>
      </c>
      <c r="B132" s="101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5"/>
      <c r="B133" s="101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5"/>
      <c r="B134" s="101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5"/>
      <c r="B135" s="101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5">
        <v>78</v>
      </c>
      <c r="B137" s="10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5"/>
      <c r="B138" s="10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0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0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0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0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6" t="s">
        <v>133</v>
      </c>
      <c r="J420" s="100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88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88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8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8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8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88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88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88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88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88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88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8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8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88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88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88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88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88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88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88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88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88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88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88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88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88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88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88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88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88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88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5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5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5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88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88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5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5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8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8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8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88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88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5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5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9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99" t="s">
        <v>467</v>
      </c>
      <c r="H2160" s="414" t="s">
        <v>515</v>
      </c>
      <c r="I2160" s="415" t="s">
        <v>516</v>
      </c>
      <c r="J2160" s="100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9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99"/>
      <c r="H2161" s="421" t="s">
        <v>515</v>
      </c>
      <c r="I2161" s="422" t="s">
        <v>516</v>
      </c>
      <c r="J2161" s="100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9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99"/>
      <c r="H2162" s="429" t="s">
        <v>515</v>
      </c>
      <c r="I2162" s="430" t="s">
        <v>516</v>
      </c>
      <c r="J2162" s="100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9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99" t="s">
        <v>467</v>
      </c>
      <c r="H2165" s="414" t="s">
        <v>516</v>
      </c>
      <c r="I2165" s="415" t="s">
        <v>516</v>
      </c>
      <c r="J2165" s="100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9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99"/>
      <c r="H2166" s="429" t="s">
        <v>516</v>
      </c>
      <c r="I2166" s="430" t="s">
        <v>516</v>
      </c>
      <c r="J2166" s="100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88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88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5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5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5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8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8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8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8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8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8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89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8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8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5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88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88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88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8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8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8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8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8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8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88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88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5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5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8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8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8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8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88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88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5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88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88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8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8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8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89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8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8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8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8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8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88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88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88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8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8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8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8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8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8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8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8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8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8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8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8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8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88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88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8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8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8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8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8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8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8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8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8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8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8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8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8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8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88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88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88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88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88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88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88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8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8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8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8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8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88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88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88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8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88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8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8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8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8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8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8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8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8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8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8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8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8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8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8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5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8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8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8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8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8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8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8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8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89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8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8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8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8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8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8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8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8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8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8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8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8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8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8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8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89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8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8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8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8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8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8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8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8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8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8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88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88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8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8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88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88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88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88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5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6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5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6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6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6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5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6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6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6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6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6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6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6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6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6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6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6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6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6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6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6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6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5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5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6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6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6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6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5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6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6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6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6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6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6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6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6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6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6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6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5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6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6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6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6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5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6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5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6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6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6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6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6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6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5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6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6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5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6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6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6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6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6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6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6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6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5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6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6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6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6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6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6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6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6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6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6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6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6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6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6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6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5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59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6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6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6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6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6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6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6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6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6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6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6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6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6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6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6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6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6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6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6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6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5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59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6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6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6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6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5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6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6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59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6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6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6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6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6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6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6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6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6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6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6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6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6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6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6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6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6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6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6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6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6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5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6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59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6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6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6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5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59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6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6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6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6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6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5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59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6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6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6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6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6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5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59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5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6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5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59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6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6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5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59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6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6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5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59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5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59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6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6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5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59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5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6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6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5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59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6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6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5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59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6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6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6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6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5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6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6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6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6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6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6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6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6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6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5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6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6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6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6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6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6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6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5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6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6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6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5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59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5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59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6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6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5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59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6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6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6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6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5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6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5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59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5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59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6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6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6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6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5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59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6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6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6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6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6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6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6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6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6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6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5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6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6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6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6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6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6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6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6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6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6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5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59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5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6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5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59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6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6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6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6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5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59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6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6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6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5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59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6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6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6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6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6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6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6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9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4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5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6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6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9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9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5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6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5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5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5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5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9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5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5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5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5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5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6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6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6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9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5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5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6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9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6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9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5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5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5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9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9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9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9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5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5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5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5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5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59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5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5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5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6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6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6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6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6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6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6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6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5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5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5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6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5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5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5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5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5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6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5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5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5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5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5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5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9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9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9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5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5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9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5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5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59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5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6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5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5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9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5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6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6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6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37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5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6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6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5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5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5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3"/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x14ac:dyDescent="0.25">
      <c r="A6939" s="95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5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5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0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19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1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19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3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19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3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2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6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95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6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95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5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thickBot="1" x14ac:dyDescent="0.3">
      <c r="A6952" s="95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3"/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x14ac:dyDescent="0.25">
      <c r="A6958" s="95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x14ac:dyDescent="0.25">
      <c r="A6959" s="96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944"/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thickBot="1" x14ac:dyDescent="0.3">
      <c r="A6960" s="95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87"/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x14ac:dyDescent="0.25">
      <c r="A6961" s="95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63"/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thickBot="1" x14ac:dyDescent="0.3">
      <c r="A6962" s="95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48"/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x14ac:dyDescent="0.25">
      <c r="A6963" s="95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x14ac:dyDescent="0.25">
      <c r="A6964" s="96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1"/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x14ac:dyDescent="0.25">
      <c r="A6965" s="96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x14ac:dyDescent="0.25">
      <c r="A6966" s="96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1"/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thickBot="1" x14ac:dyDescent="0.3">
      <c r="A6967" s="95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x14ac:dyDescent="0.25">
      <c r="A6968" s="95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63"/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thickBot="1" x14ac:dyDescent="0.3">
      <c r="A6969" s="95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48"/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x14ac:dyDescent="0.25">
      <c r="A6970" s="95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79"/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x14ac:dyDescent="0.25">
      <c r="A6971" s="96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3"/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x14ac:dyDescent="0.25">
      <c r="A6972" s="96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3"/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x14ac:dyDescent="0.25">
      <c r="A6973" s="960"/>
      <c r="B6973" s="945" t="s">
        <v>2034</v>
      </c>
      <c r="C6973" s="946" t="s">
        <v>15</v>
      </c>
      <c r="D6973" s="947">
        <v>1.26</v>
      </c>
      <c r="E6973" s="947">
        <v>1.3</v>
      </c>
      <c r="F6973" s="948" t="s">
        <v>16</v>
      </c>
      <c r="G6973" s="949" t="s">
        <v>76</v>
      </c>
      <c r="H6973" s="948" t="s">
        <v>2034</v>
      </c>
      <c r="I6973" s="948" t="s">
        <v>2049</v>
      </c>
      <c r="J6973" s="950"/>
      <c r="K6973" s="945"/>
      <c r="L6973" s="948" t="s">
        <v>28</v>
      </c>
      <c r="M6973" s="948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thickBot="1" x14ac:dyDescent="0.3">
      <c r="A6974" s="95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9"/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x14ac:dyDescent="0.25">
      <c r="A6975" s="96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1"/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x14ac:dyDescent="0.25">
      <c r="A6976" s="96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3"/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7" x14ac:dyDescent="0.25">
      <c r="A6977" s="96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3"/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7" ht="19.5" thickBot="1" x14ac:dyDescent="0.3">
      <c r="A6978" s="96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6"/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7" ht="19.5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4"/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7" ht="19.5" thickBot="1" x14ac:dyDescent="0.3">
      <c r="A6980" s="503">
        <f>MAX(A6886:A6979)+1</f>
        <v>4331</v>
      </c>
      <c r="B6980" s="504" t="s">
        <v>2006</v>
      </c>
      <c r="C6980" s="505" t="s">
        <v>32</v>
      </c>
      <c r="D6980" s="506">
        <v>17.5</v>
      </c>
      <c r="E6980" s="507"/>
      <c r="F6980" s="508" t="s">
        <v>16</v>
      </c>
      <c r="G6980" s="509"/>
      <c r="H6980" s="508" t="s">
        <v>2034</v>
      </c>
      <c r="I6980" s="510"/>
      <c r="J6980" s="511"/>
      <c r="K6980" s="504"/>
      <c r="L6980" s="508" t="s">
        <v>266</v>
      </c>
      <c r="M6980" s="508">
        <v>17503.2</v>
      </c>
      <c r="N6980" s="512">
        <v>0.5</v>
      </c>
      <c r="O6980" s="897" t="s">
        <v>2052</v>
      </c>
    </row>
    <row r="6981" spans="1:17" x14ac:dyDescent="0.25">
      <c r="A6981" s="95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79"/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7" x14ac:dyDescent="0.25">
      <c r="A6982" s="96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3"/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7" x14ac:dyDescent="0.25">
      <c r="A6983" s="960"/>
      <c r="B6983" s="945" t="s">
        <v>2049</v>
      </c>
      <c r="C6983" s="946" t="s">
        <v>26</v>
      </c>
      <c r="D6983" s="947">
        <v>1.85</v>
      </c>
      <c r="E6983" s="947">
        <v>1.869</v>
      </c>
      <c r="F6983" s="948" t="s">
        <v>16</v>
      </c>
      <c r="G6983" s="949" t="s">
        <v>76</v>
      </c>
      <c r="H6983" s="948" t="s">
        <v>2049</v>
      </c>
      <c r="I6983" s="948" t="s">
        <v>2049</v>
      </c>
      <c r="J6983" s="950"/>
      <c r="K6983" s="945"/>
      <c r="L6983" s="948" t="s">
        <v>265</v>
      </c>
      <c r="M6983" s="948">
        <v>1860</v>
      </c>
      <c r="N6983" s="530">
        <v>0.375</v>
      </c>
      <c r="O6983" s="897" t="s">
        <v>2088</v>
      </c>
      <c r="P6983" s="867" t="s">
        <v>2098</v>
      </c>
    </row>
    <row r="6984" spans="1:17" ht="19.5" thickBot="1" x14ac:dyDescent="0.3">
      <c r="A6984" s="95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9"/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7" x14ac:dyDescent="0.25">
      <c r="A6985" s="95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63"/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7" ht="19.5" thickBot="1" x14ac:dyDescent="0.3">
      <c r="A6986" s="95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48"/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7" x14ac:dyDescent="0.25">
      <c r="A6987" s="95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/>
      <c r="F6987" s="483" t="s">
        <v>30</v>
      </c>
      <c r="G6987" s="549"/>
      <c r="H6987" s="483" t="s">
        <v>2049</v>
      </c>
      <c r="I6987" s="484"/>
      <c r="J6987" s="485"/>
      <c r="K6987" s="479"/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</row>
    <row r="6988" spans="1:17" ht="19.5" thickBot="1" x14ac:dyDescent="0.3">
      <c r="A6988" s="954"/>
      <c r="B6988" s="645" t="s">
        <v>2031</v>
      </c>
      <c r="C6988" s="646" t="s">
        <v>764</v>
      </c>
      <c r="D6988" s="647">
        <v>6.9630000000000001</v>
      </c>
      <c r="E6988" s="648"/>
      <c r="F6988" s="649" t="s">
        <v>30</v>
      </c>
      <c r="G6988" s="650"/>
      <c r="H6988" s="649" t="s">
        <v>2049</v>
      </c>
      <c r="I6988" s="651"/>
      <c r="J6988" s="652"/>
      <c r="K6988" s="645"/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</row>
    <row r="6989" spans="1:17" x14ac:dyDescent="0.25">
      <c r="A6989" s="96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/>
      <c r="F6989" s="535" t="s">
        <v>16</v>
      </c>
      <c r="G6989" s="536" t="s">
        <v>844</v>
      </c>
      <c r="H6989" s="535" t="s">
        <v>2049</v>
      </c>
      <c r="I6989" s="537"/>
      <c r="J6989" s="538"/>
      <c r="K6989" s="531"/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</row>
    <row r="6990" spans="1:17" x14ac:dyDescent="0.25">
      <c r="A6990" s="962"/>
      <c r="B6990" s="563" t="s">
        <v>2031</v>
      </c>
      <c r="C6990" s="564" t="s">
        <v>840</v>
      </c>
      <c r="D6990" s="565">
        <v>5</v>
      </c>
      <c r="E6990" s="566"/>
      <c r="F6990" s="567" t="s">
        <v>16</v>
      </c>
      <c r="G6990" s="568" t="s">
        <v>845</v>
      </c>
      <c r="H6990" s="567" t="s">
        <v>2049</v>
      </c>
      <c r="I6990" s="569"/>
      <c r="J6990" s="570"/>
      <c r="K6990" s="563"/>
      <c r="L6990" s="567" t="s">
        <v>266</v>
      </c>
      <c r="M6990" s="567">
        <v>5004</v>
      </c>
      <c r="N6990" s="571">
        <v>0.45833333333333331</v>
      </c>
      <c r="O6990" s="897" t="s">
        <v>2066</v>
      </c>
    </row>
    <row r="6991" spans="1:17" ht="19.5" thickBot="1" x14ac:dyDescent="0.3">
      <c r="A6991" s="963"/>
      <c r="B6991" s="636" t="s">
        <v>2031</v>
      </c>
      <c r="C6991" s="637" t="s">
        <v>480</v>
      </c>
      <c r="D6991" s="638">
        <v>8.84</v>
      </c>
      <c r="E6991" s="639"/>
      <c r="F6991" s="640" t="s">
        <v>16</v>
      </c>
      <c r="G6991" s="641"/>
      <c r="H6991" s="640" t="s">
        <v>2049</v>
      </c>
      <c r="I6991" s="642"/>
      <c r="J6991" s="643"/>
      <c r="K6991" s="636"/>
      <c r="L6991" s="640" t="s">
        <v>266</v>
      </c>
      <c r="M6991" s="640">
        <v>8964.15</v>
      </c>
      <c r="N6991" s="644">
        <v>0.45833333333333331</v>
      </c>
      <c r="O6991" s="897" t="s">
        <v>2064</v>
      </c>
    </row>
    <row r="6992" spans="1:17" x14ac:dyDescent="0.25">
      <c r="A6992" s="95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/>
      <c r="F6992" s="483" t="s">
        <v>16</v>
      </c>
      <c r="G6992" s="549"/>
      <c r="H6992" s="483" t="s">
        <v>2067</v>
      </c>
      <c r="I6992" s="484"/>
      <c r="J6992" s="485"/>
      <c r="K6992" s="479"/>
      <c r="L6992" s="483" t="s">
        <v>265</v>
      </c>
      <c r="M6992" s="483">
        <v>11215.979999999998</v>
      </c>
      <c r="N6992" s="486">
        <v>0.375</v>
      </c>
      <c r="O6992" s="897" t="s">
        <v>2070</v>
      </c>
      <c r="Q6992" s="847">
        <v>8734</v>
      </c>
    </row>
    <row r="6993" spans="1:18" x14ac:dyDescent="0.25">
      <c r="A6993" s="960"/>
      <c r="B6993" s="523" t="s">
        <v>2031</v>
      </c>
      <c r="C6993" s="524" t="s">
        <v>1358</v>
      </c>
      <c r="D6993" s="525">
        <v>4.5359999999999996</v>
      </c>
      <c r="E6993" s="526"/>
      <c r="F6993" s="527" t="s">
        <v>16</v>
      </c>
      <c r="G6993" s="561" t="s">
        <v>844</v>
      </c>
      <c r="H6993" s="527" t="s">
        <v>2067</v>
      </c>
      <c r="I6993" s="528"/>
      <c r="J6993" s="529"/>
      <c r="K6993" s="523"/>
      <c r="L6993" s="527" t="s">
        <v>265</v>
      </c>
      <c r="M6993" s="527">
        <v>4649.4599999999991</v>
      </c>
      <c r="N6993" s="530">
        <v>0.375</v>
      </c>
      <c r="O6993" s="897" t="s">
        <v>2071</v>
      </c>
      <c r="Q6993" s="847">
        <v>3826</v>
      </c>
    </row>
    <row r="6994" spans="1:18" x14ac:dyDescent="0.25">
      <c r="A6994" s="960"/>
      <c r="B6994" s="523" t="s">
        <v>2031</v>
      </c>
      <c r="C6994" s="524" t="s">
        <v>1358</v>
      </c>
      <c r="D6994" s="525">
        <v>1.764</v>
      </c>
      <c r="E6994" s="526"/>
      <c r="F6994" s="527" t="s">
        <v>16</v>
      </c>
      <c r="G6994" s="561" t="s">
        <v>845</v>
      </c>
      <c r="H6994" s="527" t="s">
        <v>2067</v>
      </c>
      <c r="I6994" s="528"/>
      <c r="J6994" s="529"/>
      <c r="K6994" s="523"/>
      <c r="L6994" s="527" t="s">
        <v>265</v>
      </c>
      <c r="M6994" s="527">
        <v>1850.04</v>
      </c>
      <c r="N6994" s="530">
        <v>0.375</v>
      </c>
      <c r="O6994" s="897" t="s">
        <v>2072</v>
      </c>
      <c r="Q6994" s="847">
        <v>1383</v>
      </c>
    </row>
    <row r="6995" spans="1:18" ht="19.5" thickBot="1" x14ac:dyDescent="0.3">
      <c r="A6995" s="954"/>
      <c r="B6995" s="859" t="s">
        <v>2049</v>
      </c>
      <c r="C6995" s="854" t="s">
        <v>26</v>
      </c>
      <c r="D6995" s="855">
        <v>3.75</v>
      </c>
      <c r="E6995" s="855"/>
      <c r="F6995" s="856" t="s">
        <v>16</v>
      </c>
      <c r="G6995" s="857" t="s">
        <v>76</v>
      </c>
      <c r="H6995" s="856" t="s">
        <v>2067</v>
      </c>
      <c r="I6995" s="856"/>
      <c r="J6995" s="858"/>
      <c r="K6995" s="859"/>
      <c r="L6995" s="856" t="s">
        <v>265</v>
      </c>
      <c r="M6995" s="856">
        <v>3750</v>
      </c>
      <c r="N6995" s="653">
        <v>0.375</v>
      </c>
      <c r="O6995" s="897" t="s">
        <v>2128</v>
      </c>
      <c r="Q6995" s="847">
        <v>3783</v>
      </c>
    </row>
    <row r="6996" spans="1:18" x14ac:dyDescent="0.25">
      <c r="A6996" s="95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/>
      <c r="F6996" s="535" t="s">
        <v>16</v>
      </c>
      <c r="G6996" s="898"/>
      <c r="H6996" s="535" t="s">
        <v>2067</v>
      </c>
      <c r="I6996" s="537"/>
      <c r="J6996" s="538"/>
      <c r="K6996" s="563"/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</row>
    <row r="6997" spans="1:18" x14ac:dyDescent="0.25">
      <c r="A6997" s="956"/>
      <c r="B6997" s="852" t="s">
        <v>2067</v>
      </c>
      <c r="C6997" s="837" t="s">
        <v>26</v>
      </c>
      <c r="D6997" s="838">
        <v>1.9</v>
      </c>
      <c r="E6997" s="838"/>
      <c r="F6997" s="839" t="s">
        <v>16</v>
      </c>
      <c r="G6997" s="951" t="s">
        <v>76</v>
      </c>
      <c r="H6997" s="839" t="s">
        <v>2067</v>
      </c>
      <c r="I6997" s="839"/>
      <c r="J6997" s="840"/>
      <c r="K6997" s="836"/>
      <c r="L6997" s="839" t="s">
        <v>265</v>
      </c>
      <c r="M6997" s="839">
        <v>1905</v>
      </c>
      <c r="N6997" s="598">
        <v>0.41666666666666669</v>
      </c>
      <c r="O6997" s="897" t="s">
        <v>2115</v>
      </c>
    </row>
    <row r="6998" spans="1:18" ht="19.5" thickBot="1" x14ac:dyDescent="0.3">
      <c r="A6998" s="957"/>
      <c r="B6998" s="798" t="s">
        <v>2049</v>
      </c>
      <c r="C6998" s="799" t="s">
        <v>26</v>
      </c>
      <c r="D6998" s="800">
        <v>1.85</v>
      </c>
      <c r="E6998" s="800"/>
      <c r="F6998" s="801" t="s">
        <v>16</v>
      </c>
      <c r="G6998" s="942" t="s">
        <v>76</v>
      </c>
      <c r="H6998" s="801" t="s">
        <v>2067</v>
      </c>
      <c r="I6998" s="801"/>
      <c r="J6998" s="803"/>
      <c r="K6998" s="848"/>
      <c r="L6998" s="801" t="s">
        <v>265</v>
      </c>
      <c r="M6998" s="801">
        <v>1860</v>
      </c>
      <c r="N6998" s="804">
        <v>0.41666666666666669</v>
      </c>
      <c r="O6998" s="897" t="s">
        <v>2114</v>
      </c>
    </row>
    <row r="6999" spans="1:18" ht="18.75" customHeight="1" x14ac:dyDescent="0.25">
      <c r="A6999" s="966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/>
      <c r="F6999" s="483" t="s">
        <v>16</v>
      </c>
      <c r="G6999" s="958" t="s">
        <v>1633</v>
      </c>
      <c r="H6999" s="483" t="s">
        <v>2067</v>
      </c>
      <c r="I6999" s="484"/>
      <c r="J6999" s="485"/>
      <c r="K6999" s="479"/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Q6999" s="847">
        <v>-1965</v>
      </c>
      <c r="R6999" s="943">
        <f>Q6999+Q7000</f>
        <v>-3829</v>
      </c>
    </row>
    <row r="7000" spans="1:18" x14ac:dyDescent="0.25">
      <c r="A7000" s="1019"/>
      <c r="B7000" s="769" t="s">
        <v>2031</v>
      </c>
      <c r="C7000" s="764" t="s">
        <v>24</v>
      </c>
      <c r="D7000" s="765">
        <v>8.3030000000000008</v>
      </c>
      <c r="E7000" s="766"/>
      <c r="F7000" s="763" t="s">
        <v>16</v>
      </c>
      <c r="G7000" s="973"/>
      <c r="H7000" s="763" t="s">
        <v>2067</v>
      </c>
      <c r="I7000" s="768"/>
      <c r="J7000" s="779"/>
      <c r="K7000" s="791"/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Q7000" s="847">
        <v>-1864</v>
      </c>
    </row>
    <row r="7001" spans="1:18" ht="18.75" customHeight="1" x14ac:dyDescent="0.25">
      <c r="A7001" s="1019"/>
      <c r="B7001" s="864" t="s">
        <v>2067</v>
      </c>
      <c r="C7001" s="861" t="s">
        <v>15</v>
      </c>
      <c r="D7001" s="862">
        <v>1.7</v>
      </c>
      <c r="E7001" s="862"/>
      <c r="F7001" s="860" t="s">
        <v>16</v>
      </c>
      <c r="G7001" s="973"/>
      <c r="H7001" s="860" t="s">
        <v>2067</v>
      </c>
      <c r="I7001" s="860"/>
      <c r="J7001" s="865"/>
      <c r="K7001" s="952"/>
      <c r="L7001" s="860" t="s">
        <v>28</v>
      </c>
      <c r="M7001" s="860">
        <v>1718.64</v>
      </c>
      <c r="N7001" s="770">
        <v>0.45833333333333331</v>
      </c>
      <c r="O7001" s="897" t="s">
        <v>2120</v>
      </c>
    </row>
    <row r="7002" spans="1:18" ht="19.5" thickBot="1" x14ac:dyDescent="0.3">
      <c r="A7002" s="967"/>
      <c r="B7002" s="805" t="s">
        <v>2067</v>
      </c>
      <c r="C7002" s="806" t="s">
        <v>24</v>
      </c>
      <c r="D7002" s="807">
        <v>2.1</v>
      </c>
      <c r="E7002" s="807"/>
      <c r="F7002" s="808" t="s">
        <v>16</v>
      </c>
      <c r="G7002" s="959"/>
      <c r="H7002" s="808" t="s">
        <v>2067</v>
      </c>
      <c r="I7002" s="808"/>
      <c r="J7002" s="810"/>
      <c r="K7002" s="887"/>
      <c r="L7002" s="808" t="s">
        <v>28</v>
      </c>
      <c r="M7002" s="808">
        <v>2115</v>
      </c>
      <c r="N7002" s="778">
        <v>0.45833333333333331</v>
      </c>
      <c r="O7002" s="897" t="s">
        <v>2125</v>
      </c>
    </row>
    <row r="7003" spans="1:18" x14ac:dyDescent="0.25">
      <c r="A7003" s="955">
        <f>MAX(A6901:A7002)+1</f>
        <v>4339</v>
      </c>
      <c r="B7003" s="759" t="s">
        <v>2031</v>
      </c>
      <c r="C7003" s="532" t="s">
        <v>47</v>
      </c>
      <c r="D7003" s="533">
        <v>17.602</v>
      </c>
      <c r="E7003" s="534"/>
      <c r="F7003" s="535" t="s">
        <v>16</v>
      </c>
      <c r="G7003" s="898"/>
      <c r="H7003" s="535" t="s">
        <v>2067</v>
      </c>
      <c r="I7003" s="537"/>
      <c r="J7003" s="538"/>
      <c r="K7003" s="563"/>
      <c r="L7003" s="567" t="s">
        <v>28</v>
      </c>
      <c r="M7003" s="567">
        <v>17819.179999999997</v>
      </c>
      <c r="N7003" s="571">
        <v>0.5</v>
      </c>
      <c r="O7003" s="897" t="s">
        <v>2075</v>
      </c>
      <c r="Q7003" s="847">
        <v>-3205</v>
      </c>
    </row>
    <row r="7004" spans="1:18" ht="19.5" thickBot="1" x14ac:dyDescent="0.3">
      <c r="A7004" s="957"/>
      <c r="B7004" s="798" t="s">
        <v>2067</v>
      </c>
      <c r="C7004" s="799" t="s">
        <v>47</v>
      </c>
      <c r="D7004" s="800">
        <v>3.2</v>
      </c>
      <c r="E7004" s="800"/>
      <c r="F7004" s="801" t="s">
        <v>16</v>
      </c>
      <c r="G7004" s="942" t="s">
        <v>76</v>
      </c>
      <c r="H7004" s="801" t="s">
        <v>2067</v>
      </c>
      <c r="I7004" s="801"/>
      <c r="J7004" s="803"/>
      <c r="K7004" s="848"/>
      <c r="L7004" s="801" t="s">
        <v>28</v>
      </c>
      <c r="M7004" s="801">
        <v>3215.04</v>
      </c>
      <c r="N7004" s="804">
        <v>0.5</v>
      </c>
      <c r="O7004" s="897" t="s">
        <v>2123</v>
      </c>
    </row>
    <row r="7005" spans="1:18" x14ac:dyDescent="0.25">
      <c r="A7005" s="953">
        <f>MAX(A6902:A7004)+1</f>
        <v>4340</v>
      </c>
      <c r="B7005" s="610" t="s">
        <v>2031</v>
      </c>
      <c r="C7005" s="480" t="s">
        <v>23</v>
      </c>
      <c r="D7005" s="481">
        <v>17.59</v>
      </c>
      <c r="E7005" s="482"/>
      <c r="F7005" s="483" t="s">
        <v>16</v>
      </c>
      <c r="G7005" s="899"/>
      <c r="H7005" s="483" t="s">
        <v>2067</v>
      </c>
      <c r="I7005" s="484"/>
      <c r="J7005" s="485"/>
      <c r="K7005" s="479"/>
      <c r="L7005" s="483" t="s">
        <v>28</v>
      </c>
      <c r="M7005" s="483">
        <v>17754.54</v>
      </c>
      <c r="N7005" s="486">
        <v>0.54166666666666663</v>
      </c>
      <c r="O7005" s="897" t="s">
        <v>2076</v>
      </c>
      <c r="Q7005" s="847">
        <v>-1258</v>
      </c>
    </row>
    <row r="7006" spans="1:18" ht="19.5" thickBot="1" x14ac:dyDescent="0.3">
      <c r="A7006" s="954"/>
      <c r="B7006" s="805" t="s">
        <v>2067</v>
      </c>
      <c r="C7006" s="806" t="s">
        <v>23</v>
      </c>
      <c r="D7006" s="807">
        <v>1.25</v>
      </c>
      <c r="E7006" s="807"/>
      <c r="F7006" s="808" t="s">
        <v>16</v>
      </c>
      <c r="G7006" s="902"/>
      <c r="H7006" s="808" t="s">
        <v>2067</v>
      </c>
      <c r="I7006" s="808"/>
      <c r="J7006" s="810"/>
      <c r="K7006" s="887"/>
      <c r="L7006" s="808" t="s">
        <v>28</v>
      </c>
      <c r="M7006" s="808">
        <v>1264.08</v>
      </c>
      <c r="N7006" s="778">
        <v>0.54166666666666663</v>
      </c>
      <c r="O7006" s="897" t="s">
        <v>2124</v>
      </c>
    </row>
    <row r="7007" spans="1:18" ht="19.5" thickBot="1" x14ac:dyDescent="0.3">
      <c r="A7007" s="503">
        <f>MAX(A6903:A7005)+1</f>
        <v>4341</v>
      </c>
      <c r="B7007" s="504" t="s">
        <v>2031</v>
      </c>
      <c r="C7007" s="505" t="s">
        <v>26</v>
      </c>
      <c r="D7007" s="506">
        <v>14.385999999999999</v>
      </c>
      <c r="E7007" s="507">
        <v>14.385999999999999</v>
      </c>
      <c r="F7007" s="508" t="s">
        <v>30</v>
      </c>
      <c r="G7007" s="509"/>
      <c r="H7007" s="508" t="s">
        <v>2067</v>
      </c>
      <c r="I7007" s="510" t="s">
        <v>2067</v>
      </c>
      <c r="J7007" s="511"/>
      <c r="K7007" s="504"/>
      <c r="L7007" s="508" t="s">
        <v>265</v>
      </c>
      <c r="M7007" s="508">
        <v>14386.36</v>
      </c>
      <c r="N7007" s="512">
        <v>0.375</v>
      </c>
      <c r="O7007" s="897" t="s">
        <v>2069</v>
      </c>
      <c r="P7007" s="867" t="s">
        <v>2127</v>
      </c>
    </row>
    <row r="7008" spans="1:18" ht="19.5" thickBot="1" x14ac:dyDescent="0.3">
      <c r="A7008" s="513">
        <f>MAX(A6904:A7007)+1</f>
        <v>4342</v>
      </c>
      <c r="B7008" s="514" t="s">
        <v>2031</v>
      </c>
      <c r="C7008" s="515" t="s">
        <v>587</v>
      </c>
      <c r="D7008" s="516">
        <v>10.834</v>
      </c>
      <c r="E7008" s="517"/>
      <c r="F7008" s="518" t="s">
        <v>30</v>
      </c>
      <c r="G7008" s="519" t="s">
        <v>23</v>
      </c>
      <c r="H7008" s="518" t="s">
        <v>2067</v>
      </c>
      <c r="I7008" s="520"/>
      <c r="J7008" s="521"/>
      <c r="K7008" s="514"/>
      <c r="L7008" s="518" t="s">
        <v>28</v>
      </c>
      <c r="M7008" s="518">
        <v>10834.2</v>
      </c>
      <c r="N7008" s="522">
        <v>0.41666666666666669</v>
      </c>
      <c r="O7008" s="897" t="s">
        <v>2113</v>
      </c>
    </row>
    <row r="7009" spans="1:15" ht="19.5" thickBot="1" x14ac:dyDescent="0.3">
      <c r="A7009" s="503">
        <f>MAX(A6902:A7008)+1</f>
        <v>4343</v>
      </c>
      <c r="B7009" s="504" t="s">
        <v>2034</v>
      </c>
      <c r="C7009" s="505" t="s">
        <v>1382</v>
      </c>
      <c r="D7009" s="506">
        <v>17.96</v>
      </c>
      <c r="E7009" s="507"/>
      <c r="F7009" s="508" t="s">
        <v>16</v>
      </c>
      <c r="G7009" s="509"/>
      <c r="H7009" s="508" t="s">
        <v>2067</v>
      </c>
      <c r="I7009" s="510"/>
      <c r="J7009" s="511"/>
      <c r="K7009" s="504"/>
      <c r="L7009" s="508" t="s">
        <v>266</v>
      </c>
      <c r="M7009" s="508">
        <v>18116.34</v>
      </c>
      <c r="N7009" s="512">
        <v>0.58333333333333337</v>
      </c>
      <c r="O7009" s="897" t="s">
        <v>2084</v>
      </c>
    </row>
    <row r="7010" spans="1:15" x14ac:dyDescent="0.25">
      <c r="A7010" s="953">
        <f>MAX(A6903:A7009)+1</f>
        <v>4344</v>
      </c>
      <c r="B7010" s="610" t="s">
        <v>2031</v>
      </c>
      <c r="C7010" s="480" t="s">
        <v>26</v>
      </c>
      <c r="D7010" s="481">
        <v>17.321999999999999</v>
      </c>
      <c r="E7010" s="482"/>
      <c r="F7010" s="483" t="s">
        <v>16</v>
      </c>
      <c r="G7010" s="899"/>
      <c r="H7010" s="483" t="s">
        <v>2068</v>
      </c>
      <c r="I7010" s="484"/>
      <c r="J7010" s="485"/>
      <c r="K7010" s="479"/>
      <c r="L7010" s="483" t="s">
        <v>265</v>
      </c>
      <c r="M7010" s="483">
        <v>17508.819999999992</v>
      </c>
      <c r="N7010" s="486">
        <v>0.375</v>
      </c>
      <c r="O7010" s="897" t="s">
        <v>2077</v>
      </c>
    </row>
    <row r="7011" spans="1:15" x14ac:dyDescent="0.25">
      <c r="A7011" s="960"/>
      <c r="B7011" s="792" t="s">
        <v>2067</v>
      </c>
      <c r="C7011" s="793" t="s">
        <v>26</v>
      </c>
      <c r="D7011" s="794">
        <v>1.7</v>
      </c>
      <c r="E7011" s="794"/>
      <c r="F7011" s="795" t="s">
        <v>16</v>
      </c>
      <c r="G7011" s="903" t="s">
        <v>76</v>
      </c>
      <c r="H7011" s="795" t="s">
        <v>2068</v>
      </c>
      <c r="I7011" s="795"/>
      <c r="J7011" s="797"/>
      <c r="K7011" s="944"/>
      <c r="L7011" s="795" t="s">
        <v>265</v>
      </c>
      <c r="M7011" s="795">
        <v>1712.6</v>
      </c>
      <c r="N7011" s="502">
        <v>0.375</v>
      </c>
    </row>
    <row r="7012" spans="1:15" ht="19.5" thickBot="1" x14ac:dyDescent="0.3">
      <c r="A7012" s="954"/>
      <c r="B7012" s="805" t="s">
        <v>2067</v>
      </c>
      <c r="C7012" s="806" t="s">
        <v>26</v>
      </c>
      <c r="D7012" s="807">
        <v>3.7</v>
      </c>
      <c r="E7012" s="807"/>
      <c r="F7012" s="808" t="s">
        <v>16</v>
      </c>
      <c r="G7012" s="902" t="s">
        <v>76</v>
      </c>
      <c r="H7012" s="808" t="s">
        <v>2068</v>
      </c>
      <c r="I7012" s="808"/>
      <c r="J7012" s="810"/>
      <c r="K7012" s="887"/>
      <c r="L7012" s="808" t="s">
        <v>265</v>
      </c>
      <c r="M7012" s="808">
        <v>3705</v>
      </c>
      <c r="N7012" s="778">
        <v>0.375</v>
      </c>
      <c r="O7012" s="897" t="s">
        <v>2129</v>
      </c>
    </row>
    <row r="7013" spans="1:15" ht="38.25" thickBot="1" x14ac:dyDescent="0.3">
      <c r="A7013" s="551">
        <f>MAX(A6904:A7012)+1</f>
        <v>4345</v>
      </c>
      <c r="B7013" s="552" t="s">
        <v>2031</v>
      </c>
      <c r="C7013" s="553" t="s">
        <v>23</v>
      </c>
      <c r="D7013" s="554">
        <v>17.219000000000001</v>
      </c>
      <c r="E7013" s="555"/>
      <c r="F7013" s="556" t="s">
        <v>16</v>
      </c>
      <c r="G7013" s="557" t="s">
        <v>1634</v>
      </c>
      <c r="H7013" s="556" t="s">
        <v>2068</v>
      </c>
      <c r="I7013" s="558"/>
      <c r="J7013" s="559"/>
      <c r="K7013" s="552"/>
      <c r="L7013" s="556" t="s">
        <v>28</v>
      </c>
      <c r="M7013" s="556">
        <v>17310.52</v>
      </c>
      <c r="N7013" s="560">
        <v>0.41666666666666669</v>
      </c>
      <c r="O7013" s="897" t="s">
        <v>2078</v>
      </c>
    </row>
    <row r="7014" spans="1:15" ht="19.5" thickBot="1" x14ac:dyDescent="0.3">
      <c r="A7014" s="513">
        <f>MAX(A6905:A7013)+1</f>
        <v>4346</v>
      </c>
      <c r="B7014" s="573" t="s">
        <v>2067</v>
      </c>
      <c r="C7014" s="574" t="s">
        <v>26</v>
      </c>
      <c r="D7014" s="575">
        <v>17.736000000000001</v>
      </c>
      <c r="E7014" s="576"/>
      <c r="F7014" s="577" t="s">
        <v>30</v>
      </c>
      <c r="G7014" s="578"/>
      <c r="H7014" s="577" t="s">
        <v>2116</v>
      </c>
      <c r="I7014" s="579"/>
      <c r="J7014" s="580"/>
      <c r="K7014" s="573"/>
      <c r="L7014" s="577" t="s">
        <v>265</v>
      </c>
      <c r="M7014" s="577">
        <v>14736.039999999999</v>
      </c>
      <c r="N7014" s="581">
        <v>0.375</v>
      </c>
      <c r="O7014" s="897" t="s">
        <v>2117</v>
      </c>
    </row>
    <row r="7015" spans="1:15" x14ac:dyDescent="0.25">
      <c r="A7015" s="955">
        <f>MAX(A6906:A7014)+1</f>
        <v>4347</v>
      </c>
      <c r="B7015" s="759" t="s">
        <v>2067</v>
      </c>
      <c r="C7015" s="532" t="s">
        <v>320</v>
      </c>
      <c r="D7015" s="533">
        <v>1.159</v>
      </c>
      <c r="E7015" s="534"/>
      <c r="F7015" s="535" t="s">
        <v>30</v>
      </c>
      <c r="G7015" s="536"/>
      <c r="H7015" s="535" t="s">
        <v>2116</v>
      </c>
      <c r="I7015" s="537"/>
      <c r="J7015" s="538"/>
      <c r="K7015" s="531"/>
      <c r="L7015" s="535" t="s">
        <v>266</v>
      </c>
      <c r="M7015" s="535">
        <v>1159.2</v>
      </c>
      <c r="N7015" s="539">
        <v>0.41666666666666669</v>
      </c>
      <c r="O7015" s="897" t="s">
        <v>2122</v>
      </c>
    </row>
    <row r="7016" spans="1:15" x14ac:dyDescent="0.25">
      <c r="A7016" s="956"/>
      <c r="B7016" s="824" t="s">
        <v>2067</v>
      </c>
      <c r="C7016" s="820" t="s">
        <v>47</v>
      </c>
      <c r="D7016" s="821">
        <v>0.10199999999999999</v>
      </c>
      <c r="E7016" s="822"/>
      <c r="F7016" s="819" t="s">
        <v>30</v>
      </c>
      <c r="G7016" s="823"/>
      <c r="H7016" s="819" t="s">
        <v>2116</v>
      </c>
      <c r="I7016" s="782"/>
      <c r="J7016" s="825"/>
      <c r="K7016" s="849"/>
      <c r="L7016" s="819" t="s">
        <v>28</v>
      </c>
      <c r="M7016" s="819">
        <v>102.11999999999999</v>
      </c>
      <c r="N7016" s="811">
        <v>0.41666666666666669</v>
      </c>
    </row>
    <row r="7017" spans="1:15" ht="19.5" thickBot="1" x14ac:dyDescent="0.3">
      <c r="A7017" s="957"/>
      <c r="B7017" s="1034" t="s">
        <v>2067</v>
      </c>
      <c r="C7017" s="870" t="s">
        <v>47</v>
      </c>
      <c r="D7017" s="871">
        <v>11.289</v>
      </c>
      <c r="E7017" s="872"/>
      <c r="F7017" s="873" t="s">
        <v>30</v>
      </c>
      <c r="G7017" s="874"/>
      <c r="H7017" s="873" t="s">
        <v>2116</v>
      </c>
      <c r="I7017" s="875"/>
      <c r="J7017" s="876"/>
      <c r="K7017" s="869"/>
      <c r="L7017" s="873" t="s">
        <v>28</v>
      </c>
      <c r="M7017" s="873">
        <v>11289.920000000002</v>
      </c>
      <c r="N7017" s="784">
        <v>0.41666666666666669</v>
      </c>
      <c r="O7017" s="897" t="s">
        <v>2121</v>
      </c>
    </row>
    <row r="7018" spans="1:15" ht="19.5" thickBot="1" x14ac:dyDescent="0.3">
      <c r="A7018" s="513">
        <f>MAX(A6908:A7017)+1</f>
        <v>4348</v>
      </c>
      <c r="B7018" s="645" t="s">
        <v>2067</v>
      </c>
      <c r="C7018" s="646" t="s">
        <v>32</v>
      </c>
      <c r="D7018" s="647">
        <v>17.5</v>
      </c>
      <c r="E7018" s="648"/>
      <c r="F7018" s="649" t="s">
        <v>16</v>
      </c>
      <c r="G7018" s="650"/>
      <c r="H7018" s="649" t="s">
        <v>2116</v>
      </c>
      <c r="I7018" s="651"/>
      <c r="J7018" s="652"/>
      <c r="K7018" s="645"/>
      <c r="L7018" s="649" t="s">
        <v>266</v>
      </c>
      <c r="M7018" s="649">
        <v>17503.2</v>
      </c>
      <c r="N7018" s="653">
        <v>0.41666666666666669</v>
      </c>
      <c r="O7018" s="897" t="s">
        <v>2126</v>
      </c>
    </row>
    <row r="7019" spans="1:15" x14ac:dyDescent="0.25">
      <c r="A7019" s="676">
        <f>MAX(A6909:A7018)+1</f>
        <v>4349</v>
      </c>
      <c r="B7019" s="676"/>
      <c r="C7019" s="473"/>
      <c r="D7019" s="474"/>
      <c r="E7019" s="475"/>
      <c r="F7019" s="676"/>
      <c r="G7019" s="476"/>
      <c r="H7019" s="676"/>
      <c r="I7019" s="477"/>
      <c r="J7019" s="478"/>
      <c r="K7019" s="676"/>
      <c r="L7019" s="676"/>
      <c r="M7019" s="676"/>
      <c r="N7019" s="676"/>
    </row>
    <row r="7020" spans="1:15" x14ac:dyDescent="0.25">
      <c r="A7020" s="676">
        <f>MAX(A6910:A7019)+1</f>
        <v>4350</v>
      </c>
      <c r="B7020" s="676"/>
      <c r="C7020" s="473"/>
      <c r="D7020" s="474"/>
      <c r="E7020" s="475"/>
      <c r="F7020" s="676"/>
      <c r="G7020" s="476"/>
      <c r="H7020" s="676"/>
      <c r="I7020" s="477"/>
      <c r="J7020" s="478"/>
      <c r="K7020" s="676"/>
      <c r="L7020" s="676"/>
      <c r="M7020" s="676"/>
      <c r="N7020" s="676"/>
    </row>
    <row r="7021" spans="1:15" x14ac:dyDescent="0.25">
      <c r="A7021" s="676">
        <f>MAX(A6911:A7020)+1</f>
        <v>4351</v>
      </c>
      <c r="B7021" s="676"/>
      <c r="C7021" s="473"/>
      <c r="D7021" s="474"/>
      <c r="E7021" s="475"/>
      <c r="F7021" s="676"/>
      <c r="G7021" s="476"/>
      <c r="H7021" s="676"/>
      <c r="I7021" s="477"/>
      <c r="J7021" s="478"/>
      <c r="K7021" s="676"/>
      <c r="L7021" s="676"/>
      <c r="M7021" s="676"/>
      <c r="N7021" s="676"/>
    </row>
    <row r="7022" spans="1:15" x14ac:dyDescent="0.25">
      <c r="A7022" s="676">
        <f>MAX(A6912:A7021)+1</f>
        <v>4352</v>
      </c>
      <c r="B7022" s="676"/>
      <c r="C7022" s="473"/>
      <c r="D7022" s="474"/>
      <c r="E7022" s="475"/>
      <c r="F7022" s="676"/>
      <c r="G7022" s="476"/>
      <c r="H7022" s="676"/>
      <c r="I7022" s="477"/>
      <c r="J7022" s="478"/>
      <c r="K7022" s="676"/>
      <c r="L7022" s="676"/>
      <c r="M7022" s="676"/>
      <c r="N7022" s="676"/>
    </row>
    <row r="7023" spans="1:15" x14ac:dyDescent="0.25">
      <c r="A7023" s="676">
        <f>MAX(A6913:A7022)+1</f>
        <v>4353</v>
      </c>
      <c r="B7023" s="676"/>
      <c r="C7023" s="473"/>
      <c r="D7023" s="474"/>
      <c r="E7023" s="475"/>
      <c r="F7023" s="676"/>
      <c r="G7023" s="476"/>
      <c r="H7023" s="676"/>
      <c r="I7023" s="477"/>
      <c r="J7023" s="478"/>
      <c r="K7023" s="676"/>
      <c r="L7023" s="676"/>
      <c r="M7023" s="676"/>
      <c r="N7023" s="676"/>
    </row>
    <row r="7024" spans="1:15" x14ac:dyDescent="0.25">
      <c r="A7024" s="676">
        <f>MAX(A6914:A7023)+1</f>
        <v>4354</v>
      </c>
      <c r="B7024" s="676"/>
      <c r="C7024" s="473"/>
      <c r="D7024" s="474"/>
      <c r="E7024" s="475"/>
      <c r="F7024" s="676"/>
      <c r="G7024" s="476"/>
      <c r="H7024" s="676"/>
      <c r="I7024" s="477"/>
      <c r="J7024" s="478"/>
      <c r="K7024" s="676"/>
      <c r="L7024" s="676"/>
      <c r="M7024" s="676"/>
      <c r="N7024" s="676"/>
    </row>
    <row r="7025" spans="1:14" x14ac:dyDescent="0.25">
      <c r="A7025" s="676">
        <f>MAX(A6915:A7024)+1</f>
        <v>4355</v>
      </c>
      <c r="B7025" s="676"/>
      <c r="C7025" s="473"/>
      <c r="D7025" s="474"/>
      <c r="E7025" s="475"/>
      <c r="F7025" s="676"/>
      <c r="G7025" s="476"/>
      <c r="H7025" s="676"/>
      <c r="I7025" s="477"/>
      <c r="J7025" s="478"/>
      <c r="K7025" s="676"/>
      <c r="L7025" s="676"/>
      <c r="M7025" s="676"/>
      <c r="N7025" s="676"/>
    </row>
    <row r="7026" spans="1:14" x14ac:dyDescent="0.25">
      <c r="A7026" s="676">
        <f>MAX(A6916:A7025)+1</f>
        <v>4356</v>
      </c>
      <c r="B7026" s="676"/>
      <c r="C7026" s="473"/>
      <c r="D7026" s="474"/>
      <c r="E7026" s="475"/>
      <c r="F7026" s="676"/>
      <c r="G7026" s="476"/>
      <c r="H7026" s="676"/>
      <c r="I7026" s="477"/>
      <c r="J7026" s="478"/>
      <c r="K7026" s="676"/>
      <c r="L7026" s="676"/>
      <c r="M7026" s="676"/>
      <c r="N7026" s="676"/>
    </row>
    <row r="7027" spans="1:14" x14ac:dyDescent="0.25">
      <c r="A7027" s="676">
        <f>MAX(A6917:A7026)+1</f>
        <v>4357</v>
      </c>
      <c r="B7027" s="676"/>
      <c r="C7027" s="473"/>
      <c r="D7027" s="474"/>
      <c r="E7027" s="475"/>
      <c r="F7027" s="676"/>
      <c r="G7027" s="476"/>
      <c r="H7027" s="676"/>
      <c r="I7027" s="477"/>
      <c r="J7027" s="478"/>
      <c r="K7027" s="676"/>
      <c r="L7027" s="676"/>
      <c r="M7027" s="676"/>
      <c r="N7027" s="676"/>
    </row>
    <row r="7028" spans="1:14" x14ac:dyDescent="0.25">
      <c r="A7028" s="676">
        <f>MAX(A6918:A7027)+1</f>
        <v>4358</v>
      </c>
      <c r="B7028" s="676"/>
      <c r="C7028" s="473"/>
      <c r="D7028" s="474"/>
      <c r="E7028" s="475"/>
      <c r="F7028" s="676"/>
      <c r="G7028" s="476"/>
      <c r="H7028" s="676"/>
      <c r="I7028" s="477"/>
      <c r="J7028" s="478"/>
      <c r="K7028" s="676"/>
      <c r="L7028" s="676"/>
      <c r="M7028" s="676"/>
      <c r="N7028" s="676"/>
    </row>
    <row r="7029" spans="1:14" x14ac:dyDescent="0.25">
      <c r="A7029" s="676">
        <f>MAX(A6919:A7028)+1</f>
        <v>4359</v>
      </c>
      <c r="B7029" s="676"/>
      <c r="C7029" s="473"/>
      <c r="D7029" s="474"/>
      <c r="E7029" s="475"/>
      <c r="F7029" s="676"/>
      <c r="G7029" s="476"/>
      <c r="H7029" s="676"/>
      <c r="I7029" s="477"/>
      <c r="J7029" s="478"/>
      <c r="K7029" s="676"/>
      <c r="L7029" s="676"/>
      <c r="M7029" s="676"/>
      <c r="N7029" s="676"/>
    </row>
    <row r="7030" spans="1:14" x14ac:dyDescent="0.25">
      <c r="A7030" s="676">
        <f>MAX(A6920:A7029)+1</f>
        <v>4360</v>
      </c>
      <c r="B7030" s="676"/>
      <c r="C7030" s="473"/>
      <c r="D7030" s="474"/>
      <c r="E7030" s="475"/>
      <c r="F7030" s="676"/>
      <c r="G7030" s="476"/>
      <c r="H7030" s="676"/>
      <c r="I7030" s="477"/>
      <c r="J7030" s="478"/>
      <c r="K7030" s="676"/>
      <c r="L7030" s="676"/>
      <c r="M7030" s="676"/>
      <c r="N7030" s="676"/>
    </row>
    <row r="7031" spans="1:14" x14ac:dyDescent="0.25">
      <c r="A7031" s="676">
        <f>MAX(A6921:A7030)+1</f>
        <v>4361</v>
      </c>
      <c r="B7031" s="676"/>
      <c r="C7031" s="473"/>
      <c r="D7031" s="474"/>
      <c r="E7031" s="475"/>
      <c r="F7031" s="676"/>
      <c r="G7031" s="476"/>
      <c r="H7031" s="676"/>
      <c r="I7031" s="477"/>
      <c r="J7031" s="478"/>
      <c r="K7031" s="676"/>
      <c r="L7031" s="676"/>
      <c r="M7031" s="676"/>
      <c r="N7031" s="676"/>
    </row>
    <row r="7032" spans="1:14" x14ac:dyDescent="0.25">
      <c r="A7032" s="676">
        <f>MAX(A6922:A7031)+1</f>
        <v>4362</v>
      </c>
      <c r="B7032" s="676"/>
      <c r="C7032" s="473"/>
      <c r="D7032" s="474"/>
      <c r="E7032" s="475"/>
      <c r="F7032" s="676"/>
      <c r="G7032" s="476"/>
      <c r="H7032" s="676"/>
      <c r="I7032" s="477"/>
      <c r="J7032" s="478"/>
      <c r="K7032" s="676"/>
      <c r="L7032" s="676"/>
      <c r="M7032" s="676"/>
      <c r="N7032" s="676"/>
    </row>
  </sheetData>
  <autoFilter ref="A2:R7026" xr:uid="{9E4C531E-AD50-422A-AC7C-8C5AF4C19268}">
    <filterColumn colId="10">
      <filters blank="1"/>
    </filterColumn>
  </autoFilter>
  <mergeCells count="1836">
    <mergeCell ref="A7010:A7012"/>
    <mergeCell ref="A7015:A7017"/>
    <mergeCell ref="A6999:A7002"/>
    <mergeCell ref="G6999:G7002"/>
    <mergeCell ref="A7003:A7004"/>
    <mergeCell ref="A6985:A6986"/>
    <mergeCell ref="A6987:A6988"/>
    <mergeCell ref="A6989:A6991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06:A5607"/>
    <mergeCell ref="A6785:A6786"/>
    <mergeCell ref="A6632:A6634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41:A6743"/>
    <mergeCell ref="A6744:A6746"/>
    <mergeCell ref="A6747:A6749"/>
    <mergeCell ref="A6763:A6765"/>
    <mergeCell ref="A6771:A6774"/>
    <mergeCell ref="A6688:A6690"/>
    <mergeCell ref="A6660:A6661"/>
    <mergeCell ref="A6638:A6639"/>
    <mergeCell ref="A6640:A6642"/>
    <mergeCell ref="A6675:A6676"/>
    <mergeCell ref="A6581:A6583"/>
    <mergeCell ref="A6585:A6586"/>
    <mergeCell ref="A6680:A6681"/>
    <mergeCell ref="A6682:A6683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09:A6712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331:A5334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643:A4645"/>
    <mergeCell ref="A4646:A4648"/>
    <mergeCell ref="A4679:A4680"/>
    <mergeCell ref="A4653:A4655"/>
    <mergeCell ref="A4635:A4636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687:A4690"/>
    <mergeCell ref="A4772:A4773"/>
    <mergeCell ref="G4700:G4701"/>
    <mergeCell ref="A4721:A4722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89:A4890"/>
    <mergeCell ref="G4729:G4732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5059:A506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A5006:A5008"/>
    <mergeCell ref="A5009:A5011"/>
    <mergeCell ref="A5012:A5013"/>
    <mergeCell ref="A5054:A5055"/>
    <mergeCell ref="A5042:A5044"/>
    <mergeCell ref="G5042:G5044"/>
    <mergeCell ref="A5047:A5048"/>
    <mergeCell ref="G5019:G5020"/>
    <mergeCell ref="A5026:A5028"/>
    <mergeCell ref="A5049:A5052"/>
    <mergeCell ref="A5232:A5233"/>
    <mergeCell ref="A5286:A5289"/>
    <mergeCell ref="G5216:G5217"/>
    <mergeCell ref="A5222:A5225"/>
    <mergeCell ref="G5188:G5189"/>
    <mergeCell ref="A5275:A5276"/>
    <mergeCell ref="G5196:G5197"/>
    <mergeCell ref="G5275:G5276"/>
    <mergeCell ref="A5142:A5144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441:A5442"/>
    <mergeCell ref="A5270:A5271"/>
    <mergeCell ref="A5443:A5444"/>
    <mergeCell ref="A5202:A5203"/>
    <mergeCell ref="A5507:A5508"/>
    <mergeCell ref="A5140:A5141"/>
    <mergeCell ref="G5408:G5409"/>
    <mergeCell ref="A5321:A5325"/>
    <mergeCell ref="G5531:G5532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539:A5541"/>
    <mergeCell ref="A5338:A5341"/>
    <mergeCell ref="A5504:A5505"/>
    <mergeCell ref="A5577:A5578"/>
    <mergeCell ref="A5418:A5419"/>
    <mergeCell ref="A5513:A5514"/>
    <mergeCell ref="A5326:A5327"/>
    <mergeCell ref="A5452:A5453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A5196:A5197"/>
    <mergeCell ref="A5188:A5189"/>
    <mergeCell ref="A5176:A5178"/>
    <mergeCell ref="A5385:A5386"/>
    <mergeCell ref="A5387:A5388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7005:A7006"/>
    <mergeCell ref="A6996:A6998"/>
    <mergeCell ref="G5504:G5505"/>
    <mergeCell ref="A5549:A5550"/>
    <mergeCell ref="A6968:A6969"/>
    <mergeCell ref="A6992:A6995"/>
    <mergeCell ref="A6961:A6962"/>
    <mergeCell ref="A6981:A6984"/>
    <mergeCell ref="A6963:A6967"/>
    <mergeCell ref="A6970:A6974"/>
    <mergeCell ref="A6975:A6978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2026-08-17T15:01:44Z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