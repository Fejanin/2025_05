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BCC0A05-5DB7-416F-9463-16F5E60739E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Лист1!$A$2:$R$7428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s="1"/>
  <c r="A7325" i="1" l="1"/>
  <c r="A7328" i="1" s="1"/>
  <c r="A7330" i="1" s="1"/>
  <c r="A7332" i="1" s="1"/>
  <c r="A7335" i="1" l="1"/>
  <c r="A7337" i="1" s="1"/>
  <c r="A7338" i="1" s="1"/>
  <c r="A7341" i="1" s="1"/>
  <c r="A7343" i="1" s="1"/>
  <c r="A7344" i="1" l="1"/>
  <c r="A7346" i="1" l="1"/>
  <c r="A7348" i="1" l="1"/>
  <c r="A7349" i="1" l="1"/>
  <c r="A7350" i="1" s="1"/>
  <c r="A7351" i="1" s="1"/>
  <c r="A7355" i="1" l="1"/>
  <c r="A7356" i="1" s="1"/>
  <c r="A7357" i="1" s="1"/>
  <c r="A7360" i="1" s="1"/>
  <c r="A7363" i="1" s="1"/>
  <c r="A7364" i="1" s="1"/>
  <c r="A7365" i="1" s="1"/>
  <c r="A7367" i="1" s="1"/>
  <c r="A7370" i="1" l="1"/>
  <c r="A7375" i="1" s="1"/>
  <c r="A7380" i="1" s="1"/>
  <c r="A7381" i="1" s="1"/>
  <c r="A7385" i="1" l="1"/>
  <c r="A7386" i="1" s="1"/>
  <c r="A7389" i="1" l="1"/>
  <c r="A7392" i="1" l="1"/>
  <c r="A7394" i="1" s="1"/>
  <c r="A7395" i="1" l="1"/>
  <c r="A7396" i="1" s="1"/>
  <c r="A7399" i="1" l="1"/>
  <c r="A7400" i="1" s="1"/>
  <c r="A7401" i="1" l="1"/>
  <c r="A7403" i="1" s="1"/>
  <c r="A7405" i="1" s="1"/>
  <c r="A7407" i="1" s="1"/>
  <c r="A7408" i="1" s="1"/>
  <c r="A7409" i="1" s="1"/>
  <c r="A7411" i="1" s="1"/>
  <c r="A7412" i="1" s="1"/>
  <c r="A7413" i="1" s="1"/>
  <c r="A7414" i="1" s="1"/>
  <c r="A7415" i="1" l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</calcChain>
</file>

<file path=xl/sharedStrings.xml><?xml version="1.0" encoding="utf-8"?>
<sst xmlns="http://schemas.openxmlformats.org/spreadsheetml/2006/main" count="48074" uniqueCount="2968">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</sst>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0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0" fontId="16" fillId="47" borderId="37" xfId="0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0" fontId="16" fillId="47" borderId="83" xfId="0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83" xfId="0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0" fontId="46" fillId="47" borderId="81" xfId="0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0" fontId="46" fillId="40" borderId="42" xfId="0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28"/>
  <sheetViews>
    <sheetView tabSelected="1" zoomScale="70" zoomScaleNormal="70" workbookViewId="0">
      <pane ySplit="2" topLeftCell="A7394" activePane="bottomLeft" state="frozen"/>
      <selection pane="bottomLeft" activeCell="Q7408" sqref="Q740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018" width="9.140625" style="2"/>
  </cols>
  <sheetData>
    <row r="1" spans="1:18" ht="19.5" customHeight="1" thickBot="1" x14ac:dyDescent="0.3">
      <c r="A1" s="1116" t="s">
        <v>0</v>
      </c>
      <c r="B1" s="1116"/>
      <c r="C1" s="1116"/>
      <c r="D1" s="1116"/>
      <c r="E1" s="1116"/>
      <c r="F1" s="1116"/>
      <c r="G1" s="1116"/>
      <c r="H1" s="1116"/>
      <c r="I1" s="1116"/>
      <c r="J1" s="1116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17">
        <v>1</v>
      </c>
      <c r="B3" s="111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17"/>
      <c r="B4" s="111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13">
        <v>3</v>
      </c>
      <c r="B6" s="111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13"/>
      <c r="B7" s="111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13"/>
      <c r="B8" s="111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13">
        <v>5</v>
      </c>
      <c r="B10" s="111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13"/>
      <c r="B11" s="111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11">
        <v>8</v>
      </c>
      <c r="B14" s="111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11"/>
      <c r="B15" s="111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13">
        <v>11</v>
      </c>
      <c r="B18" s="111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13"/>
      <c r="B19" s="111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13"/>
      <c r="B20" s="111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13"/>
      <c r="B21" s="111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13">
        <v>13</v>
      </c>
      <c r="B23" s="111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13"/>
      <c r="B24" s="111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11">
        <v>14</v>
      </c>
      <c r="B25" s="111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11"/>
      <c r="B26" s="111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13">
        <v>15</v>
      </c>
      <c r="B27" s="111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13"/>
      <c r="B28" s="111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13"/>
      <c r="B29" s="111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13"/>
      <c r="B30" s="111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11">
        <v>16</v>
      </c>
      <c r="B31" s="111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11"/>
      <c r="B32" s="111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11"/>
      <c r="B33" s="111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11"/>
      <c r="B34" s="111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13">
        <v>17</v>
      </c>
      <c r="B35" s="111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13"/>
      <c r="B36" s="111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13">
        <v>21</v>
      </c>
      <c r="B40" s="111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13"/>
      <c r="B41" s="111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13">
        <v>23</v>
      </c>
      <c r="B43" s="111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13"/>
      <c r="B44" s="111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13"/>
      <c r="B45" s="111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11">
        <v>24</v>
      </c>
      <c r="B46" s="111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11"/>
      <c r="B47" s="111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13">
        <v>25</v>
      </c>
      <c r="B48" s="111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13"/>
      <c r="B49" s="111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13"/>
      <c r="B50" s="111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11">
        <v>26</v>
      </c>
      <c r="B51" s="111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11"/>
      <c r="B52" s="111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13">
        <v>29</v>
      </c>
      <c r="B55" s="111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13"/>
      <c r="B56" s="111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11">
        <v>32</v>
      </c>
      <c r="B59" s="111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11"/>
      <c r="B60" s="111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11">
        <v>34</v>
      </c>
      <c r="B62" s="111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11"/>
      <c r="B63" s="111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11"/>
      <c r="B64" s="111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11"/>
      <c r="B65" s="111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11"/>
      <c r="B66" s="111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13">
        <v>35</v>
      </c>
      <c r="B67" s="111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13"/>
      <c r="B68" s="111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98">
        <v>40</v>
      </c>
      <c r="B73" s="111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98"/>
      <c r="B74" s="111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97">
        <v>41</v>
      </c>
      <c r="B75" s="111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97"/>
      <c r="B76" s="111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97"/>
      <c r="B77" s="111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98">
        <v>42</v>
      </c>
      <c r="B78" s="111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98"/>
      <c r="B79" s="111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97">
        <v>49</v>
      </c>
      <c r="B86" s="111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97"/>
      <c r="B87" s="111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97"/>
      <c r="B88" s="111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98">
        <v>50</v>
      </c>
      <c r="B89" s="111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98"/>
      <c r="B90" s="111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97">
        <v>51</v>
      </c>
      <c r="B91" s="111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97"/>
      <c r="B92" s="111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97">
        <v>53</v>
      </c>
      <c r="B94" s="111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97"/>
      <c r="B95" s="111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98">
        <v>54</v>
      </c>
      <c r="B96" s="111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98"/>
      <c r="B97" s="111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98"/>
      <c r="B98" s="111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98">
        <v>58</v>
      </c>
      <c r="B102" s="111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98"/>
      <c r="B103" s="111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98">
        <v>60</v>
      </c>
      <c r="B105" s="111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98"/>
      <c r="B106" s="111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98"/>
      <c r="B107" s="111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97">
        <v>61</v>
      </c>
      <c r="B108" s="111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97"/>
      <c r="B109" s="111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97"/>
      <c r="B110" s="111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98">
        <v>64</v>
      </c>
      <c r="B113" s="111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98"/>
      <c r="B114" s="111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98">
        <v>66</v>
      </c>
      <c r="B116" s="111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98"/>
      <c r="B117" s="111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97">
        <v>67</v>
      </c>
      <c r="B118" s="111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97"/>
      <c r="B119" s="111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97"/>
      <c r="B120" s="111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98">
        <v>68</v>
      </c>
      <c r="B121" s="111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98"/>
      <c r="B122" s="111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97">
        <v>69</v>
      </c>
      <c r="B123" s="111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97"/>
      <c r="B124" s="111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98">
        <v>72</v>
      </c>
      <c r="B127" s="1111" t="s">
        <v>65</v>
      </c>
      <c r="C127" s="119" t="s">
        <v>26</v>
      </c>
      <c r="D127" s="120">
        <v>3.3</v>
      </c>
      <c r="E127" s="121"/>
      <c r="F127" s="122" t="s">
        <v>30</v>
      </c>
      <c r="G127" s="111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98"/>
      <c r="B128" s="1111"/>
      <c r="C128" s="103" t="s">
        <v>26</v>
      </c>
      <c r="D128" s="88">
        <v>12.9</v>
      </c>
      <c r="E128" s="106"/>
      <c r="F128" s="107" t="s">
        <v>16</v>
      </c>
      <c r="G128" s="111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98">
        <v>76</v>
      </c>
      <c r="B132" s="111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98"/>
      <c r="B133" s="111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98"/>
      <c r="B134" s="111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98"/>
      <c r="B135" s="111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98">
        <v>78</v>
      </c>
      <c r="B137" s="111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98"/>
      <c r="B138" s="111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1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1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9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9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9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9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9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9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9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9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9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9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9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9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9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9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9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9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9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9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9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9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9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9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15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9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15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9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9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9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9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9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9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9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9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9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9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9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9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9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9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9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9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9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9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9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9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9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9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9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9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9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9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9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9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9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9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9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9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9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9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9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9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9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9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9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9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9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1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9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1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9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9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9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9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9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9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9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9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9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9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9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9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9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9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9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9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9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9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9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9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9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9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9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9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9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9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9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9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9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9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9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9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2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9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2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9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9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9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1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9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1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9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9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9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9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9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9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9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9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9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9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9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9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9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9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9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9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9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9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9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9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9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9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9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9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9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9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9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9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9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15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9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15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9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9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9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9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9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9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9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9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9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9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9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9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9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9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9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9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9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9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9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9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9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9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9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9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9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9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9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9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9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9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9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9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9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9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0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9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0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9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9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9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9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9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9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9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9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9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9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9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9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9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9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9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9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9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9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9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9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9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9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9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9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9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9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9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9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9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9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9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9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9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9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0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9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0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9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9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9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9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9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9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18" t="s">
        <v>133</v>
      </c>
      <c r="J420" s="111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9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9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9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9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9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9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9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9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9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9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9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9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9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9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9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9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9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9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9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9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9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9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9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9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9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0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9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0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9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9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9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9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9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9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9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9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0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0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0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9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9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9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9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9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9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9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9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9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9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9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9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9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9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9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9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9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9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9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9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9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9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0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9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0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9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9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9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2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9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2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9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2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9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2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9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2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9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9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9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9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9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9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9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9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9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9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9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9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9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9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9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9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9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9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9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9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9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9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9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9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9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9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9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9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9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9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9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9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9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9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9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9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9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9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9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9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0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9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0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9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9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9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9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9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9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9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9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9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9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9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9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9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9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9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9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9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9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9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9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9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9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9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9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9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9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9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9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9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9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9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9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9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0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9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0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9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9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9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9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9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9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9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9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9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9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9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9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9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9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9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9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9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9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9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9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9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9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9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9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9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9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9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9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9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9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9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9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9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9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9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9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9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9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9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9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9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9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9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9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0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9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0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9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9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2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9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21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9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9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9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9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9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9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9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9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9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9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9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9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9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9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9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9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9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9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9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9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9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9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9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9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9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9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9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9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9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0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9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0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0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0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0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9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9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9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0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0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9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9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9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0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0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9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9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9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9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9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9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9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9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9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9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9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9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9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9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9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9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9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9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9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9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9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9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2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9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2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9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9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9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9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9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9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9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9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9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9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9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9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9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9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9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9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0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0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0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0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0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0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9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0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9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0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9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9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9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9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9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9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9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9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9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9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9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0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0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9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9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9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9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9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9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9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9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9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9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9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9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9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9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9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9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9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9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9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9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9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9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9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9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9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0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9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0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9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9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9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9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9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9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9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9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9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9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9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9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9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9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9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9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9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9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9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9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9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9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9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9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9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9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9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9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9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9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9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9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9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9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9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9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9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9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9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9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9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9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9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9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9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9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9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9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9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9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9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9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9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9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9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9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9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9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9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9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9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9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9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9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9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9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9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9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9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9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9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9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9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9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9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9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9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9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9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9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9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9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9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9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9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9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9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9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9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9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9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9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9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0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9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0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9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9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9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9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9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9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9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9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9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9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9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9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9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9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9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9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9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9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9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9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9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0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0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9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9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9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9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9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9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9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9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9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9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9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9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9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9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9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9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9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9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9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9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9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9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9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9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0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9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0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9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9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9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9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9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9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9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9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9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9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9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9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9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9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9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0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0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9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9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9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9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9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9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9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9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9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9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9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9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9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9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9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9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9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9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9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9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9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9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9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9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9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0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9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0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9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9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9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9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9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9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9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9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9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9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9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9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9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9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9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9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9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9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9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9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9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9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9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9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9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9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9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9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9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9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9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9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9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9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9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9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9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9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0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9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0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9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9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9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9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9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9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9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9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9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9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9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9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9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9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9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9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9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9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9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9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9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9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9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9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9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9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0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9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0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9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9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9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9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9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9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9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9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9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9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9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9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9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9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9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9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9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9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9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9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9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9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9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9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9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9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9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9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9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9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9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0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9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0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9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9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9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9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9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9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9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9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9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9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9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9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9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9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9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9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9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9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9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9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9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9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9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9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9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9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0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9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0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9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9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9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9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9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9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9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9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9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9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9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9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9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9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9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9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9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9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9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9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9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9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9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9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9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9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9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9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9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9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9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9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9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9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9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9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0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9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0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9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9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9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9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9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9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9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9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9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9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9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9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9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9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9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9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9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9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9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9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9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9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9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9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9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9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9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9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9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0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9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0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9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9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9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9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9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9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9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9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9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9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9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9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9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9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9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9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9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9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9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9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9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9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9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9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9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9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9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0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9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0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9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9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9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9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9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9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9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9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9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9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9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9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9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9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9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9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9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9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9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9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9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9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9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9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9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9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9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0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9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0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9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9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9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9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9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9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9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9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9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9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9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9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9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9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9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0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9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0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9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0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9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0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9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9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9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9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9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9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9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9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9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0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9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0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9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9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9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9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9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9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9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9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9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9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9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9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9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9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9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9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9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9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9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9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9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9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9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9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9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0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9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0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9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9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9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9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9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9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9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9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9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9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9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9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9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9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9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9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9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9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9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9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0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9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0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9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9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9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9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9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9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9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9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9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9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9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9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9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9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9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9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9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9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9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9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9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0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9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0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9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9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9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9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9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9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9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9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9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9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9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9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9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9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9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9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9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9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9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9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9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9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9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9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9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9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9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9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9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9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9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9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9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9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9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9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9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9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9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9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9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9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9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9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9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9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9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0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9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0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9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9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9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9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9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9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9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9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9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9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9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9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9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9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9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9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9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9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9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9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9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9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9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9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9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9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0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9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0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9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9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9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9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9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9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9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9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9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9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9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9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0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9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0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9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9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9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9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9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9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9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9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9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9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9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9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9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9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9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9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9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9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9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9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9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9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9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0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9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0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9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9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9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9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9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9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9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9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9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9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9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9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9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9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9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9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9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9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9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9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9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9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9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9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0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9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0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9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0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9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9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9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9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9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9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9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9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9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9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9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9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0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9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0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9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9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9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9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9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9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9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9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9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9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9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9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9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9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9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9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9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9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9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9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9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9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9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9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9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9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9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9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9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9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0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9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0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9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9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9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9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9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9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9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9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9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9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9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9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9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9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9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9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9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9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9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9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0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9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0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9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9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9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9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9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9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9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9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9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9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9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9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9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9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9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9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9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9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9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9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9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9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0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9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0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9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9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9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9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9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9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9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9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9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9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9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9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9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9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9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9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9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9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9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9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0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9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0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9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9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9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9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9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9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9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9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9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9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9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9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9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9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9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9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9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9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9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9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9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9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9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9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9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9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9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9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9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9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9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9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9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9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9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9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9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9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9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9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0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0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0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9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9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9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9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9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0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9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0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9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9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9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9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9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9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9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9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9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9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0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9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0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9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9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9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9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9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9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9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9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9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9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9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9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9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9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9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9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9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0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9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0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9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9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9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9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9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9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9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9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9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9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9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9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9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9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9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9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9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9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9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9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9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9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9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9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9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9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9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9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9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9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9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9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9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9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9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9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9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9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9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9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9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9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9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9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9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9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9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9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9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9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9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9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9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9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9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9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9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9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9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9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9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5" t="s">
        <v>467</v>
      </c>
      <c r="H2160" s="414" t="s">
        <v>515</v>
      </c>
      <c r="I2160" s="415" t="s">
        <v>516</v>
      </c>
      <c r="J2160" s="112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5"/>
      <c r="H2161" s="421" t="s">
        <v>515</v>
      </c>
      <c r="I2161" s="422" t="s">
        <v>516</v>
      </c>
      <c r="J2161" s="112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5"/>
      <c r="H2162" s="429" t="s">
        <v>515</v>
      </c>
      <c r="I2162" s="430" t="s">
        <v>516</v>
      </c>
      <c r="J2162" s="112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5" t="s">
        <v>467</v>
      </c>
      <c r="H2165" s="414" t="s">
        <v>516</v>
      </c>
      <c r="I2165" s="415" t="s">
        <v>516</v>
      </c>
      <c r="J2165" s="112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5"/>
      <c r="H2166" s="429" t="s">
        <v>516</v>
      </c>
      <c r="I2166" s="430" t="s">
        <v>516</v>
      </c>
      <c r="J2166" s="112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9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9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9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9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9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9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9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9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9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9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9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9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0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9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0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9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9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9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9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0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9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0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9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9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9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2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9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2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9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9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9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9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9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9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9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9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9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9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9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9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9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9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9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9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9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9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9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9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9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9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9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9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9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9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9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9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9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9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9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9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9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9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9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9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9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9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9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9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9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9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9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9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9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9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9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9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9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9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9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9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9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9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9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9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9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9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9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9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9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9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9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9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9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9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0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0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9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9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9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9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9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9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9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9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9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9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9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9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9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9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9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9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9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9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9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9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9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9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9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9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9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9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9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9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9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9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9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9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9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9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9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9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9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9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9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9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9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9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9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9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9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9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9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9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9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9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9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9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9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9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9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9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9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9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9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9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9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9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9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9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0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0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9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9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9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9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9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9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9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9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9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9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9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9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9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9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9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9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9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9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0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0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9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9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9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9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9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9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9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9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9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9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9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9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9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9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9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9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9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0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0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0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9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9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9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9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9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9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9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9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9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9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9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0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9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0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9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0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0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0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0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0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9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9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9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9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0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0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9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0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9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0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9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9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9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9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9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9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9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9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9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9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9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9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9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9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9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0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9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0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9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9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9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9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9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9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9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9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9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0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0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9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9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9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9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0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3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0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3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9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9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9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0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9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0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9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9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9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9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9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9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9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9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9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9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9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9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9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9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9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9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9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9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9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9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9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0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9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0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9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9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9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9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0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0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0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9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9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9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9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9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9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9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9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9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9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9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3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3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9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9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9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9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9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9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9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9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9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9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9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9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9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9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0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0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0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0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0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0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9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9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9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9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9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9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9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9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9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9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9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9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9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9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9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9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9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9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9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9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0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9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0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9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0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0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0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0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0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9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9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9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9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9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9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9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9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9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9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9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9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9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9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9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9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9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9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0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0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0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0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0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9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9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9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9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9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9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9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9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0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0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9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9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9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9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9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9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9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9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9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3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3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9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9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9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0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9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0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9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9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9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9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9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0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0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9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9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9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9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9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9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9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9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9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9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9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9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9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9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9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0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9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0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9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9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9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9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9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9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0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0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9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9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9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9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9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9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9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0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0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0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9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0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9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0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9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9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9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0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9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0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9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9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9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9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9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0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0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9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9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9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9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0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0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9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9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9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9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9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9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9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9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9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0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0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0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0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9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9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9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9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9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9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9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0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0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0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9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9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9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9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9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9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9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9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9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9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0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0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0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9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9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9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9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9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9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9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9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9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9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9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9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9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9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9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9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9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9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0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9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0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9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0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9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0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0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0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0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0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0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9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9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9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0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9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0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9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0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9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9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9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9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9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9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9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9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9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9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9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9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9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9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9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9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9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0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9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0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0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0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9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9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9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9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9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9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9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9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9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9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9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9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9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9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9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9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9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9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9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9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9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9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9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9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9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9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9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9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9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9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9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9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9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9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9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9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9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9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9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9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9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9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9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9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9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0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9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0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9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0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9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0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9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9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9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9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9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9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9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9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9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9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9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9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9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9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9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9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9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9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9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9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9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9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9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9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9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9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9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9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9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9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0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0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9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9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9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9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9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9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0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3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0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3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0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3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0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3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0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3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0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3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9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9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9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9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9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9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9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9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0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0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0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0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9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9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9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9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9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9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9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9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9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9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9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9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0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0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0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9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9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9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9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9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9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9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9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9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9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0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0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0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9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9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9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9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9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9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9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9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9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9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9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9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9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0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0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9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9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9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9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9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9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0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0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0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9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9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9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9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9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9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9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0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0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0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9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9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9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9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9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9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0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0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0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0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0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0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0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0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9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9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9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9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9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9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0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0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0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0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9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9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9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9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9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9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9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9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9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9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0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9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0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0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0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0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0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0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0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9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9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9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9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9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9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9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0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9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0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9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9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9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9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9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9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9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9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0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0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9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9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9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9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9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9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9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9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9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9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9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0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3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0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3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0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3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9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9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9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9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9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9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9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9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9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9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9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9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9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9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9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9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0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9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0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9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9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0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0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9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9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9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9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9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9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9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9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9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9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9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9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9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0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9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0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9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9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9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9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9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9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9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9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9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9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9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9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9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9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0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9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0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7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6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7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8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7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6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7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8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7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8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7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8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70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3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7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3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7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6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3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3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7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7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7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7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70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3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7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3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70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3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7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7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7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7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7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7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70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8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3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3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7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3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70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8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3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3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7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7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7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3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7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7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70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3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70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7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7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7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7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7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7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70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3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7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6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3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3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7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6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3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3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7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3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70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3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7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7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7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3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70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3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7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7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3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70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3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70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7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3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70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8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3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3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7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3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70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3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7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7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7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3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7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6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3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3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70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3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7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3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70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8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3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3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7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7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7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7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7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7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7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3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70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3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70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8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3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3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7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7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3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70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3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7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7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3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70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70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3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7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7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3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7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7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7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7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70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70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7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3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7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6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7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8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3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3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7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7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3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7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3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7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7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7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7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6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3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3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70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3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7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3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7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3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70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3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70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7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3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7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7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3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70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3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7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3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70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3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7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6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3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3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70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7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7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3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70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3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7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3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70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3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7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3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7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7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7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3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7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3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70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3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7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7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7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7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7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3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7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3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70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3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70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7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3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7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6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3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3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70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3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7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7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7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3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70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3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7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6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7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8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3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3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70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8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3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3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7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3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70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3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7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7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7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7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7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7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70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3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7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3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70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3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7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7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7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3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70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3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7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6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3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3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7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3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70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3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70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3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7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7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70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70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7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3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7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7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70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8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3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3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7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7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7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7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7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7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3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70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7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7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3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7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3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70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3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7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7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3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7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3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9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3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3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7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7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7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7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7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3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70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3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7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7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3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70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3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7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3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7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3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70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7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7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7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7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70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7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7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6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7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6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7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7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70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8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7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7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7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7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7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7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70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7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7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7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7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7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7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70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7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7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7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7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70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8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84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7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70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7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70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7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7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7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7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70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7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7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70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7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7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7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7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7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70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7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7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7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7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7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7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7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70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7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7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70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7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7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70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7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7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7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70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7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7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7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7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7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7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7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7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70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7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70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7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7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7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7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7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7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7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7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70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7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70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7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70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7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7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7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7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70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7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7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7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7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7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6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7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6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70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7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70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7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7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7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7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7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7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7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70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8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84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84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7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7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7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7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7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7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70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7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7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7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70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70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8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7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7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7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70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7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70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7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7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7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70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7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7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70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7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7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7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7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6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7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8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7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8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7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6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70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7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7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7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7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7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70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7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7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7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70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8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7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70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70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7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7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7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70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7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7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7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7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7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7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70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7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7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7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7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70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7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70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7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7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7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7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7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7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7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7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7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7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7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7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7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70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7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7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7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7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7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70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7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7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7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70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7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7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7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7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7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7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7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7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7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7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7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7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7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7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7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7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7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7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7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7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70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7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70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7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7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7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7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70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7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70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7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70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7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7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7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7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7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7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7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70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8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84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7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7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70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7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7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7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70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7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7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7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7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7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7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70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7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7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7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70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7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7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7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7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70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7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7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7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7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7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70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7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7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7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7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7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7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7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7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70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7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7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7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70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7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7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7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7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70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7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70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7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7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7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70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7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7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6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7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8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7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6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70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7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70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7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70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7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7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7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7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7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7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70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7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7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7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7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7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7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7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6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7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6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70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7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70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70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7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7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7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7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7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70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7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7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7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7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7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7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7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70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7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7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7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70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7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7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7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70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7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7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7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70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7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7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7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70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7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7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70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7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7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7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70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7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7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7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7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6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7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6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7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7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7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70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7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7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7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7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70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70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7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7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7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70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7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7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7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70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8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84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84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7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70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7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70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8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7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7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7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7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7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7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70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7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7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6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7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6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7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7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70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70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7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7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6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7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8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70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7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70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7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7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7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70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7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7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6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7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6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7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7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7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70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7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70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8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7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7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7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7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7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7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7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70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7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7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70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7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7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7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70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8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84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7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7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7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7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6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7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6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70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7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7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7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7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7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70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8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7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7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7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70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7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7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7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70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7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6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7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6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70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7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7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7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6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7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6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70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7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7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7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70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7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7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7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7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7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70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7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7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7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70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7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7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6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7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6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70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70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7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7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6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7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8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70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7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70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7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7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7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7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7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7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7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7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70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7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7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6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7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6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7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7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70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8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7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7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7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7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70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7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7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7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70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7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7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6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7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6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70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7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7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7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70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8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7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7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7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70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7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7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7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70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7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70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8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7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7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7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70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7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7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7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7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7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70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7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70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8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7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70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8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7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7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7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7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7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7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70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7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7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7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70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7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70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8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7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70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7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7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70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8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7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7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7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70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7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7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6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7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8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7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8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70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8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7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7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7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7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7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7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7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7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7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70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7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7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6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7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3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7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7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7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70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7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7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7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7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70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7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7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7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7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7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70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8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84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7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7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7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70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8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7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70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7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70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7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7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7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7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7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6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7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8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7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8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7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8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70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7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7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6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7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6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7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7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70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7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7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6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7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6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70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7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7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7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7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70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7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7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6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7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6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70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7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70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7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7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7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70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7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70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7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70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7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70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7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7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7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7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70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7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7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7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70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7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7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7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7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6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7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8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70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7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7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6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7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6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7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7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7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6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7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6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7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7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7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70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7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7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7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70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8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7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70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7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7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7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7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7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70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7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7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7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7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6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7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6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70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7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7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7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70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7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7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7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7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70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7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7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7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70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7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7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7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7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7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70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7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7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7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70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7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70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8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84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7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7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7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70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7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7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7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7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7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70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7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7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7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7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70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7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7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7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7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7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70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7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7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7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7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7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7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6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7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8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7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8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7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8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7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8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70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7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70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7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70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7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7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7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70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7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7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7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7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7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7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7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70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7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70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8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7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70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8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84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84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84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7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7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70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7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7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7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7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7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70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7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70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7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7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7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70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7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7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8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7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8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70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7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6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7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6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70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7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6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7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8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70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7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7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7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70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7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7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7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70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7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7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6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7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6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7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7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70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7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7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7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70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7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7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7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7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70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7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70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7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70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7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7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7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7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70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7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70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7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7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7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7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70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7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7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7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70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8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7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7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7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7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7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7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70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7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7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7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7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6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7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6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7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7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70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7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7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7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70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8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7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70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7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7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7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7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7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7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70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8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7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70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8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84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84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84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7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7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7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7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70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7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7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6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7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6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7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7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7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7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7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7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7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7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7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70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7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7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7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70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7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7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7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7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7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7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7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70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7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7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7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7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70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7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7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7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70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8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7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70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7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7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7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7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7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7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7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7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7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7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70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7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7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7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70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8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7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7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7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9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9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9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9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9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70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7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9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9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42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9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43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9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9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70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9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4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65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4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9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0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9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70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7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70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70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7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70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7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7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7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7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7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7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7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7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7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70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7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70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7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70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7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7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7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7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70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7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7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70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7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70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7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70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7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7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7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70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8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7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70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9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65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65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6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7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7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7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7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6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6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5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5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6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65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6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6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6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5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6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6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5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7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7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7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78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70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7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6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6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6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65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68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6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70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84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7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84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6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6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6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8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7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7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70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7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7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7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9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4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6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6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6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6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6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65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6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70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7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7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78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7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70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7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70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7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6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65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6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5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5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6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65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65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70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70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7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6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65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65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6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5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5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6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6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5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5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6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6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6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6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70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8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7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7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70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5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5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5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7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78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7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78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78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7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70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7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70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7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7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78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78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78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78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78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7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5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5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7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78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7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5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5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5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5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7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78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7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5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5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5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5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6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6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6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65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65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6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6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3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65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68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6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70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7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7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7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5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6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65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6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84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84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7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66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7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6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7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7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7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7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70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7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7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78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7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5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6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65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6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70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73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78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78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7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88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89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70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7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73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78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7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73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7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73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78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78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7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8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5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84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5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84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73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7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73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7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61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3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65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68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65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8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65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8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6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84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5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84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73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7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73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78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7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73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78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78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78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7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73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78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78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78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7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70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73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78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78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7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73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74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70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7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73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78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78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74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59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61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66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65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8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65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8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65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8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6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6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73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74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73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78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74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8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5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59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0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73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74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70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7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70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71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73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74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0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73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74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73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78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78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78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74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9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59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0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73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78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78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74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9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0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73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74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70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71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9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59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59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0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7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73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66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74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67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70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2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2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71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70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71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73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74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69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60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73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2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74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3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70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71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73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74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70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71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9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0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73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74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70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71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9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0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61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65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65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62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9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0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73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78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74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70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86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84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84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71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5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70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70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86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71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5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73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66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74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81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70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71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73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78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74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70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71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73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74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70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71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73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2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78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7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74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7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69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59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60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69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60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61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62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70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71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61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62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70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2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70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45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2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46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2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46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71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46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61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65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62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70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2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2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61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65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62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69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59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60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61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63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65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68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65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68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62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64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73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78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74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69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60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61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65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65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52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48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53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49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73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50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74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51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73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78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61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62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69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60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69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60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61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62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69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60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61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62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73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74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70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2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71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73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74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70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2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2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2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71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61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62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70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2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2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71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73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78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78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74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70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2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2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71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61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62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73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78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74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70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2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2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2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71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73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78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78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74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69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60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61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62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70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71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69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60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69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5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60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77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73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74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70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71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69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59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60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61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65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62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70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71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61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65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62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69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59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59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59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60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61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65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62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70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20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2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2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2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2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2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71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61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65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62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x14ac:dyDescent="0.25">
      <c r="A7321" s="1157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4" t="s">
        <v>2842</v>
      </c>
      <c r="H7321" s="1004" t="s">
        <v>2739</v>
      </c>
      <c r="I7321" s="1005" t="s">
        <v>2766</v>
      </c>
      <c r="J7321" s="1006"/>
      <c r="K7321" s="1007"/>
      <c r="L7321" s="1004" t="s">
        <v>28</v>
      </c>
      <c r="M7321" s="1004">
        <v>9325.31</v>
      </c>
      <c r="N7321" s="1008">
        <v>0.41666666666666669</v>
      </c>
      <c r="O7321" s="897" t="s">
        <v>2752</v>
      </c>
      <c r="P7321" s="867" t="s">
        <v>2877</v>
      </c>
    </row>
    <row r="7322" spans="1:16" x14ac:dyDescent="0.25">
      <c r="A7322" s="1158"/>
      <c r="B7322" s="1009" t="s">
        <v>2692</v>
      </c>
      <c r="C7322" s="1010" t="s">
        <v>24</v>
      </c>
      <c r="D7322" s="1011">
        <v>8.4339999999999993</v>
      </c>
      <c r="E7322" s="1012">
        <v>6.9450000000000003</v>
      </c>
      <c r="F7322" s="1013" t="s">
        <v>16</v>
      </c>
      <c r="G7322" s="1014"/>
      <c r="H7322" s="1013" t="s">
        <v>2739</v>
      </c>
      <c r="I7322" s="1015" t="s">
        <v>2766</v>
      </c>
      <c r="J7322" s="1016"/>
      <c r="K7322" s="1017"/>
      <c r="L7322" s="1013" t="s">
        <v>28</v>
      </c>
      <c r="M7322" s="1013">
        <v>8606.24</v>
      </c>
      <c r="N7322" s="1018">
        <v>0.41666666666666669</v>
      </c>
      <c r="O7322" s="897" t="s">
        <v>2751</v>
      </c>
      <c r="P7322" s="867" t="s">
        <v>2876</v>
      </c>
    </row>
    <row r="7323" spans="1:16" ht="37.5" x14ac:dyDescent="0.25">
      <c r="A7323" s="1158"/>
      <c r="B7323" s="1019" t="s">
        <v>2764</v>
      </c>
      <c r="C7323" s="1020" t="s">
        <v>15</v>
      </c>
      <c r="D7323" s="1021">
        <v>1.56</v>
      </c>
      <c r="E7323" s="1021">
        <v>1.571</v>
      </c>
      <c r="F7323" s="1022" t="s">
        <v>16</v>
      </c>
      <c r="G7323" s="1023" t="s">
        <v>2843</v>
      </c>
      <c r="H7323" s="1022" t="s">
        <v>2739</v>
      </c>
      <c r="I7323" s="1022" t="s">
        <v>2766</v>
      </c>
      <c r="J7323" s="1024"/>
      <c r="K7323" s="1025"/>
      <c r="L7323" s="1022" t="s">
        <v>28</v>
      </c>
      <c r="M7323" s="1022">
        <v>1560</v>
      </c>
      <c r="N7323" s="1018">
        <v>0.41666666666666669</v>
      </c>
      <c r="O7323" s="897" t="s">
        <v>2847</v>
      </c>
      <c r="P7323" s="867" t="s">
        <v>2878</v>
      </c>
    </row>
    <row r="7324" spans="1:16" ht="19.5" thickBot="1" x14ac:dyDescent="0.3">
      <c r="A7324" s="1159"/>
      <c r="B7324" s="1026" t="s">
        <v>2764</v>
      </c>
      <c r="C7324" s="1027" t="s">
        <v>24</v>
      </c>
      <c r="D7324" s="1028">
        <v>1.59</v>
      </c>
      <c r="E7324" s="1028">
        <v>1.597</v>
      </c>
      <c r="F7324" s="1029" t="s">
        <v>16</v>
      </c>
      <c r="G7324" s="1030" t="s">
        <v>76</v>
      </c>
      <c r="H7324" s="1029" t="s">
        <v>2739</v>
      </c>
      <c r="I7324" s="1029" t="s">
        <v>2766</v>
      </c>
      <c r="J7324" s="1031"/>
      <c r="K7324" s="1032"/>
      <c r="L7324" s="1029" t="s">
        <v>28</v>
      </c>
      <c r="M7324" s="1029">
        <v>1590</v>
      </c>
      <c r="N7324" s="1033">
        <v>0.41666666666666669</v>
      </c>
      <c r="O7324" s="897" t="s">
        <v>2813</v>
      </c>
      <c r="P7324" s="867" t="s">
        <v>2879</v>
      </c>
    </row>
    <row r="7325" spans="1:16" x14ac:dyDescent="0.25">
      <c r="A7325" s="1073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x14ac:dyDescent="0.25">
      <c r="A7326" s="1078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thickBot="1" x14ac:dyDescent="0.3">
      <c r="A7327" s="1074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x14ac:dyDescent="0.25">
      <c r="A7328" s="1069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thickBot="1" x14ac:dyDescent="0.3">
      <c r="A7329" s="1060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x14ac:dyDescent="0.25">
      <c r="A7330" s="1061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thickBot="1" x14ac:dyDescent="0.3">
      <c r="A7331" s="1062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customHeight="1" x14ac:dyDescent="0.25">
      <c r="A7332" s="1069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54" t="s">
        <v>2765</v>
      </c>
      <c r="H7332" s="535" t="s">
        <v>2764</v>
      </c>
      <c r="I7332" s="537" t="s">
        <v>2844</v>
      </c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customHeight="1" x14ac:dyDescent="0.25">
      <c r="A7333" s="1059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55"/>
      <c r="H7333" s="819" t="s">
        <v>2764</v>
      </c>
      <c r="I7333" s="782" t="s">
        <v>2844</v>
      </c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customHeight="1" thickBot="1" x14ac:dyDescent="0.3">
      <c r="A7334" s="1060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56"/>
      <c r="H7334" s="801" t="s">
        <v>2764</v>
      </c>
      <c r="I7334" s="801" t="s">
        <v>2844</v>
      </c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x14ac:dyDescent="0.25">
      <c r="A7335" s="1061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63" t="s">
        <v>1633</v>
      </c>
      <c r="H7335" s="483" t="s">
        <v>2764</v>
      </c>
      <c r="I7335" s="484" t="s">
        <v>2854</v>
      </c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thickBot="1" x14ac:dyDescent="0.3">
      <c r="A7336" s="1062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64"/>
      <c r="H7336" s="808" t="s">
        <v>2764</v>
      </c>
      <c r="I7336" s="808" t="s">
        <v>2854</v>
      </c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x14ac:dyDescent="0.25">
      <c r="A7338" s="1073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x14ac:dyDescent="0.25">
      <c r="A7339" s="1078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thickBot="1" x14ac:dyDescent="0.3">
      <c r="A7340" s="1074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x14ac:dyDescent="0.25">
      <c r="A7341" s="1070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thickBot="1" x14ac:dyDescent="0.3">
      <c r="A7342" s="1071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x14ac:dyDescent="0.25">
      <c r="A7344" s="1069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3"/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7" ht="19.5" thickBot="1" x14ac:dyDescent="0.3">
      <c r="A7345" s="1060"/>
      <c r="B7345" s="1044" t="s">
        <v>2844</v>
      </c>
      <c r="C7345" s="1045" t="s">
        <v>23</v>
      </c>
      <c r="D7345" s="1046">
        <v>0.39</v>
      </c>
      <c r="E7345" s="1046" t="s">
        <v>1496</v>
      </c>
      <c r="F7345" s="1047" t="s">
        <v>16</v>
      </c>
      <c r="G7345" s="1048" t="s">
        <v>76</v>
      </c>
      <c r="H7345" s="1047" t="s">
        <v>2766</v>
      </c>
      <c r="I7345" s="1047" t="s">
        <v>1496</v>
      </c>
      <c r="J7345" s="1049"/>
      <c r="K7345" s="1050"/>
      <c r="L7345" s="1047" t="s">
        <v>28</v>
      </c>
      <c r="M7345" s="1047">
        <v>390</v>
      </c>
      <c r="N7345" s="1051">
        <v>0.41666666666666669</v>
      </c>
      <c r="O7345" s="920" t="s">
        <v>2886</v>
      </c>
      <c r="P7345" s="921" t="s">
        <v>1024</v>
      </c>
    </row>
    <row r="7346" spans="1:17" x14ac:dyDescent="0.25">
      <c r="A7346" s="1061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63" t="s">
        <v>1633</v>
      </c>
      <c r="H7346" s="483" t="s">
        <v>2766</v>
      </c>
      <c r="I7346" s="484" t="s">
        <v>2854</v>
      </c>
      <c r="J7346" s="485"/>
      <c r="K7346" s="479"/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7" ht="19.5" thickBot="1" x14ac:dyDescent="0.3">
      <c r="A7347" s="1062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64"/>
      <c r="H7347" s="808" t="s">
        <v>2766</v>
      </c>
      <c r="I7347" s="808" t="s">
        <v>2905</v>
      </c>
      <c r="J7347" s="810"/>
      <c r="K7347" s="887"/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7" ht="38.25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4"/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7" ht="19.5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4"/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7" ht="19.5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/>
      <c r="F7350" s="508" t="s">
        <v>16</v>
      </c>
      <c r="G7350" s="509" t="s">
        <v>2299</v>
      </c>
      <c r="H7350" s="508" t="s">
        <v>2818</v>
      </c>
      <c r="I7350" s="510"/>
      <c r="J7350" s="511"/>
      <c r="K7350" s="504"/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>
        <v>6319854</v>
      </c>
    </row>
    <row r="7351" spans="1:17" x14ac:dyDescent="0.25">
      <c r="A7351" s="1073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79"/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7" x14ac:dyDescent="0.25">
      <c r="A7352" s="1078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3"/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7" x14ac:dyDescent="0.25">
      <c r="A7353" s="1078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3"/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7" ht="19.5" thickBot="1" x14ac:dyDescent="0.3">
      <c r="A7354" s="1074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5"/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7" ht="19.5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4"/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7" ht="19.5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3"/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7" x14ac:dyDescent="0.25">
      <c r="A7357" s="1069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1"/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7" x14ac:dyDescent="0.25">
      <c r="A7358" s="1059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6"/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7" ht="19.5" thickBot="1" x14ac:dyDescent="0.3">
      <c r="A7359" s="1060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877"/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7" x14ac:dyDescent="0.25">
      <c r="A7360" s="1061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79"/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x14ac:dyDescent="0.25">
      <c r="A7361" s="1065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1043"/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thickBot="1" x14ac:dyDescent="0.3">
      <c r="A7362" s="1062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87"/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4"/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6" x14ac:dyDescent="0.25">
      <c r="A7365" s="1069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thickBot="1" x14ac:dyDescent="0.3">
      <c r="A7366" s="1060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x14ac:dyDescent="0.25">
      <c r="A7367" s="1061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1052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x14ac:dyDescent="0.25">
      <c r="A7368" s="1065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53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thickBot="1" x14ac:dyDescent="0.3">
      <c r="A7369" s="1062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6.25" x14ac:dyDescent="0.25">
      <c r="A7370" s="1069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/>
      <c r="F7370" s="535" t="s">
        <v>16</v>
      </c>
      <c r="G7370" s="1056" t="s">
        <v>794</v>
      </c>
      <c r="H7370" s="535" t="s">
        <v>2854</v>
      </c>
      <c r="I7370" s="537"/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</row>
    <row r="7371" spans="1:16" x14ac:dyDescent="0.25">
      <c r="A7371" s="1059"/>
      <c r="B7371" s="824" t="s">
        <v>2818</v>
      </c>
      <c r="C7371" s="820" t="s">
        <v>587</v>
      </c>
      <c r="D7371" s="821">
        <v>8.1349999999999998</v>
      </c>
      <c r="E7371" s="822"/>
      <c r="F7371" s="819" t="s">
        <v>16</v>
      </c>
      <c r="G7371" s="1057" t="s">
        <v>47</v>
      </c>
      <c r="H7371" s="819" t="s">
        <v>2854</v>
      </c>
      <c r="I7371" s="782"/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>
        <v>6321526</v>
      </c>
    </row>
    <row r="7372" spans="1:16" x14ac:dyDescent="0.25">
      <c r="A7372" s="1059"/>
      <c r="B7372" s="824" t="s">
        <v>2818</v>
      </c>
      <c r="C7372" s="820" t="s">
        <v>47</v>
      </c>
      <c r="D7372" s="821">
        <v>8.4789999999999992</v>
      </c>
      <c r="E7372" s="822"/>
      <c r="F7372" s="819" t="s">
        <v>16</v>
      </c>
      <c r="G7372" s="1057"/>
      <c r="H7372" s="819" t="s">
        <v>2854</v>
      </c>
      <c r="I7372" s="782"/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>
        <v>6321540</v>
      </c>
    </row>
    <row r="7373" spans="1:16" x14ac:dyDescent="0.25">
      <c r="A7373" s="1059"/>
      <c r="B7373" s="813" t="s">
        <v>2909</v>
      </c>
      <c r="C7373" s="814" t="s">
        <v>47</v>
      </c>
      <c r="D7373" s="815">
        <v>0.6</v>
      </c>
      <c r="E7373" s="815"/>
      <c r="F7373" s="816" t="s">
        <v>16</v>
      </c>
      <c r="G7373" s="817" t="s">
        <v>76</v>
      </c>
      <c r="H7373" s="816" t="s">
        <v>2854</v>
      </c>
      <c r="I7373" s="816"/>
      <c r="J7373" s="818"/>
      <c r="K7373" s="1058"/>
      <c r="L7373" s="816" t="s">
        <v>28</v>
      </c>
      <c r="M7373" s="816">
        <v>600</v>
      </c>
      <c r="N7373" s="811">
        <v>0.41666666666666669</v>
      </c>
      <c r="O7373" s="897" t="s">
        <v>2967</v>
      </c>
    </row>
    <row r="7374" spans="1:16" ht="19.5" thickBot="1" x14ac:dyDescent="0.3">
      <c r="A7374" s="1060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x14ac:dyDescent="0.25">
      <c r="A7375" s="1073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/>
      <c r="F7375" s="527" t="s">
        <v>16</v>
      </c>
      <c r="G7375" s="1079" t="s">
        <v>2904</v>
      </c>
      <c r="H7375" s="527" t="s">
        <v>2854</v>
      </c>
      <c r="I7375" s="528"/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</row>
    <row r="7376" spans="1:16" x14ac:dyDescent="0.25">
      <c r="A7376" s="1078"/>
      <c r="B7376" s="523" t="s">
        <v>2818</v>
      </c>
      <c r="C7376" s="524" t="s">
        <v>839</v>
      </c>
      <c r="D7376" s="525">
        <v>2.2000000000000002</v>
      </c>
      <c r="E7376" s="526"/>
      <c r="F7376" s="527" t="s">
        <v>16</v>
      </c>
      <c r="G7376" s="1079"/>
      <c r="H7376" s="527" t="s">
        <v>2854</v>
      </c>
      <c r="I7376" s="528"/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</row>
    <row r="7377" spans="1:16" x14ac:dyDescent="0.25">
      <c r="A7377" s="1078"/>
      <c r="B7377" s="523" t="s">
        <v>2818</v>
      </c>
      <c r="C7377" s="524" t="s">
        <v>23</v>
      </c>
      <c r="D7377" s="525">
        <v>10.568</v>
      </c>
      <c r="E7377" s="526"/>
      <c r="F7377" s="527" t="s">
        <v>16</v>
      </c>
      <c r="G7377" s="1079"/>
      <c r="H7377" s="527" t="s">
        <v>2854</v>
      </c>
      <c r="I7377" s="528"/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>
        <v>6321541</v>
      </c>
    </row>
    <row r="7378" spans="1:16" x14ac:dyDescent="0.25">
      <c r="A7378" s="1078"/>
      <c r="B7378" s="944" t="s">
        <v>2854</v>
      </c>
      <c r="C7378" s="945" t="s">
        <v>23</v>
      </c>
      <c r="D7378" s="946">
        <v>0.81</v>
      </c>
      <c r="E7378" s="946"/>
      <c r="F7378" s="947" t="s">
        <v>16</v>
      </c>
      <c r="G7378" s="1079"/>
      <c r="H7378" s="947" t="s">
        <v>2854</v>
      </c>
      <c r="I7378" s="947"/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</row>
    <row r="7379" spans="1:16" ht="19.5" thickBot="1" x14ac:dyDescent="0.3">
      <c r="A7379" s="1074"/>
      <c r="B7379" s="1035" t="s">
        <v>2849</v>
      </c>
      <c r="C7379" s="1036" t="s">
        <v>840</v>
      </c>
      <c r="D7379" s="1037">
        <v>3.75</v>
      </c>
      <c r="E7379" s="1038"/>
      <c r="F7379" s="1039" t="s">
        <v>16</v>
      </c>
      <c r="G7379" s="1080"/>
      <c r="H7379" s="1039" t="s">
        <v>2890</v>
      </c>
      <c r="I7379" s="1040"/>
      <c r="J7379" s="1041"/>
      <c r="K7379" s="1035"/>
      <c r="L7379" s="1039" t="s">
        <v>266</v>
      </c>
      <c r="M7379" s="1039">
        <v>3755.04</v>
      </c>
      <c r="N7379" s="1042">
        <v>0.45833333333333331</v>
      </c>
      <c r="O7379" s="897" t="s">
        <v>2908</v>
      </c>
      <c r="P7379" s="867">
        <v>6321110</v>
      </c>
    </row>
    <row r="7380" spans="1:16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x14ac:dyDescent="0.25">
      <c r="A7381" s="1073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x14ac:dyDescent="0.25">
      <c r="A7382" s="1078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x14ac:dyDescent="0.25">
      <c r="A7383" s="1078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thickBot="1" x14ac:dyDescent="0.3">
      <c r="A7384" s="1078"/>
      <c r="B7384" s="1043" t="s">
        <v>2854</v>
      </c>
      <c r="C7384" s="793" t="s">
        <v>47</v>
      </c>
      <c r="D7384" s="794">
        <v>0.6</v>
      </c>
      <c r="E7384" s="794"/>
      <c r="F7384" s="795" t="s">
        <v>16</v>
      </c>
      <c r="G7384" s="796" t="s">
        <v>76</v>
      </c>
      <c r="H7384" s="795" t="s">
        <v>2854</v>
      </c>
      <c r="I7384" s="795"/>
      <c r="J7384" s="797"/>
      <c r="K7384" s="1043"/>
      <c r="L7384" s="795" t="s">
        <v>28</v>
      </c>
      <c r="M7384" s="795">
        <v>600</v>
      </c>
      <c r="N7384" s="502">
        <v>0.54166666666666663</v>
      </c>
      <c r="O7384" s="897" t="s">
        <v>2927</v>
      </c>
    </row>
    <row r="7385" spans="1:16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x14ac:dyDescent="0.25">
      <c r="A7386" s="1073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x14ac:dyDescent="0.25">
      <c r="A7387" s="1078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thickBot="1" x14ac:dyDescent="0.3">
      <c r="A7388" s="1074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x14ac:dyDescent="0.25">
      <c r="A7389" s="1070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/>
      <c r="F7389" s="535" t="s">
        <v>16</v>
      </c>
      <c r="G7389" s="536"/>
      <c r="H7389" s="535" t="s">
        <v>2890</v>
      </c>
      <c r="I7389" s="537"/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</row>
    <row r="7390" spans="1:16" x14ac:dyDescent="0.25">
      <c r="A7390" s="1072"/>
      <c r="B7390" s="563" t="s">
        <v>2844</v>
      </c>
      <c r="C7390" s="564" t="s">
        <v>20</v>
      </c>
      <c r="D7390" s="565">
        <v>3.7589999999999999</v>
      </c>
      <c r="E7390" s="566"/>
      <c r="F7390" s="567" t="s">
        <v>16</v>
      </c>
      <c r="G7390" s="568"/>
      <c r="H7390" s="567" t="s">
        <v>2890</v>
      </c>
      <c r="I7390" s="569"/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</row>
    <row r="7391" spans="1:16" ht="19.5" thickBot="1" x14ac:dyDescent="0.3">
      <c r="A7391" s="1071"/>
      <c r="B7391" s="832" t="s">
        <v>2909</v>
      </c>
      <c r="C7391" s="827" t="s">
        <v>24</v>
      </c>
      <c r="D7391" s="828">
        <v>0.8</v>
      </c>
      <c r="E7391" s="828"/>
      <c r="F7391" s="829" t="s">
        <v>16</v>
      </c>
      <c r="G7391" s="830" t="s">
        <v>76</v>
      </c>
      <c r="H7391" s="829" t="s">
        <v>2890</v>
      </c>
      <c r="I7391" s="829"/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2967</v>
      </c>
    </row>
    <row r="7392" spans="1:16" x14ac:dyDescent="0.25">
      <c r="A7392" s="1073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/>
      <c r="F7392" s="483" t="s">
        <v>16</v>
      </c>
      <c r="G7392" s="549"/>
      <c r="H7392" s="483" t="s">
        <v>2890</v>
      </c>
      <c r="I7392" s="484"/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>
        <v>6321478</v>
      </c>
    </row>
    <row r="7393" spans="1:16" ht="19.5" thickBot="1" x14ac:dyDescent="0.3">
      <c r="A7393" s="1074"/>
      <c r="B7393" s="645" t="s">
        <v>2844</v>
      </c>
      <c r="C7393" s="646" t="s">
        <v>15</v>
      </c>
      <c r="D7393" s="647">
        <v>5.3390000000000004</v>
      </c>
      <c r="E7393" s="648"/>
      <c r="F7393" s="649" t="s">
        <v>16</v>
      </c>
      <c r="G7393" s="650"/>
      <c r="H7393" s="649" t="s">
        <v>2890</v>
      </c>
      <c r="I7393" s="651"/>
      <c r="J7393" s="652"/>
      <c r="K7393" s="645"/>
      <c r="L7393" s="649" t="s">
        <v>28</v>
      </c>
      <c r="M7393" s="649">
        <v>5486.38</v>
      </c>
      <c r="N7393" s="653">
        <v>0.45833333333333331</v>
      </c>
      <c r="O7393" s="897" t="s">
        <v>2896</v>
      </c>
    </row>
    <row r="7394" spans="1:16" ht="19.5" thickBot="1" x14ac:dyDescent="0.3">
      <c r="A7394" s="551">
        <f>MAX(A7182:A7393)+1</f>
        <v>4519</v>
      </c>
      <c r="B7394" s="552" t="s">
        <v>2844</v>
      </c>
      <c r="C7394" s="553" t="s">
        <v>23</v>
      </c>
      <c r="D7394" s="554">
        <v>17.504999999999999</v>
      </c>
      <c r="E7394" s="555">
        <v>17.408999999999999</v>
      </c>
      <c r="F7394" s="556" t="s">
        <v>16</v>
      </c>
      <c r="G7394" s="557"/>
      <c r="H7394" s="556" t="s">
        <v>2890</v>
      </c>
      <c r="I7394" s="558" t="s">
        <v>2905</v>
      </c>
      <c r="J7394" s="559"/>
      <c r="K7394" s="552"/>
      <c r="L7394" s="556" t="s">
        <v>28</v>
      </c>
      <c r="M7394" s="556">
        <v>17596.78</v>
      </c>
      <c r="N7394" s="560">
        <v>0.5</v>
      </c>
      <c r="O7394" s="897" t="s">
        <v>2897</v>
      </c>
      <c r="P7394" s="867" t="s">
        <v>2965</v>
      </c>
    </row>
    <row r="7395" spans="1:16" ht="19.5" thickBot="1" x14ac:dyDescent="0.3">
      <c r="A7395" s="1054">
        <f>MAX(A7183:A7394)+1</f>
        <v>4520</v>
      </c>
      <c r="B7395" s="1055" t="s">
        <v>2849</v>
      </c>
      <c r="C7395" s="515" t="s">
        <v>26</v>
      </c>
      <c r="D7395" s="516">
        <v>14.704000000000001</v>
      </c>
      <c r="E7395" s="517">
        <v>14.704000000000001</v>
      </c>
      <c r="F7395" s="518" t="s">
        <v>30</v>
      </c>
      <c r="G7395" s="519"/>
      <c r="H7395" s="518" t="s">
        <v>2905</v>
      </c>
      <c r="I7395" s="520" t="s">
        <v>2905</v>
      </c>
      <c r="J7395" s="521"/>
      <c r="K7395" s="514"/>
      <c r="L7395" s="518" t="s">
        <v>265</v>
      </c>
      <c r="M7395" s="518">
        <v>14704.919999999998</v>
      </c>
      <c r="N7395" s="522">
        <v>4.1666666666666664E-2</v>
      </c>
      <c r="O7395" s="897" t="s">
        <v>2906</v>
      </c>
      <c r="P7395" s="867" t="s">
        <v>2960</v>
      </c>
    </row>
    <row r="7396" spans="1:16" x14ac:dyDescent="0.25">
      <c r="A7396" s="1059">
        <f>MAX(A7184:A7395)+1</f>
        <v>4521</v>
      </c>
      <c r="B7396" s="760" t="s">
        <v>2849</v>
      </c>
      <c r="C7396" s="564" t="s">
        <v>26</v>
      </c>
      <c r="D7396" s="565">
        <v>17.597000000000001</v>
      </c>
      <c r="E7396" s="566"/>
      <c r="F7396" s="567" t="s">
        <v>16</v>
      </c>
      <c r="G7396" s="568"/>
      <c r="H7396" s="567" t="s">
        <v>2905</v>
      </c>
      <c r="I7396" s="569"/>
      <c r="J7396" s="570"/>
      <c r="K7396" s="563"/>
      <c r="L7396" s="567" t="s">
        <v>265</v>
      </c>
      <c r="M7396" s="567">
        <v>17766.599999999999</v>
      </c>
      <c r="N7396" s="571">
        <v>4.1666666666666664E-2</v>
      </c>
      <c r="O7396" s="897" t="s">
        <v>2915</v>
      </c>
      <c r="P7396" s="867">
        <v>6321423</v>
      </c>
    </row>
    <row r="7397" spans="1:16" x14ac:dyDescent="0.25">
      <c r="A7397" s="1059"/>
      <c r="B7397" s="852" t="s">
        <v>2909</v>
      </c>
      <c r="C7397" s="837" t="s">
        <v>26</v>
      </c>
      <c r="D7397" s="838">
        <v>1.2</v>
      </c>
      <c r="E7397" s="838"/>
      <c r="F7397" s="839" t="s">
        <v>16</v>
      </c>
      <c r="G7397" s="850" t="s">
        <v>76</v>
      </c>
      <c r="H7397" s="839" t="s">
        <v>2909</v>
      </c>
      <c r="I7397" s="839"/>
      <c r="J7397" s="840"/>
      <c r="K7397" s="836"/>
      <c r="L7397" s="839" t="s">
        <v>265</v>
      </c>
      <c r="M7397" s="839">
        <v>1230</v>
      </c>
      <c r="N7397" s="598">
        <v>4.1666666666666664E-2</v>
      </c>
      <c r="O7397" s="897" t="s">
        <v>2966</v>
      </c>
    </row>
    <row r="7398" spans="1:16" ht="19.5" thickBot="1" x14ac:dyDescent="0.3">
      <c r="A7398" s="1060"/>
      <c r="B7398" s="798" t="s">
        <v>2905</v>
      </c>
      <c r="C7398" s="799" t="s">
        <v>26</v>
      </c>
      <c r="D7398" s="800">
        <v>1.1499999999999999</v>
      </c>
      <c r="E7398" s="800">
        <v>0.82599999999999996</v>
      </c>
      <c r="F7398" s="801" t="s">
        <v>16</v>
      </c>
      <c r="G7398" s="802" t="s">
        <v>76</v>
      </c>
      <c r="H7398" s="801" t="s">
        <v>2905</v>
      </c>
      <c r="I7398" s="801" t="s">
        <v>2905</v>
      </c>
      <c r="J7398" s="803"/>
      <c r="K7398" s="848"/>
      <c r="L7398" s="801" t="s">
        <v>265</v>
      </c>
      <c r="M7398" s="801">
        <v>1185</v>
      </c>
      <c r="N7398" s="804">
        <v>4.1666666666666664E-2</v>
      </c>
      <c r="O7398" s="897" t="s">
        <v>2952</v>
      </c>
      <c r="P7398" s="867" t="s">
        <v>2955</v>
      </c>
    </row>
    <row r="7399" spans="1:16" ht="38.25" thickBot="1" x14ac:dyDescent="0.3">
      <c r="A7399" s="513">
        <f>MAX(A7185:A7396)+1</f>
        <v>4522</v>
      </c>
      <c r="B7399" s="514" t="s">
        <v>2849</v>
      </c>
      <c r="C7399" s="515" t="s">
        <v>47</v>
      </c>
      <c r="D7399" s="516">
        <v>17.055</v>
      </c>
      <c r="E7399" s="517"/>
      <c r="F7399" s="518" t="s">
        <v>16</v>
      </c>
      <c r="G7399" s="519" t="s">
        <v>1634</v>
      </c>
      <c r="H7399" s="518" t="s">
        <v>2905</v>
      </c>
      <c r="I7399" s="520"/>
      <c r="J7399" s="521"/>
      <c r="K7399" s="514"/>
      <c r="L7399" s="518" t="s">
        <v>28</v>
      </c>
      <c r="M7399" s="518">
        <v>17258.82</v>
      </c>
      <c r="N7399" s="522">
        <v>0.41666666666666669</v>
      </c>
      <c r="O7399" s="897" t="s">
        <v>2916</v>
      </c>
      <c r="P7399" s="867">
        <v>6321445</v>
      </c>
    </row>
    <row r="7400" spans="1:16" ht="38.25" thickBot="1" x14ac:dyDescent="0.3">
      <c r="A7400" s="503">
        <f>MAX(A7186:A7399)+1</f>
        <v>4523</v>
      </c>
      <c r="B7400" s="504" t="s">
        <v>2849</v>
      </c>
      <c r="C7400" s="505" t="s">
        <v>23</v>
      </c>
      <c r="D7400" s="506">
        <v>16.55</v>
      </c>
      <c r="E7400" s="507"/>
      <c r="F7400" s="508" t="s">
        <v>16</v>
      </c>
      <c r="G7400" s="509" t="s">
        <v>1633</v>
      </c>
      <c r="H7400" s="508" t="s">
        <v>2905</v>
      </c>
      <c r="I7400" s="510"/>
      <c r="J7400" s="511"/>
      <c r="K7400" s="504"/>
      <c r="L7400" s="508" t="s">
        <v>28</v>
      </c>
      <c r="M7400" s="508">
        <v>16703.240000000002</v>
      </c>
      <c r="N7400" s="512">
        <v>0.45833333333333331</v>
      </c>
      <c r="O7400" s="897" t="s">
        <v>2917</v>
      </c>
      <c r="P7400" s="867">
        <v>6321496</v>
      </c>
    </row>
    <row r="7401" spans="1:16" x14ac:dyDescent="0.25">
      <c r="A7401" s="1073">
        <f>MAX(A7187:A7400)+1</f>
        <v>4524</v>
      </c>
      <c r="B7401" s="479" t="s">
        <v>2849</v>
      </c>
      <c r="C7401" s="480" t="s">
        <v>587</v>
      </c>
      <c r="D7401" s="481">
        <v>11.419</v>
      </c>
      <c r="E7401" s="482">
        <v>11.419</v>
      </c>
      <c r="F7401" s="483" t="s">
        <v>30</v>
      </c>
      <c r="G7401" s="549"/>
      <c r="H7401" s="483" t="s">
        <v>2905</v>
      </c>
      <c r="I7401" s="484" t="s">
        <v>2909</v>
      </c>
      <c r="J7401" s="485"/>
      <c r="K7401" s="479"/>
      <c r="L7401" s="483" t="s">
        <v>28</v>
      </c>
      <c r="M7401" s="483">
        <v>11419.76</v>
      </c>
      <c r="N7401" s="486">
        <v>0.41666666666666669</v>
      </c>
      <c r="O7401" s="897" t="s">
        <v>2913</v>
      </c>
      <c r="P7401" s="867" t="s">
        <v>2957</v>
      </c>
    </row>
    <row r="7402" spans="1:16" ht="19.5" thickBot="1" x14ac:dyDescent="0.3">
      <c r="A7402" s="1074"/>
      <c r="B7402" s="645" t="s">
        <v>2849</v>
      </c>
      <c r="C7402" s="646" t="s">
        <v>23</v>
      </c>
      <c r="D7402" s="647">
        <v>1.982</v>
      </c>
      <c r="E7402" s="648">
        <v>1.982</v>
      </c>
      <c r="F7402" s="649" t="s">
        <v>30</v>
      </c>
      <c r="G7402" s="650"/>
      <c r="H7402" s="649" t="s">
        <v>2905</v>
      </c>
      <c r="I7402" s="651" t="s">
        <v>2909</v>
      </c>
      <c r="J7402" s="652"/>
      <c r="K7402" s="645"/>
      <c r="L7402" s="649" t="s">
        <v>28</v>
      </c>
      <c r="M7402" s="649">
        <v>1982.72</v>
      </c>
      <c r="N7402" s="653">
        <v>0.41666666666666669</v>
      </c>
      <c r="O7402" s="897" t="s">
        <v>2911</v>
      </c>
      <c r="P7402" s="867" t="s">
        <v>2958</v>
      </c>
    </row>
    <row r="7403" spans="1:16" x14ac:dyDescent="0.25">
      <c r="A7403" s="1059">
        <f>MAX(A7189:A7402)+1</f>
        <v>4525</v>
      </c>
      <c r="B7403" s="760" t="s">
        <v>2849</v>
      </c>
      <c r="C7403" s="564" t="s">
        <v>26</v>
      </c>
      <c r="D7403" s="565">
        <v>17.548999999999999</v>
      </c>
      <c r="E7403" s="566"/>
      <c r="F7403" s="567" t="s">
        <v>16</v>
      </c>
      <c r="G7403" s="568"/>
      <c r="H7403" s="567" t="s">
        <v>2909</v>
      </c>
      <c r="I7403" s="569"/>
      <c r="J7403" s="570"/>
      <c r="K7403" s="563"/>
      <c r="L7403" s="567" t="s">
        <v>265</v>
      </c>
      <c r="M7403" s="567">
        <v>17744.580000000002</v>
      </c>
      <c r="N7403" s="571">
        <v>4.1666666666666664E-2</v>
      </c>
      <c r="O7403" s="897" t="s">
        <v>2918</v>
      </c>
      <c r="P7403" s="867">
        <v>6321564</v>
      </c>
    </row>
    <row r="7404" spans="1:16" ht="19.5" thickBot="1" x14ac:dyDescent="0.3">
      <c r="A7404" s="1060"/>
      <c r="B7404" s="798" t="s">
        <v>2909</v>
      </c>
      <c r="C7404" s="799" t="s">
        <v>26</v>
      </c>
      <c r="D7404" s="800">
        <v>0.5</v>
      </c>
      <c r="E7404" s="800"/>
      <c r="F7404" s="801" t="s">
        <v>16</v>
      </c>
      <c r="G7404" s="802" t="s">
        <v>76</v>
      </c>
      <c r="H7404" s="801" t="s">
        <v>2909</v>
      </c>
      <c r="I7404" s="801"/>
      <c r="J7404" s="803"/>
      <c r="K7404" s="848"/>
      <c r="L7404" s="801" t="s">
        <v>265</v>
      </c>
      <c r="M7404" s="801">
        <v>525</v>
      </c>
      <c r="N7404" s="804">
        <v>4.1666666666666664E-2</v>
      </c>
      <c r="O7404" s="897" t="s">
        <v>2967</v>
      </c>
    </row>
    <row r="7405" spans="1:16" x14ac:dyDescent="0.25">
      <c r="A7405" s="1073">
        <f>MAX(A7190:A7403)+1</f>
        <v>4526</v>
      </c>
      <c r="B7405" s="479" t="s">
        <v>2849</v>
      </c>
      <c r="C7405" s="480" t="s">
        <v>15</v>
      </c>
      <c r="D7405" s="481">
        <v>10.916</v>
      </c>
      <c r="E7405" s="482"/>
      <c r="F7405" s="483" t="s">
        <v>16</v>
      </c>
      <c r="G7405" s="1082" t="s">
        <v>2910</v>
      </c>
      <c r="H7405" s="483" t="s">
        <v>2909</v>
      </c>
      <c r="I7405" s="484"/>
      <c r="J7405" s="485"/>
      <c r="K7405" s="479"/>
      <c r="L7405" s="483" t="s">
        <v>28</v>
      </c>
      <c r="M7405" s="483">
        <v>11063.15</v>
      </c>
      <c r="N7405" s="486">
        <v>0.41666666666666669</v>
      </c>
      <c r="O7405" s="897" t="s">
        <v>2919</v>
      </c>
      <c r="P7405" s="867">
        <v>6321571</v>
      </c>
    </row>
    <row r="7406" spans="1:16" ht="19.5" thickBot="1" x14ac:dyDescent="0.3">
      <c r="A7406" s="1074"/>
      <c r="B7406" s="645" t="s">
        <v>2849</v>
      </c>
      <c r="C7406" s="646" t="s">
        <v>20</v>
      </c>
      <c r="D7406" s="647">
        <v>4.0220000000000002</v>
      </c>
      <c r="E7406" s="648"/>
      <c r="F7406" s="649" t="s">
        <v>16</v>
      </c>
      <c r="G7406" s="1083"/>
      <c r="H7406" s="649" t="s">
        <v>2909</v>
      </c>
      <c r="I7406" s="651"/>
      <c r="J7406" s="652"/>
      <c r="K7406" s="645"/>
      <c r="L7406" s="649" t="s">
        <v>28</v>
      </c>
      <c r="M7406" s="649">
        <v>4115.1400000000003</v>
      </c>
      <c r="N7406" s="653">
        <v>0.41666666666666669</v>
      </c>
      <c r="O7406" s="897" t="s">
        <v>2920</v>
      </c>
      <c r="P7406" s="867">
        <v>6321570</v>
      </c>
    </row>
    <row r="7407" spans="1:16" ht="38.25" thickBot="1" x14ac:dyDescent="0.3">
      <c r="A7407" s="503">
        <f>MAX(A7192:A7406)+1</f>
        <v>4527</v>
      </c>
      <c r="B7407" s="504" t="s">
        <v>2849</v>
      </c>
      <c r="C7407" s="505" t="s">
        <v>24</v>
      </c>
      <c r="D7407" s="506">
        <v>16.771000000000001</v>
      </c>
      <c r="E7407" s="507"/>
      <c r="F7407" s="508" t="s">
        <v>16</v>
      </c>
      <c r="G7407" s="509" t="s">
        <v>1633</v>
      </c>
      <c r="H7407" s="508" t="s">
        <v>2909</v>
      </c>
      <c r="I7407" s="510"/>
      <c r="J7407" s="511"/>
      <c r="K7407" s="504"/>
      <c r="L7407" s="508" t="s">
        <v>28</v>
      </c>
      <c r="M7407" s="508">
        <v>16905.98</v>
      </c>
      <c r="N7407" s="512">
        <v>0.45833333333333331</v>
      </c>
      <c r="O7407" s="897" t="s">
        <v>2921</v>
      </c>
      <c r="P7407" s="867">
        <v>6321609</v>
      </c>
    </row>
    <row r="7408" spans="1:16" ht="19.5" thickBot="1" x14ac:dyDescent="0.3">
      <c r="A7408" s="513">
        <f>MAX(A7193:A7407)+1</f>
        <v>4528</v>
      </c>
      <c r="B7408" s="514" t="s">
        <v>2849</v>
      </c>
      <c r="C7408" s="515" t="s">
        <v>25</v>
      </c>
      <c r="D7408" s="516">
        <v>18.077000000000002</v>
      </c>
      <c r="E7408" s="517"/>
      <c r="F7408" s="518" t="s">
        <v>16</v>
      </c>
      <c r="G7408" s="519"/>
      <c r="H7408" s="518" t="s">
        <v>2909</v>
      </c>
      <c r="I7408" s="520"/>
      <c r="J7408" s="521"/>
      <c r="K7408" s="514"/>
      <c r="L7408" s="518" t="s">
        <v>265</v>
      </c>
      <c r="M7408" s="518">
        <v>18187.610000000004</v>
      </c>
      <c r="N7408" s="522">
        <v>0.5</v>
      </c>
      <c r="O7408" s="897" t="s">
        <v>2922</v>
      </c>
      <c r="P7408" s="867">
        <v>6321612</v>
      </c>
    </row>
    <row r="7409" spans="1:16" x14ac:dyDescent="0.25">
      <c r="A7409" s="1070">
        <f>MAX(A7194:A7408)+1</f>
        <v>4529</v>
      </c>
      <c r="B7409" s="531" t="s">
        <v>2849</v>
      </c>
      <c r="C7409" s="532" t="s">
        <v>320</v>
      </c>
      <c r="D7409" s="533">
        <v>2.75</v>
      </c>
      <c r="E7409" s="534"/>
      <c r="F7409" s="535" t="s">
        <v>30</v>
      </c>
      <c r="G7409" s="536"/>
      <c r="H7409" s="535" t="s">
        <v>2909</v>
      </c>
      <c r="I7409" s="537"/>
      <c r="J7409" s="538"/>
      <c r="K7409" s="531"/>
      <c r="L7409" s="535" t="s">
        <v>266</v>
      </c>
      <c r="M7409" s="535">
        <v>2750.16</v>
      </c>
      <c r="N7409" s="539">
        <v>0.41666666666666669</v>
      </c>
      <c r="O7409" s="897" t="s">
        <v>2912</v>
      </c>
      <c r="P7409" s="867">
        <v>6321408</v>
      </c>
    </row>
    <row r="7410" spans="1:16" ht="19.5" thickBot="1" x14ac:dyDescent="0.3">
      <c r="A7410" s="1071"/>
      <c r="B7410" s="636" t="s">
        <v>2849</v>
      </c>
      <c r="C7410" s="637" t="s">
        <v>47</v>
      </c>
      <c r="D7410" s="638">
        <v>9.5500000000000007</v>
      </c>
      <c r="E7410" s="639"/>
      <c r="F7410" s="640" t="s">
        <v>30</v>
      </c>
      <c r="G7410" s="641"/>
      <c r="H7410" s="640" t="s">
        <v>2909</v>
      </c>
      <c r="I7410" s="642"/>
      <c r="J7410" s="643"/>
      <c r="K7410" s="636"/>
      <c r="L7410" s="640" t="s">
        <v>28</v>
      </c>
      <c r="M7410" s="640">
        <v>9550.6400000000012</v>
      </c>
      <c r="N7410" s="644">
        <v>0.41666666666666669</v>
      </c>
      <c r="O7410" s="897" t="s">
        <v>2914</v>
      </c>
    </row>
    <row r="7411" spans="1:16" x14ac:dyDescent="0.25">
      <c r="A7411" s="676">
        <f t="shared" ref="A7411:A7428" si="227">MAX(A7196:A7410)+1</f>
        <v>4530</v>
      </c>
      <c r="B7411" s="676"/>
      <c r="C7411" s="473"/>
      <c r="D7411" s="474"/>
      <c r="E7411" s="475"/>
      <c r="F7411" s="676"/>
      <c r="G7411" s="476"/>
      <c r="H7411" s="676"/>
      <c r="I7411" s="477"/>
      <c r="J7411" s="478"/>
      <c r="K7411" s="676"/>
      <c r="L7411" s="676"/>
      <c r="M7411" s="676"/>
      <c r="N7411" s="676"/>
    </row>
    <row r="7412" spans="1:16" x14ac:dyDescent="0.25">
      <c r="A7412" s="676">
        <f t="shared" si="227"/>
        <v>4531</v>
      </c>
      <c r="B7412" s="676"/>
      <c r="C7412" s="473"/>
      <c r="D7412" s="474"/>
      <c r="E7412" s="475"/>
      <c r="F7412" s="676"/>
      <c r="G7412" s="476"/>
      <c r="H7412" s="676"/>
      <c r="I7412" s="477"/>
      <c r="J7412" s="478"/>
      <c r="K7412" s="676"/>
      <c r="L7412" s="676"/>
      <c r="M7412" s="676"/>
      <c r="N7412" s="676"/>
    </row>
    <row r="7413" spans="1:16" x14ac:dyDescent="0.25">
      <c r="A7413" s="676">
        <f t="shared" si="227"/>
        <v>4532</v>
      </c>
      <c r="B7413" s="676"/>
      <c r="C7413" s="473"/>
      <c r="D7413" s="474"/>
      <c r="E7413" s="475"/>
      <c r="F7413" s="676"/>
      <c r="G7413" s="476"/>
      <c r="H7413" s="676"/>
      <c r="I7413" s="477"/>
      <c r="J7413" s="478"/>
      <c r="K7413" s="676"/>
      <c r="L7413" s="676"/>
      <c r="M7413" s="676"/>
      <c r="N7413" s="676"/>
    </row>
    <row r="7414" spans="1:16" x14ac:dyDescent="0.25">
      <c r="A7414" s="676">
        <f t="shared" si="227"/>
        <v>4533</v>
      </c>
      <c r="B7414" s="676"/>
      <c r="C7414" s="473"/>
      <c r="D7414" s="474"/>
      <c r="E7414" s="475"/>
      <c r="F7414" s="676"/>
      <c r="G7414" s="476"/>
      <c r="H7414" s="676"/>
      <c r="I7414" s="477"/>
      <c r="J7414" s="478"/>
      <c r="K7414" s="676"/>
      <c r="L7414" s="676"/>
      <c r="M7414" s="676"/>
      <c r="N7414" s="676"/>
    </row>
    <row r="7415" spans="1:16" x14ac:dyDescent="0.25">
      <c r="A7415" s="676">
        <f t="shared" si="227"/>
        <v>4534</v>
      </c>
      <c r="B7415" s="676"/>
      <c r="C7415" s="473"/>
      <c r="D7415" s="474"/>
      <c r="E7415" s="475"/>
      <c r="F7415" s="676"/>
      <c r="G7415" s="476"/>
      <c r="H7415" s="676"/>
      <c r="I7415" s="477"/>
      <c r="J7415" s="478"/>
      <c r="K7415" s="676"/>
      <c r="L7415" s="676"/>
      <c r="M7415" s="676"/>
      <c r="N7415" s="676"/>
    </row>
    <row r="7416" spans="1:16" x14ac:dyDescent="0.25">
      <c r="A7416" s="676">
        <f t="shared" si="227"/>
        <v>4535</v>
      </c>
      <c r="B7416" s="676"/>
      <c r="C7416" s="473"/>
      <c r="D7416" s="474"/>
      <c r="E7416" s="475"/>
      <c r="F7416" s="676"/>
      <c r="G7416" s="476"/>
      <c r="H7416" s="676"/>
      <c r="I7416" s="477"/>
      <c r="J7416" s="478"/>
      <c r="K7416" s="676"/>
      <c r="L7416" s="676"/>
      <c r="M7416" s="676"/>
      <c r="N7416" s="676"/>
    </row>
    <row r="7417" spans="1:16" x14ac:dyDescent="0.25">
      <c r="A7417" s="676">
        <f t="shared" si="227"/>
        <v>4536</v>
      </c>
      <c r="B7417" s="676"/>
      <c r="C7417" s="473"/>
      <c r="D7417" s="474"/>
      <c r="E7417" s="475"/>
      <c r="F7417" s="676"/>
      <c r="G7417" s="476"/>
      <c r="H7417" s="676"/>
      <c r="I7417" s="477"/>
      <c r="J7417" s="478"/>
      <c r="K7417" s="676"/>
      <c r="L7417" s="676"/>
      <c r="M7417" s="676"/>
      <c r="N7417" s="676"/>
    </row>
    <row r="7418" spans="1:16" x14ac:dyDescent="0.25">
      <c r="A7418" s="676">
        <f t="shared" si="227"/>
        <v>4537</v>
      </c>
      <c r="B7418" s="676"/>
      <c r="C7418" s="473"/>
      <c r="D7418" s="474"/>
      <c r="E7418" s="475"/>
      <c r="F7418" s="676"/>
      <c r="G7418" s="476"/>
      <c r="H7418" s="676"/>
      <c r="I7418" s="477"/>
      <c r="J7418" s="478"/>
      <c r="K7418" s="676"/>
      <c r="L7418" s="676"/>
      <c r="M7418" s="676"/>
      <c r="N7418" s="676"/>
    </row>
    <row r="7419" spans="1:16" x14ac:dyDescent="0.25">
      <c r="A7419" s="676">
        <f t="shared" si="227"/>
        <v>4538</v>
      </c>
      <c r="B7419" s="676"/>
      <c r="C7419" s="473"/>
      <c r="D7419" s="474"/>
      <c r="E7419" s="475"/>
      <c r="F7419" s="676"/>
      <c r="G7419" s="476"/>
      <c r="H7419" s="676"/>
      <c r="I7419" s="477"/>
      <c r="J7419" s="478"/>
      <c r="K7419" s="676"/>
      <c r="L7419" s="676"/>
      <c r="M7419" s="676"/>
      <c r="N7419" s="676"/>
    </row>
    <row r="7420" spans="1:16" x14ac:dyDescent="0.25">
      <c r="A7420" s="676">
        <f t="shared" si="227"/>
        <v>4539</v>
      </c>
      <c r="B7420" s="676"/>
      <c r="C7420" s="473"/>
      <c r="D7420" s="474"/>
      <c r="E7420" s="475"/>
      <c r="F7420" s="676"/>
      <c r="G7420" s="476"/>
      <c r="H7420" s="676"/>
      <c r="I7420" s="477"/>
      <c r="J7420" s="478"/>
      <c r="K7420" s="676"/>
      <c r="L7420" s="676"/>
      <c r="M7420" s="676"/>
      <c r="N7420" s="676"/>
    </row>
    <row r="7421" spans="1:16" x14ac:dyDescent="0.25">
      <c r="A7421" s="676">
        <f t="shared" si="227"/>
        <v>4540</v>
      </c>
      <c r="B7421" s="676"/>
      <c r="C7421" s="473"/>
      <c r="D7421" s="474"/>
      <c r="E7421" s="475"/>
      <c r="F7421" s="676"/>
      <c r="G7421" s="476"/>
      <c r="H7421" s="676"/>
      <c r="I7421" s="477"/>
      <c r="J7421" s="478"/>
      <c r="K7421" s="676"/>
      <c r="L7421" s="676"/>
      <c r="M7421" s="676"/>
      <c r="N7421" s="676"/>
    </row>
    <row r="7422" spans="1:16" x14ac:dyDescent="0.25">
      <c r="A7422" s="676">
        <f t="shared" si="227"/>
        <v>4541</v>
      </c>
      <c r="B7422" s="676"/>
      <c r="C7422" s="473"/>
      <c r="D7422" s="474"/>
      <c r="E7422" s="475"/>
      <c r="F7422" s="676"/>
      <c r="G7422" s="476"/>
      <c r="H7422" s="676"/>
      <c r="I7422" s="477"/>
      <c r="J7422" s="478"/>
      <c r="K7422" s="676"/>
      <c r="L7422" s="676"/>
      <c r="M7422" s="676"/>
      <c r="N7422" s="676"/>
    </row>
    <row r="7423" spans="1:16" x14ac:dyDescent="0.25">
      <c r="A7423" s="676">
        <f t="shared" si="227"/>
        <v>4542</v>
      </c>
      <c r="B7423" s="676"/>
      <c r="C7423" s="473"/>
      <c r="D7423" s="474"/>
      <c r="E7423" s="475"/>
      <c r="F7423" s="676"/>
      <c r="G7423" s="476"/>
      <c r="H7423" s="676"/>
      <c r="I7423" s="477"/>
      <c r="J7423" s="478"/>
      <c r="K7423" s="676"/>
      <c r="L7423" s="676"/>
      <c r="M7423" s="676"/>
      <c r="N7423" s="676"/>
    </row>
    <row r="7424" spans="1:16" x14ac:dyDescent="0.25">
      <c r="A7424" s="676">
        <f t="shared" si="227"/>
        <v>4543</v>
      </c>
      <c r="B7424" s="676"/>
      <c r="C7424" s="473"/>
      <c r="D7424" s="474"/>
      <c r="E7424" s="475"/>
      <c r="F7424" s="676"/>
      <c r="G7424" s="476"/>
      <c r="H7424" s="676"/>
      <c r="I7424" s="477"/>
      <c r="J7424" s="478"/>
      <c r="K7424" s="676"/>
      <c r="L7424" s="676"/>
      <c r="M7424" s="676"/>
      <c r="N7424" s="676"/>
    </row>
    <row r="7425" spans="1:14" x14ac:dyDescent="0.25">
      <c r="A7425" s="676">
        <f t="shared" si="227"/>
        <v>4544</v>
      </c>
      <c r="B7425" s="676"/>
      <c r="C7425" s="473"/>
      <c r="D7425" s="474"/>
      <c r="E7425" s="475"/>
      <c r="F7425" s="676"/>
      <c r="G7425" s="476"/>
      <c r="H7425" s="676"/>
      <c r="I7425" s="477"/>
      <c r="J7425" s="478"/>
      <c r="K7425" s="676"/>
      <c r="L7425" s="676"/>
      <c r="M7425" s="676"/>
      <c r="N7425" s="676"/>
    </row>
    <row r="7426" spans="1:14" x14ac:dyDescent="0.25">
      <c r="A7426" s="676">
        <f t="shared" si="227"/>
        <v>4545</v>
      </c>
      <c r="B7426" s="676"/>
      <c r="C7426" s="473"/>
      <c r="D7426" s="474"/>
      <c r="E7426" s="475"/>
      <c r="F7426" s="676"/>
      <c r="G7426" s="476"/>
      <c r="H7426" s="676"/>
      <c r="I7426" s="477"/>
      <c r="J7426" s="478"/>
      <c r="K7426" s="676"/>
      <c r="L7426" s="676"/>
      <c r="M7426" s="676"/>
      <c r="N7426" s="676"/>
    </row>
    <row r="7427" spans="1:14" x14ac:dyDescent="0.25">
      <c r="A7427" s="676">
        <f t="shared" si="227"/>
        <v>4546</v>
      </c>
      <c r="B7427" s="676"/>
      <c r="C7427" s="473"/>
      <c r="D7427" s="474"/>
      <c r="E7427" s="475"/>
      <c r="F7427" s="676"/>
      <c r="G7427" s="476"/>
      <c r="H7427" s="676"/>
      <c r="I7427" s="477"/>
      <c r="J7427" s="478"/>
      <c r="K7427" s="676"/>
      <c r="L7427" s="676"/>
      <c r="M7427" s="676"/>
      <c r="N7427" s="676"/>
    </row>
    <row r="7428" spans="1:14" x14ac:dyDescent="0.25">
      <c r="A7428" s="676">
        <f t="shared" si="227"/>
        <v>4547</v>
      </c>
      <c r="B7428" s="676"/>
      <c r="C7428" s="473"/>
      <c r="D7428" s="474"/>
      <c r="E7428" s="475"/>
      <c r="F7428" s="676"/>
      <c r="G7428" s="476"/>
      <c r="H7428" s="676"/>
      <c r="I7428" s="477"/>
      <c r="J7428" s="478"/>
      <c r="K7428" s="676"/>
      <c r="L7428" s="676"/>
      <c r="M7428" s="676"/>
      <c r="N7428" s="676"/>
    </row>
  </sheetData>
  <autoFilter ref="A2:R7428" xr:uid="{9E4C531E-AD50-422A-AC7C-8C5AF4C19268}">
    <filterColumn colId="10">
      <filters blank="1"/>
    </filterColumn>
  </autoFilter>
  <mergeCells count="1972">
    <mergeCell ref="A7403:A7404"/>
    <mergeCell ref="A7409:A7410"/>
    <mergeCell ref="A7370:A7374"/>
    <mergeCell ref="A7375:A7379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3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401:A7402"/>
    <mergeCell ref="A7405:A7406"/>
    <mergeCell ref="G7405:G7406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65:A736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7396:A7398"/>
    <mergeCell ref="A7346:A7347"/>
    <mergeCell ref="G7346:G7347"/>
    <mergeCell ref="A7367:A736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2026-09-29T09:35:27Z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