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0FB6D57-E729-4B6C-B70F-1D0985A6C2F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Лист1!$A$2:$N$5602</definedName>
    <definedName name="_xlnm.Print_Area" localSheetId="0">Лист1!$A$1:$J$5689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/>
  <c r="A5597" i="1" s="1"/>
  <c r="A5595" i="1"/>
  <c r="A5598" i="1" l="1"/>
  <c r="A5599" i="1" s="1"/>
  <c r="A5601" i="1" s="1"/>
  <c r="A5602" i="1" l="1"/>
  <c r="A5604" i="1" s="1"/>
  <c r="A5605" i="1" l="1"/>
  <c r="A5606" i="1"/>
  <c r="A5607" i="1" s="1"/>
  <c r="A5608" i="1" l="1"/>
  <c r="A5609" i="1" s="1"/>
  <c r="A5610" i="1" s="1"/>
  <c r="A5611" i="1" l="1"/>
  <c r="A5612" i="1" s="1"/>
  <c r="A5613" i="1" l="1"/>
  <c r="A5614" i="1" s="1"/>
  <c r="A5615" i="1" s="1"/>
  <c r="A5616" i="1" s="1"/>
  <c r="A5617" i="1" s="1"/>
  <c r="A5618" i="1" s="1"/>
  <c r="A5619" i="1" s="1"/>
  <c r="A5620" i="1" s="1"/>
</calcChain>
</file>

<file path=xl/sharedStrings.xml><?xml version="1.0" encoding="utf-8"?>
<sst xmlns="http://schemas.openxmlformats.org/spreadsheetml/2006/main" count="34299" uniqueCount="1230">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</sst>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5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620"/>
  <sheetViews>
    <sheetView tabSelected="1" zoomScale="85" zoomScaleNormal="85" workbookViewId="0">
      <pane ySplit="2" topLeftCell="A5574" activePane="bottomLeft" state="frozen"/>
      <selection pane="bottomLeft" activeCell="E5582" sqref="E558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0" t="s">
        <v>0</v>
      </c>
      <c r="B1" s="730"/>
      <c r="C1" s="730"/>
      <c r="D1" s="730"/>
      <c r="E1" s="730"/>
      <c r="F1" s="730"/>
      <c r="G1" s="730"/>
      <c r="H1" s="730"/>
      <c r="I1" s="730"/>
      <c r="J1" s="730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1">
        <v>1</v>
      </c>
      <c r="B3" s="73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1"/>
      <c r="B4" s="73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29">
        <v>3</v>
      </c>
      <c r="B6" s="72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29"/>
      <c r="B7" s="72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29"/>
      <c r="B8" s="72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29">
        <v>5</v>
      </c>
      <c r="B10" s="72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29"/>
      <c r="B11" s="72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8">
        <v>8</v>
      </c>
      <c r="B14" s="72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8"/>
      <c r="B15" s="72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29">
        <v>11</v>
      </c>
      <c r="B18" s="72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29"/>
      <c r="B19" s="72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29"/>
      <c r="B20" s="72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29"/>
      <c r="B21" s="72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29">
        <v>13</v>
      </c>
      <c r="B23" s="72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29"/>
      <c r="B24" s="72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8">
        <v>14</v>
      </c>
      <c r="B25" s="72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8"/>
      <c r="B26" s="72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29">
        <v>15</v>
      </c>
      <c r="B27" s="72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29"/>
      <c r="B28" s="72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29"/>
      <c r="B29" s="72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29"/>
      <c r="B30" s="72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8">
        <v>16</v>
      </c>
      <c r="B31" s="72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8"/>
      <c r="B32" s="72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8"/>
      <c r="B33" s="72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8"/>
      <c r="B34" s="72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29">
        <v>17</v>
      </c>
      <c r="B35" s="72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29"/>
      <c r="B36" s="72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29">
        <v>21</v>
      </c>
      <c r="B40" s="72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29"/>
      <c r="B41" s="72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29">
        <v>23</v>
      </c>
      <c r="B43" s="72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29"/>
      <c r="B44" s="72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29"/>
      <c r="B45" s="72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8">
        <v>24</v>
      </c>
      <c r="B46" s="72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8"/>
      <c r="B47" s="72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29">
        <v>25</v>
      </c>
      <c r="B48" s="72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29"/>
      <c r="B49" s="72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29"/>
      <c r="B50" s="72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8">
        <v>26</v>
      </c>
      <c r="B51" s="72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8"/>
      <c r="B52" s="72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29">
        <v>29</v>
      </c>
      <c r="B55" s="72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29"/>
      <c r="B56" s="72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8">
        <v>32</v>
      </c>
      <c r="B59" s="72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8"/>
      <c r="B60" s="72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8">
        <v>34</v>
      </c>
      <c r="B62" s="72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8"/>
      <c r="B63" s="72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8"/>
      <c r="B64" s="72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8"/>
      <c r="B65" s="72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8"/>
      <c r="B66" s="72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29">
        <v>35</v>
      </c>
      <c r="B67" s="72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29"/>
      <c r="B68" s="72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1">
        <v>40</v>
      </c>
      <c r="B73" s="72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1"/>
      <c r="B74" s="72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2">
        <v>41</v>
      </c>
      <c r="B75" s="72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2"/>
      <c r="B76" s="72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2"/>
      <c r="B77" s="72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1">
        <v>42</v>
      </c>
      <c r="B78" s="72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1"/>
      <c r="B79" s="72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2">
        <v>49</v>
      </c>
      <c r="B86" s="72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2"/>
      <c r="B87" s="72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2"/>
      <c r="B88" s="72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1">
        <v>50</v>
      </c>
      <c r="B89" s="72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1"/>
      <c r="B90" s="72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2">
        <v>51</v>
      </c>
      <c r="B91" s="72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2"/>
      <c r="B92" s="72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2">
        <v>53</v>
      </c>
      <c r="B94" s="72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2"/>
      <c r="B95" s="72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1">
        <v>54</v>
      </c>
      <c r="B96" s="72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1"/>
      <c r="B97" s="72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1"/>
      <c r="B98" s="72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1">
        <v>58</v>
      </c>
      <c r="B102" s="72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1"/>
      <c r="B103" s="72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1">
        <v>60</v>
      </c>
      <c r="B105" s="72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1"/>
      <c r="B106" s="72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1"/>
      <c r="B107" s="72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2">
        <v>61</v>
      </c>
      <c r="B108" s="72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2"/>
      <c r="B109" s="72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2"/>
      <c r="B110" s="72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1">
        <v>64</v>
      </c>
      <c r="B113" s="72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1"/>
      <c r="B114" s="72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1">
        <v>66</v>
      </c>
      <c r="B116" s="72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1"/>
      <c r="B117" s="72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2">
        <v>67</v>
      </c>
      <c r="B118" s="72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2"/>
      <c r="B119" s="72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2"/>
      <c r="B120" s="72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1">
        <v>68</v>
      </c>
      <c r="B121" s="72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1"/>
      <c r="B122" s="72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2">
        <v>69</v>
      </c>
      <c r="B123" s="72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2"/>
      <c r="B124" s="72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1">
        <v>72</v>
      </c>
      <c r="B127" s="728" t="s">
        <v>65</v>
      </c>
      <c r="C127" s="119" t="s">
        <v>26</v>
      </c>
      <c r="D127" s="120">
        <v>3.3</v>
      </c>
      <c r="E127" s="121"/>
      <c r="F127" s="122" t="s">
        <v>30</v>
      </c>
      <c r="G127" s="724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1"/>
      <c r="B128" s="728"/>
      <c r="C128" s="103" t="s">
        <v>26</v>
      </c>
      <c r="D128" s="88">
        <v>12.9</v>
      </c>
      <c r="E128" s="106"/>
      <c r="F128" s="107" t="s">
        <v>16</v>
      </c>
      <c r="G128" s="724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1">
        <v>76</v>
      </c>
      <c r="B132" s="73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1"/>
      <c r="B133" s="73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1"/>
      <c r="B134" s="73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1"/>
      <c r="B135" s="73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1">
        <v>78</v>
      </c>
      <c r="B137" s="72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1"/>
      <c r="B138" s="72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5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5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4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4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2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2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4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4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5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5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7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7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7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7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3" t="s">
        <v>133</v>
      </c>
      <c r="J420" s="723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4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4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7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7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2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2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2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2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2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4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4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7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7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70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70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7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7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9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9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7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7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1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1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7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7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4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4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70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70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4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4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7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7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7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7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4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4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4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4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4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4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4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4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4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4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7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7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7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7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7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7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7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7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7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7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7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7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7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7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4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4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7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7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4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4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7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7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4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4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7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7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2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7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7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7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4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4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1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1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1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7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7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7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7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2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2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7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7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4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4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2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70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1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1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7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7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2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7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7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2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4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4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2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1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2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1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4" t="s">
        <v>467</v>
      </c>
      <c r="H2160" s="414" t="s">
        <v>515</v>
      </c>
      <c r="I2160" s="415" t="s">
        <v>516</v>
      </c>
      <c r="J2160" s="715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4"/>
      <c r="H2161" s="421" t="s">
        <v>515</v>
      </c>
      <c r="I2161" s="422" t="s">
        <v>516</v>
      </c>
      <c r="J2161" s="715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4"/>
      <c r="H2162" s="429" t="s">
        <v>515</v>
      </c>
      <c r="I2162" s="430" t="s">
        <v>516</v>
      </c>
      <c r="J2162" s="715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4" t="s">
        <v>467</v>
      </c>
      <c r="H2165" s="414" t="s">
        <v>516</v>
      </c>
      <c r="I2165" s="415" t="s">
        <v>516</v>
      </c>
      <c r="J2165" s="715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4"/>
      <c r="H2166" s="429" t="s">
        <v>516</v>
      </c>
      <c r="I2166" s="430" t="s">
        <v>516</v>
      </c>
      <c r="J2166" s="715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2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7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7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2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4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4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2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6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6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2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2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2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2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1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1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1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2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3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2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2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2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2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2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5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1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4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4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4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2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4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4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2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1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7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7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1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6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6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4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4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1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4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4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0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0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5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4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4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4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2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8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8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2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7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7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2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3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4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4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7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7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7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7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3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2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7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7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4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4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4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2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4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4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4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4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4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4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4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4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7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7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7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6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6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6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6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6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6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1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5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2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7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7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7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7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5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7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7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6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6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6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3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4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4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3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4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4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4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4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1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0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1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0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0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0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4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1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1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1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4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1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4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1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4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1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4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1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1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4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4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1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4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1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1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1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4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1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1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4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1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4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4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1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4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1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4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1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1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4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1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4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1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4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4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1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4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1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4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4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1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1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4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4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1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1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0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4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1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1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4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4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1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1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4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1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4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1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4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1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4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1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4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1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1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1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1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4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1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1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4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4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1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1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4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1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4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1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0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4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1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4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1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4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1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4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1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4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1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1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4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4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1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4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4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1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1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4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1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4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1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1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4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1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1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69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1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4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1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4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1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1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4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1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4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1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2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1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4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1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4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1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1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4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1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4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4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4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1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4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1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4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1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4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1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1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4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1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4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1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4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1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4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1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1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1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4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4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1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1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4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4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4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1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4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1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1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2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4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4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1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1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4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1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1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4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1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4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4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1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4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4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1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4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1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4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1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1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0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0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2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4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1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1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4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1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4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4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4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1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4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1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1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4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1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4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4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1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4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1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4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1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4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1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1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1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1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4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4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1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4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4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4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1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1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4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1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4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1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4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1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1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4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1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4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1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4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1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1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4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1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1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1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4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1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4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1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4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4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1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4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1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0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2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4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4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4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1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1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4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1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1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1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2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4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4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4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1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4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1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1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1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4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1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4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1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4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1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4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2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4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1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4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1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4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1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1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2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1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4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1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4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4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1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4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1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4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4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4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1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1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4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1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2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1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4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4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1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0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4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4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1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4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1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2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1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4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4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1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1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1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4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1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4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1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4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1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1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2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4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1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4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1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4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1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4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1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2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4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1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1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2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4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1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4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1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4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1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4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1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2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4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4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1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0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4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4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1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1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1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4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1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2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1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4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1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4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1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4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1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2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4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1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4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1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4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1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4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4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1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4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1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1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4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4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4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1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1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4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1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4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4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4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1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4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1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4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1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0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0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4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2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2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1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4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1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4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1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4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1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1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4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1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4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4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4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1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1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0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0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0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4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1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2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1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4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1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2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4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1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4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1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2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4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4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1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4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4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4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4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1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4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1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4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1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1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1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0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4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1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1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2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1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1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1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2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1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4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1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4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4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1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4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1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1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1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2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4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1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4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1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4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1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4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1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1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4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1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4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4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8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1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4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1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4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1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4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1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4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1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1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1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91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90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90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90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90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4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4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4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1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4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1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1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4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4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4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8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8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8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1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4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1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1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4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4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2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4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2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690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690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4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1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91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92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4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1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91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690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4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81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4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81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4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81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691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8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692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81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8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84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81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8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84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81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8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84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8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84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8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84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81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8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81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8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84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8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t="19.5" hidden="1" thickBot="1" x14ac:dyDescent="0.3">
      <c r="A5476" s="684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t="19.5" hidden="1" thickBot="1" x14ac:dyDescent="0.3">
      <c r="A5477" s="68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9.5" hidden="1" thickBot="1" x14ac:dyDescent="0.3">
      <c r="A5478" s="68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t="19.5" hidden="1" thickBot="1" x14ac:dyDescent="0.3">
      <c r="A5479" s="681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t="19.5" hidden="1" thickBot="1" x14ac:dyDescent="0.3">
      <c r="A5480" s="68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9.5" hidden="1" thickBot="1" x14ac:dyDescent="0.3">
      <c r="A5481" s="68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t="19.5" hidden="1" thickBot="1" x14ac:dyDescent="0.3">
      <c r="A5482" s="684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t="19.5" hidden="1" thickBot="1" x14ac:dyDescent="0.3">
      <c r="A5483" s="68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9.5" hidden="1" thickBot="1" x14ac:dyDescent="0.3">
      <c r="A5484" s="68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t="19.5" hidden="1" thickBot="1" x14ac:dyDescent="0.3">
      <c r="A5485" s="681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t="19.5" hidden="1" thickBot="1" x14ac:dyDescent="0.3">
      <c r="A5486" s="68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t="19.5" hidden="1" thickBot="1" x14ac:dyDescent="0.3">
      <c r="A5489" s="684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7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9.5" hidden="1" thickBot="1" x14ac:dyDescent="0.3">
      <c r="A5490" s="68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88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t="19.5" hidden="1" thickBot="1" x14ac:dyDescent="0.3">
      <c r="A5493" s="681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t="19.5" hidden="1" thickBot="1" x14ac:dyDescent="0.3">
      <c r="A5494" s="68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9.5" hidden="1" thickBot="1" x14ac:dyDescent="0.3">
      <c r="A5495" s="68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2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t="19.5" hidden="1" thickBot="1" x14ac:dyDescent="0.3">
      <c r="A5497" s="681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9.5" hidden="1" thickBot="1" x14ac:dyDescent="0.3">
      <c r="A5498" s="68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t="19.5" hidden="1" thickBot="1" x14ac:dyDescent="0.3">
      <c r="A5499" s="684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9.5" hidden="1" thickBot="1" x14ac:dyDescent="0.3">
      <c r="A5500" s="68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t="19.5" hidden="1" thickBot="1" x14ac:dyDescent="0.3">
      <c r="A5501" s="681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9.5" hidden="1" thickBot="1" x14ac:dyDescent="0.3">
      <c r="A5502" s="68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t="19.5" hidden="1" thickBot="1" x14ac:dyDescent="0.3">
      <c r="A5504" s="681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691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9.5" hidden="1" thickBot="1" x14ac:dyDescent="0.3">
      <c r="A5505" s="68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692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19.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t="19.5" hidden="1" thickBot="1" x14ac:dyDescent="0.3">
      <c r="A5507" s="681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9.5" hidden="1" thickBot="1" x14ac:dyDescent="0.3">
      <c r="A5508" s="68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ht="19.5" hidden="1" thickBot="1" x14ac:dyDescent="0.3">
      <c r="A5511" s="684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</row>
    <row r="5512" spans="1:14" ht="19.5" hidden="1" thickBot="1" x14ac:dyDescent="0.3">
      <c r="A5512" s="68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</row>
    <row r="5513" spans="1:14" ht="19.5" hidden="1" thickBot="1" x14ac:dyDescent="0.3">
      <c r="A5513" s="681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</row>
    <row r="5514" spans="1:14" ht="19.5" hidden="1" thickBot="1" x14ac:dyDescent="0.3">
      <c r="A5514" s="68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</row>
    <row r="5515" spans="1:14" ht="19.5" hidden="1" thickBot="1" x14ac:dyDescent="0.3">
      <c r="A5515" s="684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687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</row>
    <row r="5516" spans="1:14" ht="19.5" hidden="1" thickBot="1" x14ac:dyDescent="0.3">
      <c r="A5516" s="68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688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</row>
    <row r="5517" spans="1:14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</row>
    <row r="5518" spans="1:14" ht="19.5" hidden="1" thickBot="1" x14ac:dyDescent="0.3">
      <c r="A5518" s="684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</row>
    <row r="5519" spans="1:14" ht="19.5" hidden="1" thickBot="1" x14ac:dyDescent="0.3">
      <c r="A5519" s="68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</row>
    <row r="5520" spans="1:14" ht="57" hidden="1" thickBot="1" x14ac:dyDescent="0.3">
      <c r="A5520" s="68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</row>
    <row r="5521" spans="1:14" ht="19.5" hidden="1" thickBot="1" x14ac:dyDescent="0.3">
      <c r="A5521" s="68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</row>
    <row r="5522" spans="1:14" ht="19.5" hidden="1" thickBot="1" x14ac:dyDescent="0.3">
      <c r="A5522" s="68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</row>
    <row r="5523" spans="1:14" ht="19.5" hidden="1" thickBot="1" x14ac:dyDescent="0.3">
      <c r="A5523" s="681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</row>
    <row r="5524" spans="1:14" ht="19.5" hidden="1" thickBot="1" x14ac:dyDescent="0.3">
      <c r="A5524" s="68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</row>
    <row r="5525" spans="1:14" ht="19.5" hidden="1" thickBot="1" x14ac:dyDescent="0.3">
      <c r="A5525" s="68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</row>
    <row r="5526" spans="1:14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</row>
    <row r="5527" spans="1:14" ht="19.5" hidden="1" thickBot="1" x14ac:dyDescent="0.3">
      <c r="A5527" s="681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</row>
    <row r="5528" spans="1:14" ht="19.5" hidden="1" thickBot="1" x14ac:dyDescent="0.3">
      <c r="A5528" s="68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</row>
    <row r="5529" spans="1:14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</row>
    <row r="5530" spans="1:14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</row>
    <row r="5531" spans="1:14" ht="19.5" hidden="1" thickBot="1" x14ac:dyDescent="0.3">
      <c r="A5531" s="684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687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</row>
    <row r="5532" spans="1:14" ht="19.5" hidden="1" thickBot="1" x14ac:dyDescent="0.3">
      <c r="A5532" s="68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688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</row>
    <row r="5533" spans="1:14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</row>
    <row r="5534" spans="1:14" ht="19.5" hidden="1" thickBot="1" x14ac:dyDescent="0.3">
      <c r="A5534" s="684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687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</row>
    <row r="5535" spans="1:14" ht="19.5" hidden="1" thickBot="1" x14ac:dyDescent="0.3">
      <c r="A5535" s="68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68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</row>
    <row r="5536" spans="1:14" ht="19.5" hidden="1" thickBot="1" x14ac:dyDescent="0.3">
      <c r="A5536" s="68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68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</row>
    <row r="5537" spans="1:14" ht="19.5" hidden="1" thickBot="1" x14ac:dyDescent="0.3">
      <c r="A5537" s="68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68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</row>
    <row r="5538" spans="1:14" ht="19.5" hidden="1" thickBot="1" x14ac:dyDescent="0.3">
      <c r="A5538" s="68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688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</row>
    <row r="5539" spans="1:14" ht="19.5" hidden="1" thickBot="1" x14ac:dyDescent="0.3">
      <c r="A5539" s="681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</row>
    <row r="5540" spans="1:14" ht="19.5" hidden="1" thickBot="1" x14ac:dyDescent="0.3">
      <c r="A5540" s="68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</row>
    <row r="5541" spans="1:14" ht="19.5" hidden="1" thickBot="1" x14ac:dyDescent="0.3">
      <c r="A5541" s="68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</row>
    <row r="5542" spans="1:14" ht="19.5" hidden="1" thickBot="1" x14ac:dyDescent="0.3">
      <c r="A5542" s="684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</row>
    <row r="5543" spans="1:14" ht="19.5" hidden="1" thickBot="1" x14ac:dyDescent="0.3">
      <c r="A5543" s="68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</row>
    <row r="5544" spans="1:14" ht="19.5" hidden="1" thickBot="1" x14ac:dyDescent="0.3">
      <c r="A5544" s="68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</row>
    <row r="5545" spans="1:14" ht="19.5" hidden="1" thickBot="1" x14ac:dyDescent="0.3">
      <c r="A5545" s="68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</row>
    <row r="5546" spans="1:14" ht="19.5" hidden="1" thickBot="1" x14ac:dyDescent="0.3">
      <c r="A5546" s="68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</row>
    <row r="5547" spans="1:14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</row>
    <row r="5548" spans="1:14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</row>
    <row r="5549" spans="1:14" ht="27.75" hidden="1" customHeight="1" x14ac:dyDescent="0.25">
      <c r="A5549" s="681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691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</row>
    <row r="5550" spans="1:14" ht="27.75" hidden="1" customHeight="1" thickBot="1" x14ac:dyDescent="0.3">
      <c r="A5550" s="68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692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</row>
    <row r="5551" spans="1:14" ht="19.5" hidden="1" thickBot="1" x14ac:dyDescent="0.3">
      <c r="A5551" s="68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</row>
    <row r="5552" spans="1:14" ht="19.5" hidden="1" thickBot="1" x14ac:dyDescent="0.3">
      <c r="A5552" s="68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</row>
    <row r="5553" spans="1:14" x14ac:dyDescent="0.25">
      <c r="A5553" s="681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79"/>
      <c r="L5553" s="483" t="s">
        <v>28</v>
      </c>
      <c r="M5553" s="483">
        <v>4014.96</v>
      </c>
      <c r="N5553" s="486">
        <v>0.5</v>
      </c>
    </row>
    <row r="5554" spans="1:14" x14ac:dyDescent="0.25">
      <c r="A5554" s="68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3"/>
      <c r="L5554" s="527" t="s">
        <v>28</v>
      </c>
      <c r="M5554" s="527">
        <v>4923.2</v>
      </c>
      <c r="N5554" s="530">
        <v>0.5</v>
      </c>
    </row>
    <row r="5555" spans="1:14" ht="19.5" thickBot="1" x14ac:dyDescent="0.3">
      <c r="A5555" s="68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5"/>
      <c r="L5555" s="649" t="s">
        <v>28</v>
      </c>
      <c r="M5555" s="649">
        <v>4802.6799999999994</v>
      </c>
      <c r="N5555" s="653">
        <v>0.5</v>
      </c>
    </row>
    <row r="5556" spans="1:14" ht="19.5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4"/>
      <c r="L5556" s="508" t="s">
        <v>28</v>
      </c>
      <c r="M5556" s="508">
        <v>8870.64</v>
      </c>
      <c r="N5556" s="512">
        <v>0.54166666666666663</v>
      </c>
    </row>
    <row r="5557" spans="1:14" ht="19.5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4"/>
      <c r="L5557" s="518" t="s">
        <v>266</v>
      </c>
      <c r="M5557" s="518">
        <v>18148.900000000001</v>
      </c>
      <c r="N5557" s="522">
        <v>0.41666666666666669</v>
      </c>
    </row>
    <row r="5558" spans="1:14" ht="19.5" thickBot="1" x14ac:dyDescent="0.3">
      <c r="A5558" s="678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2"/>
      <c r="L5558" s="556" t="s">
        <v>266</v>
      </c>
      <c r="M5558" s="556">
        <v>17421.900000000001</v>
      </c>
      <c r="N5558" s="560">
        <v>0.41666666666666669</v>
      </c>
    </row>
    <row r="5559" spans="1:14" ht="19.5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4"/>
      <c r="L5559" s="518" t="s">
        <v>266</v>
      </c>
      <c r="M5559" s="518">
        <v>18067.14</v>
      </c>
      <c r="N5559" s="522">
        <v>0.41666666666666669</v>
      </c>
    </row>
    <row r="5560" spans="1:14" ht="19.5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4"/>
      <c r="L5560" s="508" t="s">
        <v>266</v>
      </c>
      <c r="M5560" s="508">
        <v>17970.34</v>
      </c>
      <c r="N5560" s="512">
        <v>0.45833333333333331</v>
      </c>
    </row>
    <row r="5561" spans="1:14" x14ac:dyDescent="0.25">
      <c r="A5561" s="681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79"/>
      <c r="L5561" s="483" t="s">
        <v>266</v>
      </c>
      <c r="M5561" s="483">
        <v>10775.11</v>
      </c>
      <c r="N5561" s="486">
        <v>0.5</v>
      </c>
    </row>
    <row r="5562" spans="1:14" ht="19.5" thickBot="1" x14ac:dyDescent="0.3">
      <c r="A5562" s="68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5"/>
      <c r="L5562" s="649" t="s">
        <v>266</v>
      </c>
      <c r="M5562" s="649">
        <v>6525</v>
      </c>
      <c r="N5562" s="653">
        <v>0.5</v>
      </c>
    </row>
    <row r="5563" spans="1:14" ht="19.5" thickBot="1" x14ac:dyDescent="0.3">
      <c r="A5563" s="679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2"/>
      <c r="L5563" s="556" t="s">
        <v>266</v>
      </c>
      <c r="M5563" s="556">
        <v>10156.560000000001</v>
      </c>
      <c r="N5563" s="560">
        <v>0.54166666666666663</v>
      </c>
    </row>
    <row r="5564" spans="1:14" x14ac:dyDescent="0.25">
      <c r="A5564" s="681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79"/>
      <c r="L5564" s="483" t="s">
        <v>265</v>
      </c>
      <c r="M5564" s="483">
        <v>11200.539999999999</v>
      </c>
      <c r="N5564" s="486">
        <v>0.375</v>
      </c>
    </row>
    <row r="5565" spans="1:14" ht="19.5" thickBot="1" x14ac:dyDescent="0.3">
      <c r="A5565" s="68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5"/>
      <c r="L5565" s="649" t="s">
        <v>265</v>
      </c>
      <c r="M5565" s="649">
        <v>6001.119999999999</v>
      </c>
      <c r="N5565" s="653">
        <v>0.375</v>
      </c>
    </row>
    <row r="5566" spans="1:14" ht="19.5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4"/>
      <c r="L5566" s="508" t="s">
        <v>265</v>
      </c>
      <c r="M5566" s="508">
        <v>17696.570000000003</v>
      </c>
      <c r="N5566" s="512">
        <v>0.41666666666666669</v>
      </c>
    </row>
    <row r="5567" spans="1:14" ht="19.5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4"/>
      <c r="L5567" s="518" t="s">
        <v>265</v>
      </c>
      <c r="M5567" s="518">
        <v>17749.739999999998</v>
      </c>
      <c r="N5567" s="522">
        <v>0.375</v>
      </c>
    </row>
    <row r="5568" spans="1:14" ht="19.5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4"/>
      <c r="L5568" s="508" t="s">
        <v>265</v>
      </c>
      <c r="M5568" s="508">
        <v>11049.6</v>
      </c>
      <c r="N5568" s="512">
        <v>0.375</v>
      </c>
    </row>
    <row r="5569" spans="1:14" ht="19.5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4"/>
      <c r="L5569" s="518" t="s">
        <v>265</v>
      </c>
      <c r="M5569" s="518">
        <v>12942.6</v>
      </c>
      <c r="N5569" s="522">
        <v>0.41666666666666669</v>
      </c>
    </row>
    <row r="5570" spans="1:14" x14ac:dyDescent="0.25">
      <c r="A5570" s="684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1"/>
      <c r="L5570" s="535" t="s">
        <v>28</v>
      </c>
      <c r="M5570" s="535">
        <v>7087.78</v>
      </c>
      <c r="N5570" s="539">
        <v>0.41666666666666669</v>
      </c>
    </row>
    <row r="5571" spans="1:14" x14ac:dyDescent="0.25">
      <c r="A5571" s="68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3"/>
      <c r="L5571" s="567" t="s">
        <v>28</v>
      </c>
      <c r="M5571" s="567">
        <v>2183.4000000000005</v>
      </c>
      <c r="N5571" s="571">
        <v>0.41666666666666669</v>
      </c>
    </row>
    <row r="5572" spans="1:14" ht="19.5" thickBot="1" x14ac:dyDescent="0.3">
      <c r="A5572" s="68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36"/>
      <c r="L5572" s="640" t="s">
        <v>28</v>
      </c>
      <c r="M5572" s="640">
        <v>8039.09</v>
      </c>
      <c r="N5572" s="644">
        <v>0.41666666666666669</v>
      </c>
    </row>
    <row r="5573" spans="1:14" x14ac:dyDescent="0.25">
      <c r="A5573" s="681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79"/>
      <c r="L5573" s="483" t="s">
        <v>28</v>
      </c>
      <c r="M5573" s="483">
        <v>11630.26</v>
      </c>
      <c r="N5573" s="486">
        <v>0.45833333333333331</v>
      </c>
    </row>
    <row r="5574" spans="1:14" ht="19.5" thickBot="1" x14ac:dyDescent="0.3">
      <c r="A5574" s="68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5"/>
      <c r="L5574" s="649" t="s">
        <v>28</v>
      </c>
      <c r="M5574" s="649">
        <v>5785.2</v>
      </c>
      <c r="N5574" s="653">
        <v>0.45833333333333331</v>
      </c>
    </row>
    <row r="5575" spans="1:14" x14ac:dyDescent="0.25">
      <c r="A5575" s="684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1"/>
      <c r="L5575" s="535" t="s">
        <v>28</v>
      </c>
      <c r="M5575" s="535">
        <v>6120.4800000000014</v>
      </c>
      <c r="N5575" s="539">
        <v>0.5</v>
      </c>
    </row>
    <row r="5576" spans="1:14" ht="19.5" thickBot="1" x14ac:dyDescent="0.3">
      <c r="A5576" s="68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36"/>
      <c r="L5576" s="640" t="s">
        <v>28</v>
      </c>
      <c r="M5576" s="640">
        <v>11037.220000000001</v>
      </c>
      <c r="N5576" s="644">
        <v>0.5</v>
      </c>
    </row>
    <row r="5577" spans="1:14" x14ac:dyDescent="0.25">
      <c r="A5577" s="681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79"/>
      <c r="L5577" s="483" t="s">
        <v>265</v>
      </c>
      <c r="M5577" s="483">
        <v>15673.199999999999</v>
      </c>
      <c r="N5577" s="486">
        <v>0.375</v>
      </c>
    </row>
    <row r="5578" spans="1:14" ht="19.5" thickBot="1" x14ac:dyDescent="0.3">
      <c r="A5578" s="68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5"/>
      <c r="L5578" s="499" t="s">
        <v>266</v>
      </c>
      <c r="M5578" s="499">
        <v>1906.5600000000004</v>
      </c>
      <c r="N5578" s="502">
        <v>0.375</v>
      </c>
    </row>
    <row r="5579" spans="1:14" ht="19.5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4"/>
      <c r="L5579" s="508" t="s">
        <v>265</v>
      </c>
      <c r="M5579" s="508">
        <v>12598.199999999997</v>
      </c>
      <c r="N5579" s="512">
        <v>0.375</v>
      </c>
    </row>
    <row r="5580" spans="1:14" ht="19.5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4"/>
      <c r="L5580" s="518" t="s">
        <v>28</v>
      </c>
      <c r="M5580" s="518">
        <v>8971.32</v>
      </c>
      <c r="N5580" s="522">
        <v>0.41666666666666669</v>
      </c>
    </row>
    <row r="5581" spans="1:14" ht="38.25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/>
      <c r="F5581" s="508" t="s">
        <v>16</v>
      </c>
      <c r="G5581" s="509" t="s">
        <v>407</v>
      </c>
      <c r="H5581" s="508" t="s">
        <v>1225</v>
      </c>
      <c r="I5581" s="510"/>
      <c r="J5581" s="511"/>
      <c r="K5581" s="504"/>
      <c r="L5581" s="508" t="s">
        <v>266</v>
      </c>
      <c r="M5581" s="508">
        <v>14017.2</v>
      </c>
      <c r="N5581" s="512">
        <v>0.41666666666666669</v>
      </c>
    </row>
    <row r="5582" spans="1:14" ht="38.25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/>
      <c r="F5582" s="518" t="s">
        <v>16</v>
      </c>
      <c r="G5582" s="519" t="s">
        <v>1226</v>
      </c>
      <c r="H5582" s="518" t="s">
        <v>1225</v>
      </c>
      <c r="I5582" s="520"/>
      <c r="J5582" s="521"/>
      <c r="K5582" s="514"/>
      <c r="L5582" s="518" t="s">
        <v>28</v>
      </c>
      <c r="M5582" s="518">
        <v>10692.560000000001</v>
      </c>
      <c r="N5582" s="522">
        <v>0.45833333333333331</v>
      </c>
    </row>
    <row r="5583" spans="1:14" ht="19.5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/>
      <c r="F5583" s="508" t="s">
        <v>16</v>
      </c>
      <c r="G5583" s="509"/>
      <c r="H5583" s="508" t="s">
        <v>1227</v>
      </c>
      <c r="I5583" s="510"/>
      <c r="J5583" s="511"/>
      <c r="K5583" s="504"/>
      <c r="L5583" s="508" t="s">
        <v>265</v>
      </c>
      <c r="M5583" s="508">
        <v>17759.920000000002</v>
      </c>
      <c r="N5583" s="512">
        <v>0.375</v>
      </c>
    </row>
    <row r="5584" spans="1:14" x14ac:dyDescent="0.25">
      <c r="A5584" s="681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/>
      <c r="F5584" s="483" t="s">
        <v>16</v>
      </c>
      <c r="G5584" s="549"/>
      <c r="H5584" s="483" t="s">
        <v>1227</v>
      </c>
      <c r="I5584" s="484"/>
      <c r="J5584" s="485"/>
      <c r="K5584" s="479"/>
      <c r="L5584" s="483" t="s">
        <v>266</v>
      </c>
      <c r="M5584" s="483">
        <v>3929.42</v>
      </c>
      <c r="N5584" s="486">
        <v>0.41666666666666669</v>
      </c>
    </row>
    <row r="5585" spans="1:14" x14ac:dyDescent="0.25">
      <c r="A5585" s="682"/>
      <c r="B5585" s="523" t="s">
        <v>1223</v>
      </c>
      <c r="C5585" s="524" t="s">
        <v>15</v>
      </c>
      <c r="D5585" s="525">
        <v>1.6</v>
      </c>
      <c r="E5585" s="526"/>
      <c r="F5585" s="527" t="s">
        <v>16</v>
      </c>
      <c r="G5585" s="561"/>
      <c r="H5585" s="527" t="s">
        <v>1227</v>
      </c>
      <c r="I5585" s="528"/>
      <c r="J5585" s="529"/>
      <c r="K5585" s="523"/>
      <c r="L5585" s="527" t="s">
        <v>28</v>
      </c>
      <c r="M5585" s="527">
        <v>1657.8299999999997</v>
      </c>
      <c r="N5585" s="530">
        <v>0.41666666666666669</v>
      </c>
    </row>
    <row r="5586" spans="1:14" x14ac:dyDescent="0.25">
      <c r="A5586" s="682"/>
      <c r="B5586" s="523" t="s">
        <v>1223</v>
      </c>
      <c r="C5586" s="524" t="s">
        <v>24</v>
      </c>
      <c r="D5586" s="525">
        <v>2.3199999999999998</v>
      </c>
      <c r="E5586" s="526"/>
      <c r="F5586" s="527" t="s">
        <v>16</v>
      </c>
      <c r="G5586" s="561"/>
      <c r="H5586" s="527" t="s">
        <v>1227</v>
      </c>
      <c r="I5586" s="528"/>
      <c r="J5586" s="529"/>
      <c r="K5586" s="523"/>
      <c r="L5586" s="527" t="s">
        <v>28</v>
      </c>
      <c r="M5586" s="527">
        <v>2325</v>
      </c>
      <c r="N5586" s="530">
        <v>0.41666666666666669</v>
      </c>
    </row>
    <row r="5587" spans="1:14" ht="19.5" thickBot="1" x14ac:dyDescent="0.3">
      <c r="A5587" s="683"/>
      <c r="B5587" s="645" t="s">
        <v>1223</v>
      </c>
      <c r="C5587" s="646" t="s">
        <v>25</v>
      </c>
      <c r="D5587" s="647">
        <v>9.9039999999999999</v>
      </c>
      <c r="E5587" s="648"/>
      <c r="F5587" s="649" t="s">
        <v>16</v>
      </c>
      <c r="G5587" s="650"/>
      <c r="H5587" s="649" t="s">
        <v>1227</v>
      </c>
      <c r="I5587" s="651"/>
      <c r="J5587" s="652"/>
      <c r="K5587" s="645"/>
      <c r="L5587" s="649" t="s">
        <v>28</v>
      </c>
      <c r="M5587" s="649">
        <v>9985.5000000000018</v>
      </c>
      <c r="N5587" s="653">
        <v>0.41666666666666669</v>
      </c>
    </row>
    <row r="5588" spans="1:14" x14ac:dyDescent="0.25">
      <c r="A5588" s="684">
        <f t="shared" ref="A5588:A5620" si="161">MAX(A5574:A5587)+1</f>
        <v>3178</v>
      </c>
      <c r="B5588" s="531" t="s">
        <v>1223</v>
      </c>
      <c r="C5588" s="532" t="s">
        <v>480</v>
      </c>
      <c r="D5588" s="533">
        <v>14.131</v>
      </c>
      <c r="E5588" s="534"/>
      <c r="F5588" s="535" t="s">
        <v>16</v>
      </c>
      <c r="G5588" s="536"/>
      <c r="H5588" s="535" t="s">
        <v>1227</v>
      </c>
      <c r="I5588" s="537"/>
      <c r="J5588" s="538"/>
      <c r="K5588" s="531"/>
      <c r="L5588" s="535" t="s">
        <v>266</v>
      </c>
      <c r="M5588" s="535">
        <v>14195.099999999999</v>
      </c>
      <c r="N5588" s="539">
        <v>0.45833333333333331</v>
      </c>
    </row>
    <row r="5589" spans="1:14" ht="19.5" thickBot="1" x14ac:dyDescent="0.3">
      <c r="A5589" s="685"/>
      <c r="B5589" s="636" t="s">
        <v>1223</v>
      </c>
      <c r="C5589" s="637" t="s">
        <v>23</v>
      </c>
      <c r="D5589" s="638">
        <v>2.9</v>
      </c>
      <c r="E5589" s="639"/>
      <c r="F5589" s="640" t="s">
        <v>16</v>
      </c>
      <c r="G5589" s="641"/>
      <c r="H5589" s="640" t="s">
        <v>1227</v>
      </c>
      <c r="I5589" s="642"/>
      <c r="J5589" s="643"/>
      <c r="K5589" s="636"/>
      <c r="L5589" s="640" t="s">
        <v>28</v>
      </c>
      <c r="M5589" s="640">
        <v>2917.7400000000002</v>
      </c>
      <c r="N5589" s="644">
        <v>0.45833333333333331</v>
      </c>
    </row>
    <row r="5590" spans="1:14" x14ac:dyDescent="0.25">
      <c r="A5590" s="681">
        <f t="shared" si="161"/>
        <v>3179</v>
      </c>
      <c r="B5590" s="479" t="s">
        <v>1223</v>
      </c>
      <c r="C5590" s="480" t="s">
        <v>23</v>
      </c>
      <c r="D5590" s="481">
        <v>7.7569999999999997</v>
      </c>
      <c r="E5590" s="482"/>
      <c r="F5590" s="483" t="s">
        <v>16</v>
      </c>
      <c r="G5590" s="549"/>
      <c r="H5590" s="483" t="s">
        <v>1227</v>
      </c>
      <c r="I5590" s="484"/>
      <c r="J5590" s="485"/>
      <c r="K5590" s="479"/>
      <c r="L5590" s="483" t="s">
        <v>28</v>
      </c>
      <c r="M5590" s="483">
        <v>7906.56</v>
      </c>
      <c r="N5590" s="486">
        <v>0.5</v>
      </c>
    </row>
    <row r="5591" spans="1:14" x14ac:dyDescent="0.25">
      <c r="A5591" s="682"/>
      <c r="B5591" s="523" t="s">
        <v>1223</v>
      </c>
      <c r="C5591" s="524" t="s">
        <v>47</v>
      </c>
      <c r="D5591" s="525">
        <v>5.81</v>
      </c>
      <c r="E5591" s="526"/>
      <c r="F5591" s="527" t="s">
        <v>16</v>
      </c>
      <c r="G5591" s="561"/>
      <c r="H5591" s="527" t="s">
        <v>1227</v>
      </c>
      <c r="I5591" s="528"/>
      <c r="J5591" s="529"/>
      <c r="K5591" s="523"/>
      <c r="L5591" s="527" t="s">
        <v>28</v>
      </c>
      <c r="M5591" s="527">
        <v>5870.1600000000008</v>
      </c>
      <c r="N5591" s="530">
        <v>0.5</v>
      </c>
    </row>
    <row r="5592" spans="1:14" ht="19.5" thickBot="1" x14ac:dyDescent="0.3">
      <c r="A5592" s="683"/>
      <c r="B5592" s="645" t="s">
        <v>1223</v>
      </c>
      <c r="C5592" s="646" t="s">
        <v>24</v>
      </c>
      <c r="D5592" s="647">
        <v>3.504</v>
      </c>
      <c r="E5592" s="648"/>
      <c r="F5592" s="649" t="s">
        <v>16</v>
      </c>
      <c r="G5592" s="650"/>
      <c r="H5592" s="649" t="s">
        <v>1227</v>
      </c>
      <c r="I5592" s="651"/>
      <c r="J5592" s="652"/>
      <c r="K5592" s="645"/>
      <c r="L5592" s="649" t="s">
        <v>28</v>
      </c>
      <c r="M5592" s="649">
        <v>3555.46</v>
      </c>
      <c r="N5592" s="653">
        <v>0.5</v>
      </c>
    </row>
    <row r="5593" spans="1:14" x14ac:dyDescent="0.25">
      <c r="A5593" s="684">
        <f t="shared" si="161"/>
        <v>3180</v>
      </c>
      <c r="B5593" s="531" t="s">
        <v>1223</v>
      </c>
      <c r="C5593" s="532" t="s">
        <v>587</v>
      </c>
      <c r="D5593" s="533">
        <v>7.1360000000000001</v>
      </c>
      <c r="E5593" s="534"/>
      <c r="F5593" s="535" t="s">
        <v>30</v>
      </c>
      <c r="G5593" s="536" t="s">
        <v>23</v>
      </c>
      <c r="H5593" s="535" t="s">
        <v>1227</v>
      </c>
      <c r="I5593" s="537"/>
      <c r="J5593" s="538"/>
      <c r="K5593" s="531"/>
      <c r="L5593" s="535" t="s">
        <v>28</v>
      </c>
      <c r="M5593" s="535">
        <v>7136.8</v>
      </c>
      <c r="N5593" s="539">
        <v>0.41666666666666669</v>
      </c>
    </row>
    <row r="5594" spans="1:14" ht="19.5" thickBot="1" x14ac:dyDescent="0.3">
      <c r="A5594" s="685"/>
      <c r="B5594" s="636" t="s">
        <v>1223</v>
      </c>
      <c r="C5594" s="637" t="s">
        <v>24</v>
      </c>
      <c r="D5594" s="638">
        <v>5.992</v>
      </c>
      <c r="E5594" s="639"/>
      <c r="F5594" s="640" t="s">
        <v>30</v>
      </c>
      <c r="G5594" s="641"/>
      <c r="H5594" s="640" t="s">
        <v>1227</v>
      </c>
      <c r="I5594" s="642"/>
      <c r="J5594" s="643"/>
      <c r="K5594" s="636"/>
      <c r="L5594" s="640" t="s">
        <v>28</v>
      </c>
      <c r="M5594" s="640">
        <v>5992.3200000000006</v>
      </c>
      <c r="N5594" s="644">
        <v>0.41666666666666669</v>
      </c>
    </row>
    <row r="5595" spans="1:14" x14ac:dyDescent="0.25">
      <c r="A5595" s="681">
        <f t="shared" si="161"/>
        <v>3181</v>
      </c>
      <c r="B5595" s="479" t="s">
        <v>1223</v>
      </c>
      <c r="C5595" s="480" t="s">
        <v>15</v>
      </c>
      <c r="D5595" s="481">
        <v>5.2919999999999998</v>
      </c>
      <c r="E5595" s="482"/>
      <c r="F5595" s="483" t="s">
        <v>30</v>
      </c>
      <c r="G5595" s="549"/>
      <c r="H5595" s="483" t="s">
        <v>1227</v>
      </c>
      <c r="I5595" s="484"/>
      <c r="J5595" s="485"/>
      <c r="K5595" s="479"/>
      <c r="L5595" s="483" t="s">
        <v>28</v>
      </c>
      <c r="M5595" s="483">
        <v>5292.56</v>
      </c>
      <c r="N5595" s="486">
        <v>0.45833333333333331</v>
      </c>
    </row>
    <row r="5596" spans="1:14" ht="19.5" thickBot="1" x14ac:dyDescent="0.3">
      <c r="A5596" s="683"/>
      <c r="B5596" s="645" t="s">
        <v>1223</v>
      </c>
      <c r="C5596" s="646" t="s">
        <v>23</v>
      </c>
      <c r="D5596" s="647">
        <v>6.4459999999999997</v>
      </c>
      <c r="E5596" s="648"/>
      <c r="F5596" s="649" t="s">
        <v>30</v>
      </c>
      <c r="G5596" s="650"/>
      <c r="H5596" s="649" t="s">
        <v>1227</v>
      </c>
      <c r="I5596" s="651"/>
      <c r="J5596" s="652"/>
      <c r="K5596" s="645"/>
      <c r="L5596" s="649" t="s">
        <v>28</v>
      </c>
      <c r="M5596" s="649">
        <v>6446.24</v>
      </c>
      <c r="N5596" s="653">
        <v>0.45833333333333331</v>
      </c>
    </row>
    <row r="5597" spans="1:14" ht="19.5" thickBot="1" x14ac:dyDescent="0.3">
      <c r="A5597" s="503">
        <f t="shared" si="161"/>
        <v>3182</v>
      </c>
      <c r="B5597" s="504" t="s">
        <v>1223</v>
      </c>
      <c r="C5597" s="505" t="s">
        <v>764</v>
      </c>
      <c r="D5597" s="506">
        <v>7.9690000000000003</v>
      </c>
      <c r="E5597" s="507"/>
      <c r="F5597" s="508" t="s">
        <v>30</v>
      </c>
      <c r="G5597" s="509"/>
      <c r="H5597" s="508" t="s">
        <v>1227</v>
      </c>
      <c r="I5597" s="510"/>
      <c r="J5597" s="511"/>
      <c r="K5597" s="504"/>
      <c r="L5597" s="508" t="s">
        <v>28</v>
      </c>
      <c r="M5597" s="508">
        <v>7969.2</v>
      </c>
      <c r="N5597" s="512">
        <v>0.5</v>
      </c>
    </row>
    <row r="5598" spans="1:14" ht="19.5" thickBot="1" x14ac:dyDescent="0.3">
      <c r="A5598" s="680">
        <f t="shared" si="161"/>
        <v>3183</v>
      </c>
      <c r="B5598" s="573" t="s">
        <v>1223</v>
      </c>
      <c r="C5598" s="574" t="s">
        <v>47</v>
      </c>
      <c r="D5598" s="575">
        <v>11.05</v>
      </c>
      <c r="E5598" s="576"/>
      <c r="F5598" s="577" t="s">
        <v>30</v>
      </c>
      <c r="G5598" s="578"/>
      <c r="H5598" s="577" t="s">
        <v>1227</v>
      </c>
      <c r="I5598" s="579"/>
      <c r="J5598" s="580"/>
      <c r="K5598" s="573"/>
      <c r="L5598" s="577" t="s">
        <v>28</v>
      </c>
      <c r="M5598" s="577">
        <v>11050.04</v>
      </c>
      <c r="N5598" s="581">
        <v>0.54166666666666663</v>
      </c>
    </row>
    <row r="5599" spans="1:14" x14ac:dyDescent="0.25">
      <c r="A5599" s="684">
        <f t="shared" si="161"/>
        <v>3184</v>
      </c>
      <c r="B5599" s="531" t="s">
        <v>1227</v>
      </c>
      <c r="C5599" s="532" t="s">
        <v>23</v>
      </c>
      <c r="D5599" s="533">
        <v>5.7830000000000004</v>
      </c>
      <c r="E5599" s="534"/>
      <c r="F5599" s="535" t="s">
        <v>16</v>
      </c>
      <c r="G5599" s="687" t="s">
        <v>1229</v>
      </c>
      <c r="H5599" s="535" t="s">
        <v>1228</v>
      </c>
      <c r="I5599" s="537"/>
      <c r="J5599" s="538"/>
      <c r="K5599" s="531"/>
      <c r="L5599" s="535" t="s">
        <v>28</v>
      </c>
      <c r="M5599" s="535">
        <v>5868.4800000000005</v>
      </c>
      <c r="N5599" s="539">
        <v>0.41666666666666669</v>
      </c>
    </row>
    <row r="5600" spans="1:14" ht="19.5" thickBot="1" x14ac:dyDescent="0.3">
      <c r="A5600" s="685"/>
      <c r="B5600" s="636" t="s">
        <v>1227</v>
      </c>
      <c r="C5600" s="637" t="s">
        <v>47</v>
      </c>
      <c r="D5600" s="638">
        <v>5.2640000000000002</v>
      </c>
      <c r="E5600" s="639"/>
      <c r="F5600" s="640" t="s">
        <v>16</v>
      </c>
      <c r="G5600" s="688"/>
      <c r="H5600" s="640" t="s">
        <v>1228</v>
      </c>
      <c r="I5600" s="642"/>
      <c r="J5600" s="643"/>
      <c r="K5600" s="636"/>
      <c r="L5600" s="640" t="s">
        <v>28</v>
      </c>
      <c r="M5600" s="640">
        <v>5357.92</v>
      </c>
      <c r="N5600" s="644">
        <v>0.41666666666666669</v>
      </c>
    </row>
    <row r="5601" spans="1:14" ht="19.5" thickBot="1" x14ac:dyDescent="0.3">
      <c r="A5601" s="513">
        <f t="shared" si="161"/>
        <v>3185</v>
      </c>
      <c r="B5601" s="514" t="s">
        <v>1227</v>
      </c>
      <c r="C5601" s="515" t="s">
        <v>44</v>
      </c>
      <c r="D5601" s="516">
        <v>15.457000000000001</v>
      </c>
      <c r="E5601" s="517"/>
      <c r="F5601" s="518" t="s">
        <v>16</v>
      </c>
      <c r="G5601" s="519" t="s">
        <v>1033</v>
      </c>
      <c r="H5601" s="518" t="s">
        <v>1228</v>
      </c>
      <c r="I5601" s="520"/>
      <c r="J5601" s="521"/>
      <c r="K5601" s="514"/>
      <c r="L5601" s="518" t="s">
        <v>266</v>
      </c>
      <c r="M5601" s="518">
        <v>15557.28</v>
      </c>
      <c r="N5601" s="522">
        <v>0.45833333333333331</v>
      </c>
    </row>
    <row r="5602" spans="1:14" x14ac:dyDescent="0.25">
      <c r="A5602" s="684">
        <f t="shared" si="161"/>
        <v>3186</v>
      </c>
      <c r="B5602" s="531" t="s">
        <v>1227</v>
      </c>
      <c r="C5602" s="532" t="s">
        <v>55</v>
      </c>
      <c r="D5602" s="533">
        <v>12.603999999999999</v>
      </c>
      <c r="E5602" s="534"/>
      <c r="F5602" s="535" t="s">
        <v>16</v>
      </c>
      <c r="G5602" s="536" t="s">
        <v>844</v>
      </c>
      <c r="H5602" s="535" t="s">
        <v>1228</v>
      </c>
      <c r="I5602" s="537"/>
      <c r="J5602" s="538"/>
      <c r="K5602" s="531"/>
      <c r="L5602" s="535" t="s">
        <v>266</v>
      </c>
      <c r="M5602" s="535">
        <v>12754.819999999998</v>
      </c>
      <c r="N5602" s="539">
        <v>0.5</v>
      </c>
    </row>
    <row r="5603" spans="1:14" ht="19.5" thickBot="1" x14ac:dyDescent="0.3">
      <c r="A5603" s="685"/>
      <c r="B5603" s="636" t="s">
        <v>1227</v>
      </c>
      <c r="C5603" s="637" t="s">
        <v>55</v>
      </c>
      <c r="D5603" s="638">
        <v>1.6459999999999999</v>
      </c>
      <c r="E5603" s="639"/>
      <c r="F5603" s="640" t="s">
        <v>16</v>
      </c>
      <c r="G5603" s="641" t="s">
        <v>845</v>
      </c>
      <c r="H5603" s="640" t="s">
        <v>1228</v>
      </c>
      <c r="I5603" s="642"/>
      <c r="J5603" s="643"/>
      <c r="K5603" s="636"/>
      <c r="L5603" s="640" t="s">
        <v>266</v>
      </c>
      <c r="M5603" s="640">
        <v>1703.0899999999997</v>
      </c>
      <c r="N5603" s="644">
        <v>0.5</v>
      </c>
    </row>
    <row r="5604" spans="1:14" x14ac:dyDescent="0.25">
      <c r="A5604" s="676">
        <f t="shared" si="161"/>
        <v>3187</v>
      </c>
      <c r="B5604" s="676"/>
      <c r="C5604" s="473"/>
      <c r="D5604" s="474"/>
      <c r="E5604" s="475"/>
      <c r="F5604" s="676"/>
      <c r="G5604" s="476"/>
      <c r="H5604" s="676"/>
      <c r="I5604" s="477"/>
      <c r="J5604" s="478"/>
      <c r="K5604" s="676"/>
      <c r="L5604" s="676"/>
      <c r="M5604" s="676"/>
      <c r="N5604" s="676"/>
    </row>
    <row r="5605" spans="1:14" x14ac:dyDescent="0.25">
      <c r="A5605" s="676">
        <f t="shared" si="161"/>
        <v>3188</v>
      </c>
      <c r="B5605" s="676"/>
      <c r="C5605" s="473"/>
      <c r="D5605" s="474"/>
      <c r="E5605" s="475"/>
      <c r="F5605" s="676"/>
      <c r="G5605" s="476"/>
      <c r="H5605" s="676"/>
      <c r="I5605" s="477"/>
      <c r="J5605" s="478"/>
      <c r="K5605" s="676"/>
      <c r="L5605" s="676"/>
      <c r="M5605" s="676"/>
      <c r="N5605" s="676"/>
    </row>
    <row r="5606" spans="1:14" x14ac:dyDescent="0.25">
      <c r="A5606" s="676">
        <f t="shared" si="161"/>
        <v>3189</v>
      </c>
      <c r="B5606" s="676"/>
      <c r="C5606" s="473"/>
      <c r="D5606" s="474"/>
      <c r="E5606" s="475"/>
      <c r="F5606" s="676"/>
      <c r="G5606" s="476"/>
      <c r="H5606" s="676"/>
      <c r="I5606" s="477"/>
      <c r="J5606" s="478"/>
      <c r="K5606" s="676"/>
      <c r="L5606" s="676"/>
      <c r="M5606" s="676"/>
      <c r="N5606" s="676"/>
    </row>
    <row r="5607" spans="1:14" x14ac:dyDescent="0.25">
      <c r="A5607" s="676">
        <f t="shared" si="161"/>
        <v>3190</v>
      </c>
      <c r="B5607" s="676"/>
      <c r="C5607" s="473"/>
      <c r="D5607" s="474"/>
      <c r="E5607" s="475"/>
      <c r="F5607" s="676"/>
      <c r="G5607" s="476"/>
      <c r="H5607" s="676"/>
      <c r="I5607" s="477"/>
      <c r="J5607" s="478"/>
      <c r="K5607" s="676"/>
      <c r="L5607" s="676"/>
      <c r="M5607" s="676"/>
      <c r="N5607" s="676"/>
    </row>
    <row r="5608" spans="1:14" x14ac:dyDescent="0.25">
      <c r="A5608" s="676">
        <f t="shared" si="161"/>
        <v>3191</v>
      </c>
      <c r="B5608" s="676"/>
      <c r="C5608" s="473"/>
      <c r="D5608" s="474"/>
      <c r="E5608" s="475"/>
      <c r="F5608" s="676"/>
      <c r="G5608" s="476"/>
      <c r="H5608" s="676"/>
      <c r="I5608" s="477"/>
      <c r="J5608" s="478"/>
      <c r="K5608" s="676"/>
      <c r="L5608" s="676"/>
      <c r="M5608" s="676"/>
      <c r="N5608" s="676"/>
    </row>
    <row r="5609" spans="1:14" x14ac:dyDescent="0.25">
      <c r="A5609" s="676">
        <f t="shared" si="161"/>
        <v>3192</v>
      </c>
      <c r="B5609" s="676"/>
      <c r="C5609" s="473"/>
      <c r="D5609" s="474"/>
      <c r="E5609" s="475"/>
      <c r="F5609" s="676"/>
      <c r="G5609" s="476"/>
      <c r="H5609" s="676"/>
      <c r="I5609" s="477"/>
      <c r="J5609" s="478"/>
      <c r="K5609" s="676"/>
      <c r="L5609" s="676"/>
      <c r="M5609" s="676"/>
      <c r="N5609" s="676"/>
    </row>
    <row r="5610" spans="1:14" x14ac:dyDescent="0.25">
      <c r="A5610" s="676">
        <f t="shared" si="161"/>
        <v>3193</v>
      </c>
      <c r="B5610" s="676"/>
      <c r="C5610" s="473"/>
      <c r="D5610" s="474"/>
      <c r="E5610" s="475"/>
      <c r="F5610" s="676"/>
      <c r="G5610" s="476"/>
      <c r="H5610" s="676"/>
      <c r="I5610" s="477"/>
      <c r="J5610" s="478"/>
      <c r="K5610" s="676"/>
      <c r="L5610" s="676"/>
      <c r="M5610" s="676"/>
      <c r="N5610" s="676"/>
    </row>
    <row r="5611" spans="1:14" x14ac:dyDescent="0.25">
      <c r="A5611" s="676">
        <f t="shared" si="161"/>
        <v>3194</v>
      </c>
      <c r="B5611" s="676"/>
      <c r="C5611" s="473"/>
      <c r="D5611" s="474"/>
      <c r="E5611" s="475"/>
      <c r="F5611" s="676"/>
      <c r="G5611" s="476"/>
      <c r="H5611" s="676"/>
      <c r="I5611" s="477"/>
      <c r="J5611" s="478"/>
      <c r="K5611" s="676"/>
      <c r="L5611" s="676"/>
      <c r="M5611" s="676"/>
      <c r="N5611" s="676"/>
    </row>
    <row r="5612" spans="1:14" x14ac:dyDescent="0.25">
      <c r="A5612" s="676">
        <f t="shared" si="161"/>
        <v>3195</v>
      </c>
      <c r="B5612" s="676"/>
      <c r="C5612" s="473"/>
      <c r="D5612" s="474"/>
      <c r="E5612" s="475"/>
      <c r="F5612" s="676"/>
      <c r="G5612" s="476"/>
      <c r="H5612" s="676"/>
      <c r="I5612" s="477"/>
      <c r="J5612" s="478"/>
      <c r="K5612" s="676"/>
      <c r="L5612" s="676"/>
      <c r="M5612" s="676"/>
      <c r="N5612" s="676"/>
    </row>
    <row r="5613" spans="1:14" x14ac:dyDescent="0.25">
      <c r="A5613" s="676">
        <f t="shared" si="161"/>
        <v>3196</v>
      </c>
      <c r="B5613" s="676"/>
      <c r="C5613" s="473"/>
      <c r="D5613" s="474"/>
      <c r="E5613" s="475"/>
      <c r="F5613" s="676"/>
      <c r="G5613" s="476"/>
      <c r="H5613" s="676"/>
      <c r="I5613" s="477"/>
      <c r="J5613" s="478"/>
      <c r="K5613" s="676"/>
      <c r="L5613" s="676"/>
      <c r="M5613" s="676"/>
      <c r="N5613" s="676"/>
    </row>
    <row r="5614" spans="1:14" x14ac:dyDescent="0.25">
      <c r="A5614" s="676">
        <f t="shared" si="161"/>
        <v>3197</v>
      </c>
      <c r="B5614" s="676"/>
      <c r="C5614" s="473"/>
      <c r="D5614" s="474"/>
      <c r="E5614" s="475"/>
      <c r="F5614" s="676"/>
      <c r="G5614" s="476"/>
      <c r="H5614" s="676"/>
      <c r="I5614" s="477"/>
      <c r="J5614" s="478"/>
      <c r="K5614" s="676"/>
      <c r="L5614" s="676"/>
      <c r="M5614" s="676"/>
      <c r="N5614" s="676"/>
    </row>
    <row r="5615" spans="1:14" x14ac:dyDescent="0.25">
      <c r="A5615" s="676">
        <f t="shared" si="161"/>
        <v>3198</v>
      </c>
      <c r="B5615" s="676"/>
      <c r="C5615" s="473"/>
      <c r="D5615" s="474"/>
      <c r="E5615" s="475"/>
      <c r="F5615" s="676"/>
      <c r="G5615" s="476"/>
      <c r="H5615" s="676"/>
      <c r="I5615" s="477"/>
      <c r="J5615" s="478"/>
      <c r="K5615" s="676"/>
      <c r="L5615" s="676"/>
      <c r="M5615" s="676"/>
      <c r="N5615" s="676"/>
    </row>
    <row r="5616" spans="1:14" x14ac:dyDescent="0.25">
      <c r="A5616" s="676">
        <f t="shared" si="161"/>
        <v>3199</v>
      </c>
      <c r="B5616" s="676"/>
      <c r="C5616" s="473"/>
      <c r="D5616" s="474"/>
      <c r="E5616" s="475"/>
      <c r="F5616" s="676"/>
      <c r="G5616" s="476"/>
      <c r="H5616" s="676"/>
      <c r="I5616" s="477"/>
      <c r="J5616" s="478"/>
      <c r="K5616" s="676"/>
      <c r="L5616" s="676"/>
      <c r="M5616" s="676"/>
      <c r="N5616" s="676"/>
    </row>
    <row r="5617" spans="1:14" x14ac:dyDescent="0.25">
      <c r="A5617" s="676">
        <f t="shared" si="161"/>
        <v>3200</v>
      </c>
      <c r="B5617" s="676"/>
      <c r="C5617" s="473"/>
      <c r="D5617" s="474"/>
      <c r="E5617" s="475"/>
      <c r="F5617" s="676"/>
      <c r="G5617" s="476"/>
      <c r="H5617" s="676"/>
      <c r="I5617" s="477"/>
      <c r="J5617" s="478"/>
      <c r="K5617" s="676"/>
      <c r="L5617" s="676"/>
      <c r="M5617" s="676"/>
      <c r="N5617" s="676"/>
    </row>
    <row r="5618" spans="1:14" x14ac:dyDescent="0.25">
      <c r="A5618" s="676">
        <f t="shared" si="161"/>
        <v>3201</v>
      </c>
      <c r="B5618" s="676"/>
      <c r="C5618" s="473"/>
      <c r="D5618" s="474"/>
      <c r="E5618" s="475"/>
      <c r="F5618" s="676"/>
      <c r="G5618" s="476"/>
      <c r="H5618" s="676"/>
      <c r="I5618" s="477"/>
      <c r="J5618" s="478"/>
      <c r="K5618" s="676"/>
      <c r="L5618" s="676"/>
      <c r="M5618" s="676"/>
      <c r="N5618" s="676"/>
    </row>
    <row r="5619" spans="1:14" x14ac:dyDescent="0.25">
      <c r="A5619" s="676">
        <f t="shared" si="161"/>
        <v>3202</v>
      </c>
      <c r="B5619" s="676"/>
      <c r="C5619" s="473"/>
      <c r="D5619" s="474"/>
      <c r="E5619" s="475"/>
      <c r="F5619" s="676"/>
      <c r="G5619" s="476"/>
      <c r="H5619" s="676"/>
      <c r="I5619" s="477"/>
      <c r="J5619" s="478"/>
      <c r="K5619" s="676"/>
      <c r="L5619" s="676"/>
      <c r="M5619" s="676"/>
      <c r="N5619" s="676"/>
    </row>
    <row r="5620" spans="1:14" x14ac:dyDescent="0.25">
      <c r="A5620" s="676">
        <f t="shared" si="161"/>
        <v>3203</v>
      </c>
      <c r="B5620" s="676"/>
      <c r="C5620" s="473"/>
      <c r="D5620" s="474"/>
      <c r="E5620" s="475"/>
      <c r="F5620" s="676"/>
      <c r="G5620" s="476"/>
      <c r="H5620" s="676"/>
      <c r="I5620" s="477"/>
      <c r="J5620" s="478"/>
      <c r="K5620" s="676"/>
      <c r="L5620" s="676"/>
      <c r="M5620" s="676"/>
      <c r="N5620" s="676"/>
    </row>
  </sheetData>
  <autoFilter ref="A2:N5602" xr:uid="{79D26EB9-2ECC-4189-8AEF-8CA7CBA20027}">
    <filterColumn colId="10">
      <filters blank="1"/>
    </filterColumn>
  </autoFilter>
  <mergeCells count="1677">
    <mergeCell ref="A5599:A5600"/>
    <mergeCell ref="G5599:G5600"/>
    <mergeCell ref="A5602:A5603"/>
    <mergeCell ref="A889:A890"/>
    <mergeCell ref="A5577:A5578"/>
    <mergeCell ref="G5549:G5550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  <mergeCell ref="A1026:A1027"/>
    <mergeCell ref="A1115:A1116"/>
    <mergeCell ref="A1117:A1120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833:A835"/>
    <mergeCell ref="A747:A750"/>
    <mergeCell ref="A1023:A1025"/>
    <mergeCell ref="A1028:A1029"/>
    <mergeCell ref="A1087:A1090"/>
    <mergeCell ref="A1092:A1093"/>
    <mergeCell ref="A1096:A1097"/>
    <mergeCell ref="A1102:A1105"/>
    <mergeCell ref="A1106:A1107"/>
    <mergeCell ref="A1110:A111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925:A928"/>
    <mergeCell ref="A929:A930"/>
    <mergeCell ref="A878:A880"/>
    <mergeCell ref="A884:A886"/>
    <mergeCell ref="A900:A904"/>
    <mergeCell ref="A596:A597"/>
    <mergeCell ref="A801:A802"/>
    <mergeCell ref="A1021:A1022"/>
    <mergeCell ref="A804:A808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2:A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5531:G5532"/>
    <mergeCell ref="G5534:G5538"/>
    <mergeCell ref="A5542:A5546"/>
    <mergeCell ref="A5518:A5522"/>
    <mergeCell ref="A5523:A5525"/>
    <mergeCell ref="A5531:A553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2026-01-23T07:38:47Z</cp:lastPrinted>
  <dcterms:created xsi:type="dcterms:W3CDTF">2015-06-05T18:19:34Z</dcterms:created>
  <dcterms:modified xsi:type="dcterms:W3CDTF">2026-01-26T13:15:36Z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