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19539880-A0EE-4194-B334-BE728716703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Лист1!$A$2:$N$5261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272" i="1" l="1"/>
  <c r="A5265" i="1" l="1"/>
  <c r="A5262" i="1" l="1"/>
  <c r="A5264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A5267" i="1" l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A5270" i="1" l="1"/>
  <c r="E5208" i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A5274" i="1" l="1"/>
  <c r="A5275" i="1"/>
  <c r="K5152" i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A5276" i="1" l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A5277" i="1" l="1"/>
  <c r="K5106" i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A5278" i="1" l="1"/>
  <c r="A5279" i="1" s="1"/>
  <c r="A5280" i="1" s="1"/>
  <c r="A5281" i="1" s="1"/>
  <c r="A5282" i="1" s="1"/>
  <c r="A5283" i="1" s="1"/>
  <c r="A5284" i="1" s="1"/>
  <c r="A5285" i="1" s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/>
  <c r="A5247" i="1" s="1"/>
  <c r="A5253" i="1" l="1"/>
  <c r="A5254" i="1" s="1"/>
  <c r="A5250" i="1"/>
  <c r="A5252" i="1" s="1"/>
  <c r="A5256" i="1" l="1"/>
  <c r="A5257" i="1" s="1"/>
  <c r="A5258" i="1" s="1"/>
  <c r="A5259" i="1" s="1"/>
  <c r="A5260" i="1" s="1"/>
</calcChain>
</file>

<file path=xl/sharedStrings.xml><?xml version="1.0" encoding="utf-8"?>
<sst xmlns="http://schemas.openxmlformats.org/spreadsheetml/2006/main" count="32224" uniqueCount="1161">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</sst>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85"/>
  <sheetViews>
    <sheetView tabSelected="1" zoomScale="85" zoomScaleNormal="85" workbookViewId="0">
      <pane ySplit="2" topLeftCell="A5236" activePane="bottomLeft" state="frozen"/>
      <selection pane="bottomLeft" activeCell="J5259" sqref="J525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10" t="s">
        <v>0</v>
      </c>
      <c r="B1" s="710"/>
      <c r="C1" s="710"/>
      <c r="D1" s="710"/>
      <c r="E1" s="710"/>
      <c r="F1" s="710"/>
      <c r="G1" s="710"/>
      <c r="H1" s="710"/>
      <c r="I1" s="710"/>
      <c r="J1" s="71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11">
        <v>1</v>
      </c>
      <c r="B3" s="71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11"/>
      <c r="B4" s="71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8">
        <v>3</v>
      </c>
      <c r="B6" s="70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8"/>
      <c r="B7" s="70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8"/>
      <c r="B8" s="70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8">
        <v>5</v>
      </c>
      <c r="B10" s="70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8"/>
      <c r="B11" s="70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9">
        <v>8</v>
      </c>
      <c r="B14" s="70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9"/>
      <c r="B15" s="70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8">
        <v>11</v>
      </c>
      <c r="B18" s="70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8"/>
      <c r="B19" s="70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8"/>
      <c r="B20" s="70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8"/>
      <c r="B21" s="70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8">
        <v>13</v>
      </c>
      <c r="B23" s="70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8"/>
      <c r="B24" s="70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9">
        <v>14</v>
      </c>
      <c r="B25" s="70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9"/>
      <c r="B26" s="70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8">
        <v>15</v>
      </c>
      <c r="B27" s="70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8"/>
      <c r="B28" s="70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8"/>
      <c r="B29" s="70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8"/>
      <c r="B30" s="70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9">
        <v>16</v>
      </c>
      <c r="B31" s="70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9"/>
      <c r="B32" s="70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9"/>
      <c r="B33" s="70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9"/>
      <c r="B34" s="70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8">
        <v>17</v>
      </c>
      <c r="B35" s="70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8"/>
      <c r="B36" s="70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8">
        <v>21</v>
      </c>
      <c r="B40" s="70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8"/>
      <c r="B41" s="70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8">
        <v>23</v>
      </c>
      <c r="B43" s="70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8"/>
      <c r="B44" s="70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8"/>
      <c r="B45" s="70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9">
        <v>24</v>
      </c>
      <c r="B46" s="70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9"/>
      <c r="B47" s="70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8">
        <v>25</v>
      </c>
      <c r="B48" s="70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8"/>
      <c r="B49" s="70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8"/>
      <c r="B50" s="70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9">
        <v>26</v>
      </c>
      <c r="B51" s="70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9"/>
      <c r="B52" s="70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8">
        <v>29</v>
      </c>
      <c r="B55" s="70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8"/>
      <c r="B56" s="70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9">
        <v>32</v>
      </c>
      <c r="B59" s="70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9"/>
      <c r="B60" s="70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9">
        <v>34</v>
      </c>
      <c r="B62" s="70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9"/>
      <c r="B63" s="70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9"/>
      <c r="B64" s="70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9"/>
      <c r="B65" s="70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9"/>
      <c r="B66" s="70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8">
        <v>35</v>
      </c>
      <c r="B67" s="70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8"/>
      <c r="B68" s="70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1">
        <v>40</v>
      </c>
      <c r="B73" s="70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1"/>
      <c r="B74" s="70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0">
        <v>41</v>
      </c>
      <c r="B75" s="70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0"/>
      <c r="B76" s="70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0"/>
      <c r="B77" s="70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1">
        <v>42</v>
      </c>
      <c r="B78" s="70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1"/>
      <c r="B79" s="70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0">
        <v>49</v>
      </c>
      <c r="B86" s="70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0"/>
      <c r="B87" s="70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0"/>
      <c r="B88" s="70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1">
        <v>50</v>
      </c>
      <c r="B89" s="70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1"/>
      <c r="B90" s="70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0">
        <v>51</v>
      </c>
      <c r="B91" s="70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0"/>
      <c r="B92" s="70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0">
        <v>53</v>
      </c>
      <c r="B94" s="70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0"/>
      <c r="B95" s="70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1">
        <v>54</v>
      </c>
      <c r="B96" s="70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1"/>
      <c r="B97" s="70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1"/>
      <c r="B98" s="70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1">
        <v>58</v>
      </c>
      <c r="B102" s="70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1"/>
      <c r="B103" s="70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1">
        <v>60</v>
      </c>
      <c r="B105" s="70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1"/>
      <c r="B106" s="70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1"/>
      <c r="B107" s="70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0">
        <v>61</v>
      </c>
      <c r="B108" s="70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0"/>
      <c r="B109" s="70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0"/>
      <c r="B110" s="70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1">
        <v>64</v>
      </c>
      <c r="B113" s="70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1"/>
      <c r="B114" s="70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1">
        <v>66</v>
      </c>
      <c r="B116" s="70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1"/>
      <c r="B117" s="70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0">
        <v>67</v>
      </c>
      <c r="B118" s="70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0"/>
      <c r="B119" s="70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0"/>
      <c r="B120" s="70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1">
        <v>68</v>
      </c>
      <c r="B121" s="70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1"/>
      <c r="B122" s="70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0">
        <v>69</v>
      </c>
      <c r="B123" s="70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0"/>
      <c r="B124" s="70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1">
        <v>72</v>
      </c>
      <c r="B127" s="709" t="s">
        <v>65</v>
      </c>
      <c r="C127" s="119" t="s">
        <v>26</v>
      </c>
      <c r="D127" s="120">
        <v>3.3</v>
      </c>
      <c r="E127" s="121"/>
      <c r="F127" s="122" t="s">
        <v>30</v>
      </c>
      <c r="G127" s="706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1"/>
      <c r="B128" s="709"/>
      <c r="C128" s="103" t="s">
        <v>26</v>
      </c>
      <c r="D128" s="88">
        <v>12.9</v>
      </c>
      <c r="E128" s="106"/>
      <c r="F128" s="107" t="s">
        <v>16</v>
      </c>
      <c r="G128" s="706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1">
        <v>76</v>
      </c>
      <c r="B132" s="71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1"/>
      <c r="B133" s="71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1"/>
      <c r="B134" s="71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1"/>
      <c r="B135" s="71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1">
        <v>78</v>
      </c>
      <c r="B137" s="71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1"/>
      <c r="B138" s="71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6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6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5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5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6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6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6" t="s">
        <v>133</v>
      </c>
      <c r="J420" s="716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7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7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7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7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7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7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7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7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7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7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7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7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7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7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7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7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7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7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7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7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7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7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7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7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7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7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7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7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7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7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5" t="s">
        <v>467</v>
      </c>
      <c r="H2160" s="414" t="s">
        <v>515</v>
      </c>
      <c r="I2160" s="415" t="s">
        <v>516</v>
      </c>
      <c r="J2160" s="72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5"/>
      <c r="H2161" s="421" t="s">
        <v>515</v>
      </c>
      <c r="I2161" s="422" t="s">
        <v>516</v>
      </c>
      <c r="J2161" s="72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5"/>
      <c r="H2162" s="429" t="s">
        <v>515</v>
      </c>
      <c r="I2162" s="430" t="s">
        <v>516</v>
      </c>
      <c r="J2162" s="72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5" t="s">
        <v>467</v>
      </c>
      <c r="H2165" s="414" t="s">
        <v>516</v>
      </c>
      <c r="I2165" s="415" t="s">
        <v>516</v>
      </c>
      <c r="J2165" s="72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5"/>
      <c r="H2166" s="429" t="s">
        <v>516</v>
      </c>
      <c r="I2166" s="430" t="s">
        <v>516</v>
      </c>
      <c r="J2166" s="72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7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7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8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7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7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7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7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7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7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7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7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7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8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7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7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7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7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7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7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7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7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7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7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7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7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7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7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7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7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8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8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7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7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7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7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7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7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7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7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7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7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9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9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9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9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1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9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1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9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9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9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9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9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9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9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9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1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9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9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9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1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9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9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1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9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9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9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9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9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7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9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9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9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9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9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9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9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9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9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9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9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9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9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7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9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1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9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9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9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9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9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9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9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9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9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1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9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9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9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9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9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9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9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1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9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9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9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1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9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9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9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9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9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9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9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9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9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9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9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9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9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9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9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9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9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9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1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9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9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9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1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9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9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9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9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7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7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9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9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9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1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9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9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9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9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9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9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9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9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9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9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9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9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9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9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9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1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9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9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9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9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9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9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9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9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9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9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9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7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9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9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9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9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9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9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9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9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9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9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9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9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9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9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9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9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9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9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9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9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1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9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9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1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9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9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9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7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9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9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9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9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9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1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9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9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9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1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9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9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1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9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9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9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9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9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9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9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9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9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7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9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9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9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9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1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9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9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9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9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1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9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9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9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1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9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9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9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1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9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1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9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9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9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1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9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9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1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9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7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7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9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1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9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4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9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9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9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1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2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9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1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2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9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9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7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7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7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9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9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9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9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9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9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9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9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9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9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11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9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9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7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9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9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x14ac:dyDescent="0.25">
      <c r="A5212" s="68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79"/>
      <c r="L5212" s="483" t="s">
        <v>265</v>
      </c>
      <c r="M5212" s="483">
        <v>16269.54</v>
      </c>
      <c r="N5212" s="486">
        <v>0.375</v>
      </c>
    </row>
    <row r="5213" spans="1:14" ht="19.5" thickBot="1" x14ac:dyDescent="0.3">
      <c r="A5213" s="68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5"/>
      <c r="L5213" s="649" t="s">
        <v>266</v>
      </c>
      <c r="M5213" s="649">
        <v>1315.3799999999999</v>
      </c>
      <c r="N5213" s="653">
        <v>0.375</v>
      </c>
    </row>
    <row r="5214" spans="1:14" ht="19.5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2"/>
      <c r="L5214" s="556" t="s">
        <v>265</v>
      </c>
      <c r="M5214" s="556">
        <v>12824.52</v>
      </c>
      <c r="N5214" s="560">
        <v>0.375</v>
      </c>
    </row>
    <row r="5215" spans="1:14" ht="19.5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4"/>
      <c r="L5215" s="518" t="s">
        <v>266</v>
      </c>
      <c r="M5215" s="518">
        <v>18015</v>
      </c>
      <c r="N5215" s="522">
        <v>0.41666666666666669</v>
      </c>
    </row>
    <row r="5216" spans="1:14" x14ac:dyDescent="0.25">
      <c r="A5216" s="689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1" t="s">
        <v>1152</v>
      </c>
      <c r="H5216" s="535" t="s">
        <v>1150</v>
      </c>
      <c r="I5216" s="537" t="s">
        <v>1150</v>
      </c>
      <c r="J5216" s="538"/>
      <c r="K5216" s="531"/>
      <c r="L5216" s="535" t="s">
        <v>28</v>
      </c>
      <c r="M5216" s="535">
        <v>3274.32</v>
      </c>
      <c r="N5216" s="539">
        <v>0.45833333333333331</v>
      </c>
    </row>
    <row r="5217" spans="1:14" ht="19.5" thickBot="1" x14ac:dyDescent="0.3">
      <c r="A5217" s="69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2"/>
      <c r="H5217" s="640" t="s">
        <v>1150</v>
      </c>
      <c r="I5217" s="642" t="s">
        <v>1150</v>
      </c>
      <c r="J5217" s="643"/>
      <c r="K5217" s="636"/>
      <c r="L5217" s="640" t="s">
        <v>28</v>
      </c>
      <c r="M5217" s="640">
        <v>10070.129999999999</v>
      </c>
      <c r="N5217" s="644">
        <v>0.45833333333333331</v>
      </c>
    </row>
    <row r="5218" spans="1:14" ht="19.5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4"/>
      <c r="L5218" s="518" t="s">
        <v>265</v>
      </c>
      <c r="M5218" s="518">
        <v>17779.47</v>
      </c>
      <c r="N5218" s="522">
        <v>0.375</v>
      </c>
    </row>
    <row r="5219" spans="1:14" x14ac:dyDescent="0.25">
      <c r="A5219" s="689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1"/>
      <c r="L5219" s="535" t="s">
        <v>28</v>
      </c>
      <c r="M5219" s="535">
        <v>2132.2200000000003</v>
      </c>
      <c r="N5219" s="539">
        <v>0.41666666666666669</v>
      </c>
    </row>
    <row r="5220" spans="1:14" x14ac:dyDescent="0.25">
      <c r="A5220" s="69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3"/>
      <c r="L5220" s="567" t="s">
        <v>28</v>
      </c>
      <c r="M5220" s="567">
        <v>5116.8900000000012</v>
      </c>
      <c r="N5220" s="571">
        <v>0.41666666666666669</v>
      </c>
    </row>
    <row r="5221" spans="1:14" ht="19.5" thickBot="1" x14ac:dyDescent="0.3">
      <c r="A5221" s="69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36"/>
      <c r="L5221" s="640" t="s">
        <v>28</v>
      </c>
      <c r="M5221" s="640">
        <v>10112.699999999999</v>
      </c>
      <c r="N5221" s="644">
        <v>0.41666666666666669</v>
      </c>
    </row>
    <row r="5222" spans="1:14" x14ac:dyDescent="0.25">
      <c r="A5222" s="68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79"/>
      <c r="L5222" s="483" t="s">
        <v>266</v>
      </c>
      <c r="M5222" s="483">
        <v>8492.34</v>
      </c>
      <c r="N5222" s="486">
        <v>0.45833333333333331</v>
      </c>
    </row>
    <row r="5223" spans="1:14" x14ac:dyDescent="0.25">
      <c r="A5223" s="69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3"/>
      <c r="L5223" s="527" t="s">
        <v>266</v>
      </c>
      <c r="M5223" s="527">
        <v>4083.08</v>
      </c>
      <c r="N5223" s="530">
        <v>0.45833333333333331</v>
      </c>
    </row>
    <row r="5224" spans="1:14" x14ac:dyDescent="0.25">
      <c r="A5224" s="69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3"/>
      <c r="L5224" s="527" t="s">
        <v>28</v>
      </c>
      <c r="M5224" s="527">
        <v>1752.71</v>
      </c>
      <c r="N5224" s="530">
        <v>0.45833333333333331</v>
      </c>
    </row>
    <row r="5225" spans="1:14" ht="19.5" thickBot="1" x14ac:dyDescent="0.3">
      <c r="A5225" s="68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5"/>
      <c r="L5225" s="649" t="s">
        <v>28</v>
      </c>
      <c r="M5225" s="649">
        <v>2977.26</v>
      </c>
      <c r="N5225" s="653">
        <v>0.45833333333333331</v>
      </c>
    </row>
    <row r="5226" spans="1:14" x14ac:dyDescent="0.25">
      <c r="A5226" s="689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1"/>
      <c r="L5226" s="535" t="s">
        <v>28</v>
      </c>
      <c r="M5226" s="535">
        <v>4612.08</v>
      </c>
      <c r="N5226" s="539">
        <v>0.41666666666666669</v>
      </c>
    </row>
    <row r="5227" spans="1:14" x14ac:dyDescent="0.25">
      <c r="A5227" s="69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3"/>
      <c r="L5227" s="567" t="s">
        <v>28</v>
      </c>
      <c r="M5227" s="567">
        <v>3643.6</v>
      </c>
      <c r="N5227" s="571">
        <v>0.41666666666666669</v>
      </c>
    </row>
    <row r="5228" spans="1:14" ht="19.5" thickBot="1" x14ac:dyDescent="0.3">
      <c r="A5228" s="69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36"/>
      <c r="L5228" s="640" t="s">
        <v>28</v>
      </c>
      <c r="M5228" s="640">
        <v>2288.1600000000003</v>
      </c>
      <c r="N5228" s="644">
        <v>0.41666666666666669</v>
      </c>
    </row>
    <row r="5229" spans="1:14" x14ac:dyDescent="0.25">
      <c r="A5229" s="68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79"/>
      <c r="L5229" s="483" t="s">
        <v>28</v>
      </c>
      <c r="M5229" s="483">
        <v>5369.64</v>
      </c>
      <c r="N5229" s="486">
        <v>0.45833333333333331</v>
      </c>
    </row>
    <row r="5230" spans="1:14" ht="19.5" thickBot="1" x14ac:dyDescent="0.3">
      <c r="A5230" s="69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5"/>
      <c r="L5230" s="499" t="s">
        <v>28</v>
      </c>
      <c r="M5230" s="499">
        <v>6780.2400000000007</v>
      </c>
      <c r="N5230" s="502">
        <v>0.45833333333333331</v>
      </c>
    </row>
    <row r="5231" spans="1:14" ht="38.25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4"/>
      <c r="L5231" s="508" t="s">
        <v>266</v>
      </c>
      <c r="M5231" s="508">
        <v>16700.16</v>
      </c>
      <c r="N5231" s="512">
        <v>0.41666666666666669</v>
      </c>
    </row>
    <row r="5232" spans="1:14" x14ac:dyDescent="0.25">
      <c r="A5232" s="68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5" t="s">
        <v>959</v>
      </c>
      <c r="H5232" s="483" t="s">
        <v>1153</v>
      </c>
      <c r="I5232" s="484" t="s">
        <v>1155</v>
      </c>
      <c r="J5232" s="485"/>
      <c r="K5232" s="479"/>
      <c r="L5232" s="483" t="s">
        <v>28</v>
      </c>
      <c r="M5232" s="483">
        <v>3545.5800000000004</v>
      </c>
      <c r="N5232" s="486">
        <v>0.45833333333333331</v>
      </c>
    </row>
    <row r="5233" spans="1:14" ht="19.5" thickBot="1" x14ac:dyDescent="0.3">
      <c r="A5233" s="68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6"/>
      <c r="H5233" s="649" t="s">
        <v>1153</v>
      </c>
      <c r="I5233" s="651" t="s">
        <v>1155</v>
      </c>
      <c r="J5233" s="652"/>
      <c r="K5233" s="645"/>
      <c r="L5233" s="649" t="s">
        <v>28</v>
      </c>
      <c r="M5233" s="649">
        <v>4330.7000000000007</v>
      </c>
      <c r="N5233" s="653">
        <v>0.45833333333333331</v>
      </c>
    </row>
    <row r="5234" spans="1:14" x14ac:dyDescent="0.25">
      <c r="A5234" s="689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1"/>
      <c r="L5234" s="535" t="s">
        <v>266</v>
      </c>
      <c r="M5234" s="535">
        <v>1414.66</v>
      </c>
      <c r="N5234" s="539">
        <v>0.5</v>
      </c>
    </row>
    <row r="5235" spans="1:14" ht="19.5" thickBot="1" x14ac:dyDescent="0.3">
      <c r="A5235" s="69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0"/>
      <c r="L5235" s="594" t="s">
        <v>266</v>
      </c>
      <c r="M5235" s="594">
        <v>12543.3</v>
      </c>
      <c r="N5235" s="598">
        <v>0.5</v>
      </c>
    </row>
    <row r="5236" spans="1:14" ht="19.5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4"/>
      <c r="L5236" s="518" t="s">
        <v>266</v>
      </c>
      <c r="M5236" s="518">
        <v>18162.62</v>
      </c>
      <c r="N5236" s="522">
        <v>0.375</v>
      </c>
    </row>
    <row r="5237" spans="1:14" ht="19.5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4"/>
      <c r="L5237" s="508" t="s">
        <v>266</v>
      </c>
      <c r="M5237" s="508">
        <v>18175.859999999997</v>
      </c>
      <c r="N5237" s="512">
        <v>0.41666666666666669</v>
      </c>
    </row>
    <row r="5238" spans="1:14" ht="19.5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4"/>
      <c r="L5238" s="518" t="s">
        <v>266</v>
      </c>
      <c r="M5238" s="518">
        <v>17960.180000000004</v>
      </c>
      <c r="N5238" s="522">
        <v>0.45833333333333331</v>
      </c>
    </row>
    <row r="5239" spans="1:14" ht="19.5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4"/>
      <c r="L5239" s="508" t="s">
        <v>266</v>
      </c>
      <c r="M5239" s="508">
        <v>17973.300000000003</v>
      </c>
      <c r="N5239" s="512">
        <v>0.5</v>
      </c>
    </row>
    <row r="5240" spans="1:14" x14ac:dyDescent="0.25">
      <c r="A5240" s="68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79"/>
      <c r="L5240" s="483" t="s">
        <v>266</v>
      </c>
      <c r="M5240" s="483">
        <v>591.9799999999999</v>
      </c>
      <c r="N5240" s="486">
        <v>0.54166666666666663</v>
      </c>
    </row>
    <row r="5241" spans="1:14" x14ac:dyDescent="0.25">
      <c r="A5241" s="69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3"/>
      <c r="L5241" s="527" t="s">
        <v>266</v>
      </c>
      <c r="M5241" s="527">
        <v>4241.7199999999993</v>
      </c>
      <c r="N5241" s="530">
        <v>0.54166666666666663</v>
      </c>
    </row>
    <row r="5242" spans="1:14" ht="19.5" thickBot="1" x14ac:dyDescent="0.3">
      <c r="A5242" s="69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5"/>
      <c r="L5242" s="499" t="s">
        <v>266</v>
      </c>
      <c r="M5242" s="499">
        <v>7325.2800000000007</v>
      </c>
      <c r="N5242" s="502">
        <v>0.54166666666666663</v>
      </c>
    </row>
    <row r="5243" spans="1:14" x14ac:dyDescent="0.25">
      <c r="A5243" s="689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1"/>
      <c r="L5243" s="535" t="s">
        <v>265</v>
      </c>
      <c r="M5243" s="535">
        <v>11129.64</v>
      </c>
      <c r="N5243" s="539">
        <v>0.375</v>
      </c>
    </row>
    <row r="5244" spans="1:14" ht="19.5" thickBot="1" x14ac:dyDescent="0.3">
      <c r="A5244" s="69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36"/>
      <c r="L5244" s="640" t="s">
        <v>265</v>
      </c>
      <c r="M5244" s="640">
        <v>5988.380000000001</v>
      </c>
      <c r="N5244" s="644">
        <v>0.375</v>
      </c>
    </row>
    <row r="5245" spans="1:14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4"/>
      <c r="L5245" s="518" t="s">
        <v>265</v>
      </c>
      <c r="M5245" s="518">
        <v>17627.14</v>
      </c>
      <c r="N5245" s="522">
        <v>0.41666666666666669</v>
      </c>
    </row>
    <row r="5246" spans="1:14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/>
      <c r="F5246" s="508" t="s">
        <v>16</v>
      </c>
      <c r="G5246" s="509"/>
      <c r="H5246" s="508" t="s">
        <v>1157</v>
      </c>
      <c r="I5246" s="510"/>
      <c r="J5246" s="511"/>
      <c r="K5246" s="504"/>
      <c r="L5246" s="508" t="s">
        <v>265</v>
      </c>
      <c r="M5246" s="508">
        <v>17684.5</v>
      </c>
      <c r="N5246" s="512">
        <v>0.375</v>
      </c>
    </row>
    <row r="5247" spans="1:14" x14ac:dyDescent="0.25">
      <c r="A5247" s="68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/>
      <c r="F5247" s="483" t="s">
        <v>16</v>
      </c>
      <c r="G5247" s="549"/>
      <c r="H5247" s="483" t="s">
        <v>1157</v>
      </c>
      <c r="I5247" s="484"/>
      <c r="J5247" s="485"/>
      <c r="K5247" s="479"/>
      <c r="L5247" s="483" t="s">
        <v>28</v>
      </c>
      <c r="M5247" s="483">
        <v>1815.6000000000001</v>
      </c>
      <c r="N5247" s="486">
        <v>0.41666666666666669</v>
      </c>
    </row>
    <row r="5248" spans="1:14" x14ac:dyDescent="0.25">
      <c r="A5248" s="694"/>
      <c r="B5248" s="523" t="s">
        <v>1153</v>
      </c>
      <c r="C5248" s="524" t="s">
        <v>47</v>
      </c>
      <c r="D5248" s="525">
        <v>12.576000000000001</v>
      </c>
      <c r="E5248" s="526"/>
      <c r="F5248" s="527" t="s">
        <v>16</v>
      </c>
      <c r="G5248" s="561"/>
      <c r="H5248" s="527" t="s">
        <v>1157</v>
      </c>
      <c r="I5248" s="528"/>
      <c r="J5248" s="529"/>
      <c r="K5248" s="523"/>
      <c r="L5248" s="527" t="s">
        <v>28</v>
      </c>
      <c r="M5248" s="527">
        <v>12748.449999999999</v>
      </c>
      <c r="N5248" s="530">
        <v>0.41666666666666669</v>
      </c>
    </row>
    <row r="5249" spans="1:14" ht="19.5" thickBot="1" x14ac:dyDescent="0.3">
      <c r="A5249" s="688"/>
      <c r="B5249" s="645" t="s">
        <v>1153</v>
      </c>
      <c r="C5249" s="646" t="s">
        <v>24</v>
      </c>
      <c r="D5249" s="647">
        <v>2.7240000000000002</v>
      </c>
      <c r="E5249" s="648"/>
      <c r="F5249" s="649" t="s">
        <v>16</v>
      </c>
      <c r="G5249" s="650"/>
      <c r="H5249" s="649" t="s">
        <v>1157</v>
      </c>
      <c r="I5249" s="651"/>
      <c r="J5249" s="652"/>
      <c r="K5249" s="645"/>
      <c r="L5249" s="649" t="s">
        <v>28</v>
      </c>
      <c r="M5249" s="649">
        <v>2835.6600000000003</v>
      </c>
      <c r="N5249" s="653">
        <v>0.41666666666666669</v>
      </c>
    </row>
    <row r="5250" spans="1:14" x14ac:dyDescent="0.25">
      <c r="A5250" s="689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/>
      <c r="F5250" s="535" t="s">
        <v>16</v>
      </c>
      <c r="G5250" s="536"/>
      <c r="H5250" s="535" t="s">
        <v>1157</v>
      </c>
      <c r="I5250" s="537"/>
      <c r="J5250" s="538"/>
      <c r="K5250" s="531"/>
      <c r="L5250" s="535" t="s">
        <v>28</v>
      </c>
      <c r="M5250" s="535">
        <v>3623.56</v>
      </c>
      <c r="N5250" s="539">
        <v>0.45833333333333331</v>
      </c>
    </row>
    <row r="5251" spans="1:14" ht="19.5" thickBot="1" x14ac:dyDescent="0.3">
      <c r="A5251" s="690"/>
      <c r="B5251" s="636" t="s">
        <v>1153</v>
      </c>
      <c r="C5251" s="637" t="s">
        <v>23</v>
      </c>
      <c r="D5251" s="638">
        <v>13.89</v>
      </c>
      <c r="E5251" s="639"/>
      <c r="F5251" s="640" t="s">
        <v>16</v>
      </c>
      <c r="G5251" s="641"/>
      <c r="H5251" s="640" t="s">
        <v>1157</v>
      </c>
      <c r="I5251" s="642"/>
      <c r="J5251" s="643"/>
      <c r="K5251" s="636"/>
      <c r="L5251" s="640" t="s">
        <v>28</v>
      </c>
      <c r="M5251" s="640">
        <v>14035.710000000001</v>
      </c>
      <c r="N5251" s="644">
        <v>0.45833333333333331</v>
      </c>
    </row>
    <row r="5252" spans="1:14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/>
      <c r="F5252" s="518" t="s">
        <v>30</v>
      </c>
      <c r="G5252" s="519"/>
      <c r="H5252" s="518" t="s">
        <v>1156</v>
      </c>
      <c r="I5252" s="520"/>
      <c r="J5252" s="521"/>
      <c r="K5252" s="514"/>
      <c r="L5252" s="518" t="s">
        <v>266</v>
      </c>
      <c r="M5252" s="518">
        <v>12060.48</v>
      </c>
      <c r="N5252" s="522">
        <v>0.41666666666666669</v>
      </c>
    </row>
    <row r="5253" spans="1:14" ht="19.5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2"/>
      <c r="L5253" s="556" t="s">
        <v>265</v>
      </c>
      <c r="M5253" s="556">
        <v>14080.56</v>
      </c>
      <c r="N5253" s="560">
        <v>0.375</v>
      </c>
    </row>
    <row r="5254" spans="1:14" x14ac:dyDescent="0.25">
      <c r="A5254" s="68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/>
      <c r="F5254" s="483" t="s">
        <v>16</v>
      </c>
      <c r="G5254" s="549"/>
      <c r="H5254" s="483" t="s">
        <v>1158</v>
      </c>
      <c r="I5254" s="484"/>
      <c r="J5254" s="485"/>
      <c r="K5254" s="479"/>
      <c r="L5254" s="483" t="s">
        <v>265</v>
      </c>
      <c r="M5254" s="483">
        <v>16386.939999999999</v>
      </c>
      <c r="N5254" s="486">
        <v>0.375</v>
      </c>
    </row>
    <row r="5255" spans="1:14" ht="19.5" thickBot="1" x14ac:dyDescent="0.3">
      <c r="A5255" s="688"/>
      <c r="B5255" s="645" t="s">
        <v>1155</v>
      </c>
      <c r="C5255" s="646" t="s">
        <v>952</v>
      </c>
      <c r="D5255" s="647">
        <v>1.105</v>
      </c>
      <c r="E5255" s="648"/>
      <c r="F5255" s="649" t="s">
        <v>16</v>
      </c>
      <c r="G5255" s="650"/>
      <c r="H5255" s="649" t="s">
        <v>1158</v>
      </c>
      <c r="I5255" s="651"/>
      <c r="J5255" s="652"/>
      <c r="K5255" s="645"/>
      <c r="L5255" s="649" t="s">
        <v>266</v>
      </c>
      <c r="M5255" s="649">
        <v>1157.4000000000001</v>
      </c>
      <c r="N5255" s="653">
        <v>0.375</v>
      </c>
    </row>
    <row r="5256" spans="1:14" ht="19.5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/>
      <c r="F5256" s="508" t="s">
        <v>30</v>
      </c>
      <c r="G5256" s="509" t="s">
        <v>23</v>
      </c>
      <c r="H5256" s="508" t="s">
        <v>1157</v>
      </c>
      <c r="I5256" s="510"/>
      <c r="J5256" s="511"/>
      <c r="K5256" s="504"/>
      <c r="L5256" s="508" t="s">
        <v>28</v>
      </c>
      <c r="M5256" s="508">
        <v>13345.080000000002</v>
      </c>
      <c r="N5256" s="512">
        <v>0.41666666666666669</v>
      </c>
    </row>
    <row r="5257" spans="1:14" ht="19.5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/>
      <c r="F5257" s="577" t="s">
        <v>30</v>
      </c>
      <c r="G5257" s="578"/>
      <c r="H5257" s="577" t="s">
        <v>1158</v>
      </c>
      <c r="I5257" s="579"/>
      <c r="J5257" s="580"/>
      <c r="K5257" s="573"/>
      <c r="L5257" s="577" t="s">
        <v>265</v>
      </c>
      <c r="M5257" s="577">
        <v>13995.879999999997</v>
      </c>
      <c r="N5257" s="581">
        <v>0.375</v>
      </c>
    </row>
    <row r="5258" spans="1:14" ht="19.5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/>
      <c r="F5258" s="508" t="s">
        <v>16</v>
      </c>
      <c r="G5258" s="509"/>
      <c r="H5258" s="508" t="s">
        <v>1159</v>
      </c>
      <c r="I5258" s="510"/>
      <c r="J5258" s="511"/>
      <c r="K5258" s="504"/>
      <c r="L5258" s="508" t="s">
        <v>265</v>
      </c>
      <c r="M5258" s="508">
        <v>17714.54</v>
      </c>
      <c r="N5258" s="512">
        <v>0.375</v>
      </c>
    </row>
    <row r="5259" spans="1:14" ht="113.25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/>
      <c r="F5259" s="518" t="s">
        <v>16</v>
      </c>
      <c r="G5259" s="519" t="s">
        <v>1160</v>
      </c>
      <c r="H5259" s="518" t="s">
        <v>1158</v>
      </c>
      <c r="I5259" s="520"/>
      <c r="J5259" s="521"/>
      <c r="K5259" s="514"/>
      <c r="L5259" s="518" t="s">
        <v>28</v>
      </c>
      <c r="M5259" s="518">
        <v>11635.77</v>
      </c>
      <c r="N5259" s="522">
        <v>0.41666666666666669</v>
      </c>
    </row>
    <row r="5260" spans="1:14" x14ac:dyDescent="0.25">
      <c r="A5260" s="689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/>
      <c r="F5260" s="535" t="s">
        <v>16</v>
      </c>
      <c r="G5260" s="536"/>
      <c r="H5260" s="535" t="s">
        <v>1159</v>
      </c>
      <c r="I5260" s="537"/>
      <c r="J5260" s="538"/>
      <c r="K5260" s="531"/>
      <c r="L5260" s="535" t="s">
        <v>266</v>
      </c>
      <c r="M5260" s="535">
        <v>13715.41</v>
      </c>
      <c r="N5260" s="539">
        <v>0.41666666666666669</v>
      </c>
    </row>
    <row r="5261" spans="1:14" ht="19.5" thickBot="1" x14ac:dyDescent="0.3">
      <c r="A5261" s="690"/>
      <c r="B5261" s="636" t="s">
        <v>1156</v>
      </c>
      <c r="C5261" s="637" t="s">
        <v>47</v>
      </c>
      <c r="D5261" s="638">
        <v>3.45</v>
      </c>
      <c r="E5261" s="639"/>
      <c r="F5261" s="640" t="s">
        <v>16</v>
      </c>
      <c r="G5261" s="641"/>
      <c r="H5261" s="640" t="s">
        <v>1159</v>
      </c>
      <c r="I5261" s="642"/>
      <c r="J5261" s="643"/>
      <c r="K5261" s="636"/>
      <c r="L5261" s="640" t="s">
        <v>28</v>
      </c>
      <c r="M5261" s="640">
        <v>3469.98</v>
      </c>
      <c r="N5261" s="644">
        <v>0.41666666666666669</v>
      </c>
    </row>
    <row r="5262" spans="1:14" x14ac:dyDescent="0.25">
      <c r="A5262" s="68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/>
      <c r="F5262" s="483" t="s">
        <v>16</v>
      </c>
      <c r="G5262" s="549"/>
      <c r="H5262" s="483" t="s">
        <v>1159</v>
      </c>
      <c r="I5262" s="484"/>
      <c r="J5262" s="485"/>
      <c r="K5262" s="479"/>
      <c r="L5262" s="483" t="s">
        <v>28</v>
      </c>
      <c r="M5262" s="483">
        <v>510</v>
      </c>
      <c r="N5262" s="486">
        <v>0.45833333333333331</v>
      </c>
    </row>
    <row r="5263" spans="1:14" ht="19.5" thickBot="1" x14ac:dyDescent="0.3">
      <c r="A5263" s="688"/>
      <c r="B5263" s="645" t="s">
        <v>1156</v>
      </c>
      <c r="C5263" s="646" t="s">
        <v>21</v>
      </c>
      <c r="D5263" s="647">
        <v>16.565000000000001</v>
      </c>
      <c r="E5263" s="648"/>
      <c r="F5263" s="649" t="s">
        <v>16</v>
      </c>
      <c r="G5263" s="650"/>
      <c r="H5263" s="649" t="s">
        <v>1159</v>
      </c>
      <c r="I5263" s="651"/>
      <c r="J5263" s="652"/>
      <c r="K5263" s="645"/>
      <c r="L5263" s="649" t="s">
        <v>28</v>
      </c>
      <c r="M5263" s="649">
        <v>16645.62</v>
      </c>
      <c r="N5263" s="653">
        <v>0.45833333333333331</v>
      </c>
    </row>
    <row r="5264" spans="1:14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/>
      <c r="F5264" s="508" t="s">
        <v>16</v>
      </c>
      <c r="G5264" s="509"/>
      <c r="H5264" s="508" t="s">
        <v>1159</v>
      </c>
      <c r="I5264" s="510"/>
      <c r="J5264" s="511"/>
      <c r="K5264" s="504"/>
      <c r="L5264" s="508" t="s">
        <v>28</v>
      </c>
      <c r="M5264" s="508">
        <v>16920.960000000003</v>
      </c>
      <c r="N5264" s="512">
        <v>0.5</v>
      </c>
    </row>
    <row r="5265" spans="1:14" x14ac:dyDescent="0.25">
      <c r="A5265" s="68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/>
      <c r="F5265" s="483" t="s">
        <v>16</v>
      </c>
      <c r="G5265" s="549"/>
      <c r="H5265" s="483" t="s">
        <v>1159</v>
      </c>
      <c r="I5265" s="484"/>
      <c r="J5265" s="485"/>
      <c r="K5265" s="479"/>
      <c r="L5265" s="483" t="s">
        <v>28</v>
      </c>
      <c r="M5265" s="483">
        <v>16242.33</v>
      </c>
      <c r="N5265" s="486">
        <v>0.54166666666666663</v>
      </c>
    </row>
    <row r="5266" spans="1:14" ht="19.5" thickBot="1" x14ac:dyDescent="0.3">
      <c r="A5266" s="688"/>
      <c r="B5266" s="645" t="s">
        <v>1156</v>
      </c>
      <c r="C5266" s="646" t="s">
        <v>24</v>
      </c>
      <c r="D5266" s="647">
        <v>1</v>
      </c>
      <c r="E5266" s="648"/>
      <c r="F5266" s="649" t="s">
        <v>16</v>
      </c>
      <c r="G5266" s="650"/>
      <c r="H5266" s="649" t="s">
        <v>1159</v>
      </c>
      <c r="I5266" s="651"/>
      <c r="J5266" s="652"/>
      <c r="K5266" s="645"/>
      <c r="L5266" s="649" t="s">
        <v>28</v>
      </c>
      <c r="M5266" s="649">
        <v>1006.8</v>
      </c>
      <c r="N5266" s="653">
        <v>0.54166666666666663</v>
      </c>
    </row>
    <row r="5267" spans="1:14" x14ac:dyDescent="0.25">
      <c r="A5267" s="689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/>
      <c r="F5267" s="535" t="s">
        <v>16</v>
      </c>
      <c r="G5267" s="536"/>
      <c r="H5267" s="535" t="s">
        <v>1159</v>
      </c>
      <c r="I5267" s="537"/>
      <c r="J5267" s="538"/>
      <c r="K5267" s="531"/>
      <c r="L5267" s="535" t="s">
        <v>28</v>
      </c>
      <c r="M5267" s="535">
        <v>4705.1400000000003</v>
      </c>
      <c r="N5267" s="539">
        <v>0.58333333333333337</v>
      </c>
    </row>
    <row r="5268" spans="1:14" x14ac:dyDescent="0.25">
      <c r="A5268" s="693"/>
      <c r="B5268" s="563" t="s">
        <v>1156</v>
      </c>
      <c r="C5268" s="564" t="s">
        <v>23</v>
      </c>
      <c r="D5268" s="565">
        <v>9.52</v>
      </c>
      <c r="E5268" s="566"/>
      <c r="F5268" s="567" t="s">
        <v>16</v>
      </c>
      <c r="G5268" s="568"/>
      <c r="H5268" s="567" t="s">
        <v>1159</v>
      </c>
      <c r="I5268" s="569"/>
      <c r="J5268" s="570"/>
      <c r="K5268" s="563"/>
      <c r="L5268" s="567" t="s">
        <v>28</v>
      </c>
      <c r="M5268" s="567">
        <v>9566.64</v>
      </c>
      <c r="N5268" s="571">
        <v>0.58333333333333337</v>
      </c>
    </row>
    <row r="5269" spans="1:14" ht="19.5" thickBot="1" x14ac:dyDescent="0.3">
      <c r="A5269" s="690"/>
      <c r="B5269" s="636" t="s">
        <v>1156</v>
      </c>
      <c r="C5269" s="637" t="s">
        <v>24</v>
      </c>
      <c r="D5269" s="638">
        <v>2.9329999999999998</v>
      </c>
      <c r="E5269" s="639"/>
      <c r="F5269" s="640" t="s">
        <v>16</v>
      </c>
      <c r="G5269" s="641"/>
      <c r="H5269" s="640" t="s">
        <v>1159</v>
      </c>
      <c r="I5269" s="642"/>
      <c r="J5269" s="643"/>
      <c r="K5269" s="636"/>
      <c r="L5269" s="640" t="s">
        <v>28</v>
      </c>
      <c r="M5269" s="640">
        <v>3037.7199999999993</v>
      </c>
      <c r="N5269" s="644">
        <v>0.58333333333333337</v>
      </c>
    </row>
    <row r="5270" spans="1:14" x14ac:dyDescent="0.25">
      <c r="A5270" s="68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/>
      <c r="F5270" s="483" t="s">
        <v>30</v>
      </c>
      <c r="G5270" s="549"/>
      <c r="H5270" s="483" t="s">
        <v>1159</v>
      </c>
      <c r="I5270" s="484"/>
      <c r="J5270" s="485"/>
      <c r="K5270" s="479"/>
      <c r="L5270" s="483" t="s">
        <v>28</v>
      </c>
      <c r="M5270" s="483">
        <v>4313.16</v>
      </c>
      <c r="N5270" s="486">
        <v>0.41666666666666669</v>
      </c>
    </row>
    <row r="5271" spans="1:14" ht="19.5" thickBot="1" x14ac:dyDescent="0.3">
      <c r="A5271" s="688"/>
      <c r="B5271" s="645" t="s">
        <v>1156</v>
      </c>
      <c r="C5271" s="646" t="s">
        <v>47</v>
      </c>
      <c r="D5271" s="647">
        <v>5.9189999999999996</v>
      </c>
      <c r="E5271" s="648"/>
      <c r="F5271" s="649" t="s">
        <v>30</v>
      </c>
      <c r="G5271" s="650"/>
      <c r="H5271" s="649" t="s">
        <v>1159</v>
      </c>
      <c r="I5271" s="651"/>
      <c r="J5271" s="652"/>
      <c r="K5271" s="645"/>
      <c r="L5271" s="649" t="s">
        <v>28</v>
      </c>
      <c r="M5271" s="649">
        <v>5919.6</v>
      </c>
      <c r="N5271" s="653">
        <v>0.41666666666666669</v>
      </c>
    </row>
    <row r="5272" spans="1:14" x14ac:dyDescent="0.25">
      <c r="A5272" s="689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/>
      <c r="F5272" s="535" t="s">
        <v>30</v>
      </c>
      <c r="G5272" s="536"/>
      <c r="H5272" s="535" t="s">
        <v>1159</v>
      </c>
      <c r="I5272" s="537"/>
      <c r="J5272" s="538"/>
      <c r="K5272" s="531"/>
      <c r="L5272" s="535" t="s">
        <v>28</v>
      </c>
      <c r="M5272" s="535">
        <v>4937.5199999999995</v>
      </c>
      <c r="N5272" s="539">
        <v>0.45833333333333331</v>
      </c>
    </row>
    <row r="5273" spans="1:14" ht="19.5" thickBot="1" x14ac:dyDescent="0.3">
      <c r="A5273" s="690"/>
      <c r="B5273" s="636" t="s">
        <v>1156</v>
      </c>
      <c r="C5273" s="637" t="s">
        <v>24</v>
      </c>
      <c r="D5273" s="638">
        <v>6.1050000000000004</v>
      </c>
      <c r="E5273" s="639"/>
      <c r="F5273" s="640" t="s">
        <v>30</v>
      </c>
      <c r="G5273" s="641"/>
      <c r="H5273" s="640" t="s">
        <v>1159</v>
      </c>
      <c r="I5273" s="642"/>
      <c r="J5273" s="643"/>
      <c r="K5273" s="636"/>
      <c r="L5273" s="640" t="s">
        <v>28</v>
      </c>
      <c r="M5273" s="640">
        <v>6105.48</v>
      </c>
      <c r="N5273" s="644">
        <v>0.45833333333333331</v>
      </c>
    </row>
    <row r="5274" spans="1:14" x14ac:dyDescent="0.25">
      <c r="A5274" s="682">
        <f t="shared" ref="A5274:A5285" si="149">MAX(A5258:A5273)+1</f>
        <v>2991</v>
      </c>
      <c r="B5274" s="682"/>
      <c r="C5274" s="473"/>
      <c r="D5274" s="474"/>
      <c r="E5274" s="475"/>
      <c r="F5274" s="682"/>
      <c r="G5274" s="476"/>
      <c r="H5274" s="682"/>
      <c r="I5274" s="477"/>
      <c r="J5274" s="478"/>
      <c r="K5274" s="682"/>
      <c r="L5274" s="682"/>
      <c r="M5274" s="682"/>
      <c r="N5274" s="682"/>
    </row>
    <row r="5275" spans="1:14" x14ac:dyDescent="0.25">
      <c r="A5275" s="682">
        <f t="shared" si="149"/>
        <v>2992</v>
      </c>
      <c r="B5275" s="682"/>
      <c r="C5275" s="473"/>
      <c r="D5275" s="474"/>
      <c r="E5275" s="475"/>
      <c r="F5275" s="682"/>
      <c r="G5275" s="476"/>
      <c r="H5275" s="682"/>
      <c r="I5275" s="477"/>
      <c r="J5275" s="478"/>
      <c r="K5275" s="682"/>
      <c r="L5275" s="682"/>
      <c r="M5275" s="682"/>
      <c r="N5275" s="682"/>
    </row>
    <row r="5276" spans="1:14" x14ac:dyDescent="0.25">
      <c r="A5276" s="682">
        <f t="shared" si="149"/>
        <v>2993</v>
      </c>
      <c r="B5276" s="682"/>
      <c r="C5276" s="473"/>
      <c r="D5276" s="474"/>
      <c r="E5276" s="475"/>
      <c r="F5276" s="682"/>
      <c r="G5276" s="476"/>
      <c r="H5276" s="682"/>
      <c r="I5276" s="477"/>
      <c r="J5276" s="478"/>
      <c r="K5276" s="682"/>
      <c r="L5276" s="682"/>
      <c r="M5276" s="682"/>
      <c r="N5276" s="682"/>
    </row>
    <row r="5277" spans="1:14" x14ac:dyDescent="0.25">
      <c r="A5277" s="682">
        <f t="shared" si="149"/>
        <v>2994</v>
      </c>
      <c r="B5277" s="682"/>
      <c r="C5277" s="473"/>
      <c r="D5277" s="474"/>
      <c r="E5277" s="475"/>
      <c r="F5277" s="682"/>
      <c r="G5277" s="476"/>
      <c r="H5277" s="682"/>
      <c r="I5277" s="477"/>
      <c r="J5277" s="478"/>
      <c r="K5277" s="682"/>
      <c r="L5277" s="682"/>
      <c r="M5277" s="682"/>
      <c r="N5277" s="682"/>
    </row>
    <row r="5278" spans="1:14" x14ac:dyDescent="0.25">
      <c r="A5278" s="682">
        <f t="shared" si="149"/>
        <v>2995</v>
      </c>
      <c r="B5278" s="682"/>
      <c r="C5278" s="473"/>
      <c r="D5278" s="474"/>
      <c r="E5278" s="475"/>
      <c r="F5278" s="682"/>
      <c r="G5278" s="476"/>
      <c r="H5278" s="682"/>
      <c r="I5278" s="477"/>
      <c r="J5278" s="478"/>
      <c r="K5278" s="682"/>
      <c r="L5278" s="682"/>
      <c r="M5278" s="682"/>
      <c r="N5278" s="682"/>
    </row>
    <row r="5279" spans="1:14" x14ac:dyDescent="0.25">
      <c r="A5279" s="682">
        <f t="shared" si="149"/>
        <v>2996</v>
      </c>
      <c r="B5279" s="682"/>
      <c r="C5279" s="473"/>
      <c r="D5279" s="474"/>
      <c r="E5279" s="475"/>
      <c r="F5279" s="682"/>
      <c r="G5279" s="476"/>
      <c r="H5279" s="682"/>
      <c r="I5279" s="477"/>
      <c r="J5279" s="478"/>
      <c r="K5279" s="682"/>
      <c r="L5279" s="682"/>
      <c r="M5279" s="682"/>
      <c r="N5279" s="682"/>
    </row>
    <row r="5280" spans="1:14" x14ac:dyDescent="0.25">
      <c r="A5280" s="682">
        <f t="shared" si="149"/>
        <v>2997</v>
      </c>
      <c r="B5280" s="682"/>
      <c r="C5280" s="473"/>
      <c r="D5280" s="474"/>
      <c r="E5280" s="475"/>
      <c r="F5280" s="682"/>
      <c r="G5280" s="476"/>
      <c r="H5280" s="682"/>
      <c r="I5280" s="477"/>
      <c r="J5280" s="478"/>
      <c r="K5280" s="682"/>
      <c r="L5280" s="682"/>
      <c r="M5280" s="682"/>
      <c r="N5280" s="682"/>
    </row>
    <row r="5281" spans="1:14" x14ac:dyDescent="0.25">
      <c r="A5281" s="682">
        <f t="shared" si="149"/>
        <v>2998</v>
      </c>
      <c r="B5281" s="682"/>
      <c r="C5281" s="473"/>
      <c r="D5281" s="474"/>
      <c r="E5281" s="475"/>
      <c r="F5281" s="682"/>
      <c r="G5281" s="476"/>
      <c r="H5281" s="682"/>
      <c r="I5281" s="477"/>
      <c r="J5281" s="478"/>
      <c r="K5281" s="682"/>
      <c r="L5281" s="682"/>
      <c r="M5281" s="682"/>
      <c r="N5281" s="682"/>
    </row>
    <row r="5282" spans="1:14" x14ac:dyDescent="0.25">
      <c r="A5282" s="682">
        <f t="shared" si="149"/>
        <v>2999</v>
      </c>
      <c r="B5282" s="682"/>
      <c r="C5282" s="473"/>
      <c r="D5282" s="474"/>
      <c r="E5282" s="475"/>
      <c r="F5282" s="682"/>
      <c r="G5282" s="476"/>
      <c r="H5282" s="682"/>
      <c r="I5282" s="477"/>
      <c r="J5282" s="478"/>
      <c r="K5282" s="682"/>
      <c r="L5282" s="682"/>
      <c r="M5282" s="682"/>
      <c r="N5282" s="682"/>
    </row>
    <row r="5283" spans="1:14" x14ac:dyDescent="0.25">
      <c r="A5283" s="682">
        <f t="shared" si="149"/>
        <v>3000</v>
      </c>
      <c r="B5283" s="682"/>
      <c r="C5283" s="473"/>
      <c r="D5283" s="474"/>
      <c r="E5283" s="475"/>
      <c r="F5283" s="682"/>
      <c r="G5283" s="476"/>
      <c r="H5283" s="682"/>
      <c r="I5283" s="477"/>
      <c r="J5283" s="478"/>
      <c r="K5283" s="682"/>
      <c r="L5283" s="682"/>
      <c r="M5283" s="682"/>
      <c r="N5283" s="682"/>
    </row>
    <row r="5284" spans="1:14" x14ac:dyDescent="0.25">
      <c r="A5284" s="682">
        <f t="shared" si="149"/>
        <v>3001</v>
      </c>
      <c r="B5284" s="682"/>
      <c r="C5284" s="473"/>
      <c r="D5284" s="474"/>
      <c r="E5284" s="475"/>
      <c r="F5284" s="682"/>
      <c r="G5284" s="476"/>
      <c r="H5284" s="682"/>
      <c r="I5284" s="477"/>
      <c r="J5284" s="478"/>
      <c r="K5284" s="682"/>
      <c r="L5284" s="682"/>
      <c r="M5284" s="682"/>
      <c r="N5284" s="682"/>
    </row>
    <row r="5285" spans="1:14" x14ac:dyDescent="0.25">
      <c r="A5285" s="682">
        <f t="shared" si="149"/>
        <v>3002</v>
      </c>
      <c r="B5285" s="682"/>
      <c r="C5285" s="473"/>
      <c r="D5285" s="474"/>
      <c r="E5285" s="475"/>
      <c r="F5285" s="682"/>
      <c r="G5285" s="476"/>
      <c r="H5285" s="682"/>
      <c r="I5285" s="477"/>
      <c r="J5285" s="478"/>
      <c r="K5285" s="682"/>
      <c r="L5285" s="682"/>
      <c r="M5285" s="682"/>
      <c r="N5285" s="682"/>
    </row>
  </sheetData>
  <autoFilter ref="A2:N5261" xr:uid="{79D26EB9-2ECC-4189-8AEF-8CA7CBA20027}">
    <filterColumn colId="10">
      <filters blank="1"/>
    </filterColumn>
  </autoFilter>
  <mergeCells count="1572"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G4729:G4732"/>
    <mergeCell ref="A5260:A5261"/>
    <mergeCell ref="A5262:A5263"/>
    <mergeCell ref="A5265:A5266"/>
    <mergeCell ref="A5267:A5269"/>
    <mergeCell ref="A5270:A5271"/>
    <mergeCell ref="A5272:A5273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91:A4892"/>
    <mergeCell ref="G4820:G4822"/>
    <mergeCell ref="A4933:A4934"/>
    <mergeCell ref="A4935:A4936"/>
    <mergeCell ref="G4935:G4936"/>
    <mergeCell ref="A4924:A492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4721:A4722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4999:A5000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81:A4884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842:A843"/>
    <mergeCell ref="A931:A933"/>
    <mergeCell ref="A935:A936"/>
    <mergeCell ref="A937:A938"/>
    <mergeCell ref="A939:A941"/>
    <mergeCell ref="A943:A947"/>
    <mergeCell ref="A948:A949"/>
    <mergeCell ref="A951:A954"/>
    <mergeCell ref="A839:A841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G362:G363"/>
    <mergeCell ref="A381:A382"/>
    <mergeCell ref="A383:A384"/>
    <mergeCell ref="A400:A40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644:A646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385:A39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5094:A5097"/>
    <mergeCell ref="G5091:G5092"/>
    <mergeCell ref="A5082:A5083"/>
    <mergeCell ref="A5084:A5086"/>
    <mergeCell ref="A5087:A5088"/>
    <mergeCell ref="G5084:G5086"/>
    <mergeCell ref="G5126:G5127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5074:A5076"/>
    <mergeCell ref="A5077:A5078"/>
    <mergeCell ref="A5079:A5080"/>
    <mergeCell ref="A5070:A5071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39:A4941"/>
    <mergeCell ref="A4979:A4980"/>
    <mergeCell ref="A4948:A4949"/>
    <mergeCell ref="A4950:A4951"/>
    <mergeCell ref="A5029:A5030"/>
    <mergeCell ref="A4996:A4997"/>
    <mergeCell ref="G4996:G4997"/>
    <mergeCell ref="A4960:A4961"/>
    <mergeCell ref="A5164:A5165"/>
    <mergeCell ref="A5247:A5249"/>
    <mergeCell ref="A5250:A5251"/>
    <mergeCell ref="A5240:A5242"/>
    <mergeCell ref="A5234:A5235"/>
    <mergeCell ref="A5216:A5217"/>
    <mergeCell ref="A5219:A5221"/>
    <mergeCell ref="G5216:G5217"/>
    <mergeCell ref="A5222:A5225"/>
    <mergeCell ref="A5226:A522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  <mergeCell ref="A5123:A5125"/>
    <mergeCell ref="A5116:A511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2025-11-28T06:42:41Z</cp:lastPrinted>
  <dcterms:created xsi:type="dcterms:W3CDTF">2015-06-05T18:19:34Z</dcterms:created>
  <dcterms:modified xsi:type="dcterms:W3CDTF">2025-11-28T12:20:42Z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