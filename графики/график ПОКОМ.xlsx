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Father\Work\2025_05\графики\"/>
    </mc:Choice>
  </mc:AlternateContent>
  <xr:revisionPtr revIDLastSave="0" documentId="13_ncr:1_{0EAA7B93-6E8A-484A-BB2B-FC9EC9C9F237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Лист1!$A$2:$R$7079</definedName>
    <definedName name="_xlnm.Print_Area" localSheetId="0">Лист1!$A$1:$J$5690</definedName>
  </definedNames>
  <calcPr calcId="191029"/>
</workbook>
</file>

<file path=xl/calcChain.xml><?xml version="1.0" encoding="utf-8"?>
<calcChain xmlns="http://schemas.openxmlformats.org/spreadsheetml/2006/main">
  <c r="K6981" i="1" l="1"/>
  <c r="K6982" i="1"/>
  <c r="K6983" i="1"/>
  <c r="K6984" i="1"/>
  <c r="K6985" i="1"/>
  <c r="K6986" i="1"/>
  <c r="K6987" i="1"/>
  <c r="K6988" i="1"/>
  <c r="K6980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63" i="1"/>
  <c r="K6962" i="1" l="1"/>
  <c r="K6961" i="1"/>
  <c r="K6960" i="1"/>
  <c r="K6959" i="1"/>
  <c r="K6958" i="1"/>
  <c r="K6957" i="1"/>
  <c r="K6956" i="1"/>
  <c r="K6955" i="1"/>
  <c r="K6954" i="1"/>
  <c r="K6953" i="1"/>
  <c r="K6952" i="1"/>
  <c r="K6951" i="1"/>
  <c r="K6950" i="1"/>
  <c r="K6949" i="1"/>
  <c r="K6948" i="1"/>
  <c r="K6947" i="1"/>
  <c r="K6946" i="1"/>
  <c r="K6945" i="1"/>
  <c r="K6944" i="1"/>
  <c r="K6943" i="1"/>
  <c r="K6942" i="1"/>
  <c r="K6941" i="1"/>
  <c r="K6940" i="1"/>
  <c r="K6939" i="1"/>
  <c r="K6938" i="1"/>
  <c r="K6907" i="1"/>
  <c r="K6937" i="1" l="1"/>
  <c r="K6936" i="1"/>
  <c r="K6935" i="1"/>
  <c r="K6934" i="1"/>
  <c r="K6933" i="1"/>
  <c r="K6932" i="1"/>
  <c r="K6931" i="1"/>
  <c r="K6930" i="1"/>
  <c r="K6929" i="1"/>
  <c r="K6928" i="1"/>
  <c r="K6927" i="1"/>
  <c r="K6926" i="1"/>
  <c r="K6925" i="1"/>
  <c r="K6924" i="1"/>
  <c r="K6923" i="1"/>
  <c r="K6908" i="1" l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897" i="1" l="1"/>
  <c r="K6898" i="1"/>
  <c r="K6899" i="1"/>
  <c r="K6900" i="1"/>
  <c r="K6901" i="1"/>
  <c r="K6902" i="1"/>
  <c r="K6903" i="1"/>
  <c r="K6904" i="1"/>
  <c r="K6905" i="1"/>
  <c r="K6906" i="1"/>
  <c r="K6896" i="1"/>
  <c r="K6867" i="1" l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66" i="1"/>
  <c r="E6899" i="1" l="1"/>
  <c r="E6896" i="1"/>
  <c r="E6870" i="1" l="1"/>
  <c r="E6876" i="1" l="1"/>
  <c r="E6878" i="1"/>
  <c r="E6873" i="1"/>
  <c r="K6840" i="1" l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39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16" i="1"/>
  <c r="E6880" i="1"/>
  <c r="E6881" i="1"/>
  <c r="E6862" i="1" l="1"/>
  <c r="E6854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03" i="1"/>
  <c r="Q6853" i="1" l="1"/>
  <c r="Q6852" i="1"/>
  <c r="E6856" i="1" l="1"/>
  <c r="K6792" i="1" l="1"/>
  <c r="K6793" i="1"/>
  <c r="K6794" i="1"/>
  <c r="K6795" i="1"/>
  <c r="K6796" i="1"/>
  <c r="K6797" i="1"/>
  <c r="K6798" i="1"/>
  <c r="K6799" i="1"/>
  <c r="K6800" i="1"/>
  <c r="K6801" i="1"/>
  <c r="K6802" i="1"/>
  <c r="K6791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l="1"/>
  <c r="A6804" i="1" l="1"/>
  <c r="A6805" i="1" s="1"/>
  <c r="A6806" i="1" s="1"/>
  <c r="A6807" i="1" l="1"/>
  <c r="A6808" i="1" l="1"/>
  <c r="A6812" i="1" s="1"/>
  <c r="A6816" i="1" s="1"/>
  <c r="A6817" i="1" l="1"/>
  <c r="A6822" i="1" l="1"/>
  <c r="A6829" i="1" l="1"/>
  <c r="A6833" i="1" l="1"/>
  <c r="A6836" i="1" l="1"/>
  <c r="A6839" i="1" l="1"/>
  <c r="A6840" i="1" l="1"/>
  <c r="A6844" i="1" l="1"/>
  <c r="A6847" i="1" l="1"/>
  <c r="A6852" i="1" l="1"/>
  <c r="A6854" i="1" l="1"/>
  <c r="A6856" i="1" l="1"/>
  <c r="A6860" i="1" l="1"/>
  <c r="A6861" i="1" l="1"/>
  <c r="A6864" i="1" s="1"/>
  <c r="A6866" i="1" l="1"/>
  <c r="A6868" i="1" s="1"/>
  <c r="A6869" i="1" l="1"/>
  <c r="A6870" i="1" l="1"/>
  <c r="A6873" i="1" l="1"/>
  <c r="A6876" i="1" l="1"/>
  <c r="A6878" i="1" s="1"/>
  <c r="A6880" i="1" l="1"/>
  <c r="A6881" i="1" l="1"/>
  <c r="A6883" i="1" l="1"/>
  <c r="A6884" i="1" l="1"/>
  <c r="A6885" i="1" l="1"/>
  <c r="A6886" i="1" l="1"/>
  <c r="A6887" i="1" l="1"/>
  <c r="A6889" i="1" l="1"/>
  <c r="A6891" i="1" l="1"/>
  <c r="A6893" i="1" l="1"/>
  <c r="A6896" i="1" s="1"/>
  <c r="A6899" i="1" s="1"/>
  <c r="A6902" i="1" l="1"/>
  <c r="A6906" i="1" l="1"/>
  <c r="A6907" i="1" l="1"/>
  <c r="A6908" i="1" l="1"/>
  <c r="A6912" i="1" s="1"/>
  <c r="A6914" i="1" s="1"/>
  <c r="A6915" i="1" l="1"/>
  <c r="A6920" i="1" l="1"/>
  <c r="A6923" i="1" l="1"/>
  <c r="A6924" i="1" l="1"/>
  <c r="A6926" i="1" l="1"/>
  <c r="A6928" i="1" l="1"/>
  <c r="A6932" i="1" l="1"/>
  <c r="A6936" i="1" l="1"/>
  <c r="A6938" i="1" l="1"/>
  <c r="A6939" i="1" l="1"/>
  <c r="A6941" i="1" l="1"/>
  <c r="A6943" i="1" l="1"/>
  <c r="A6948" i="1" l="1"/>
  <c r="A6951" i="1" l="1"/>
  <c r="A6953" i="1" l="1"/>
  <c r="A6954" i="1" l="1"/>
  <c r="A6955" i="1" l="1"/>
  <c r="A6956" i="1" l="1"/>
  <c r="A6957" i="1" l="1"/>
  <c r="A6958" i="1" l="1"/>
  <c r="A6961" i="1" l="1"/>
  <c r="A6963" i="1" l="1"/>
  <c r="A6968" i="1" s="1"/>
  <c r="A6970" i="1" s="1"/>
  <c r="A6975" i="1" s="1"/>
  <c r="A6979" i="1" s="1"/>
  <c r="A6980" i="1" s="1"/>
  <c r="A6981" i="1" s="1"/>
  <c r="A6985" i="1" s="1"/>
  <c r="A6987" i="1" s="1"/>
  <c r="A6989" i="1" s="1"/>
  <c r="A6992" i="1" s="1"/>
  <c r="A6996" i="1" s="1"/>
  <c r="A6999" i="1" s="1"/>
  <c r="A7004" i="1" s="1"/>
  <c r="A7006" i="1" s="1"/>
  <c r="A7008" i="1" s="1"/>
  <c r="A7009" i="1" s="1"/>
  <c r="A7010" i="1" s="1"/>
  <c r="A7011" i="1" s="1"/>
  <c r="A7014" i="1" s="1"/>
  <c r="A7016" i="1" s="1"/>
  <c r="A7017" i="1" s="1"/>
  <c r="A7020" i="1" s="1"/>
  <c r="A7021" i="1" s="1"/>
  <c r="A7022" i="1" s="1"/>
  <c r="A7023" i="1" s="1"/>
  <c r="A7024" i="1" s="1"/>
  <c r="A7025" i="1" l="1"/>
  <c r="A7026" i="1" s="1"/>
  <c r="A7028" i="1" l="1"/>
  <c r="A7031" i="1" s="1"/>
  <c r="A7032" i="1" l="1"/>
  <c r="A7035" i="1" s="1"/>
  <c r="A7037" i="1" s="1"/>
  <c r="A7039" i="1" s="1"/>
  <c r="A7041" i="1" s="1"/>
  <c r="A7042" i="1" s="1"/>
  <c r="A7047" i="1" s="1"/>
  <c r="A7049" i="1" s="1"/>
  <c r="A7052" i="1" l="1"/>
  <c r="A7053" i="1" s="1"/>
  <c r="A7054" i="1" l="1"/>
  <c r="A7057" i="1" l="1"/>
  <c r="A7058" i="1" l="1"/>
  <c r="A7060" i="1" s="1"/>
  <c r="A7061" i="1" l="1"/>
  <c r="A7065" i="1" s="1"/>
  <c r="A7066" i="1" l="1"/>
  <c r="A7068" i="1" s="1"/>
  <c r="A7069" i="1" s="1"/>
  <c r="A7070" i="1" s="1"/>
  <c r="A7071" i="1" s="1"/>
  <c r="A7073" i="1" l="1"/>
  <c r="A7075" i="1" s="1"/>
  <c r="A7076" i="1" s="1"/>
  <c r="A7077" i="1" s="1"/>
  <c r="A7078" i="1" s="1"/>
  <c r="A7079" i="1" s="1"/>
</calcChain>
</file>

<file path=xl/sharedStrings.xml><?xml version="1.0" encoding="utf-8"?>
<sst xmlns="http://schemas.openxmlformats.org/spreadsheetml/2006/main" count="45149" uniqueCount="2230">
  <si>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</si>
  <si>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</si>
  <si>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</si>
  <si>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</si>
  <si>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</si>
  <si>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</si>
  <si>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</si>
  <si>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</si>
  <si>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</si>
  <si>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</si>
  <si>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</si>
  <si>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</si>
  <si>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</si>
  <si>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</si>
  <si>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</si>
  <si>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</si>
  <si>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</si>
  <si>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</si>
  <si>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</si>
  <si>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</si>
  <si>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</si>
  <si>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</si>
  <si>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</si>
  <si>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</si>
  <si>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</si>
  <si>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</si>
  <si>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</si>
  <si>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</si>
  <si>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</si>
  <si>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</si>
  <si>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</si>
  <si>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</si>
  <si>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</si>
  <si>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</si>
  <si>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</si>
  <si>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</si>
  <si>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</si>
  <si>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</si>
  <si>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</si>
  <si>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</si>
  <si>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</si>
  <si>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</si>
  <si>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</si>
  <si>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</si>
  <si>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</si>
  <si>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</si>
  <si>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</si>
  <si>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</si>
  <si>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</si>
  <si>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</si>
  <si>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</si>
  <si>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</si>
  <si>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</si>
  <si>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</si>
  <si>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</si>
  <si>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</si>
  <si>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</si>
  <si>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</si>
  <si>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</si>
  <si>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</si>
  <si>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</si>
  <si>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</si>
  <si>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</si>
  <si>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</si>
  <si>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</si>
  <si>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</si>
  <si>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</si>
  <si>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</si>
  <si>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</si>
  <si>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</si>
  <si>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</si>
  <si>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</si>
  <si>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</si>
  <si>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</si>
  <si>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</si>
  <si>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</si>
  <si>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</si>
  <si>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</si>
  <si>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</si>
  <si>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</si>
  <si>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</si>
  <si>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</si>
  <si>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</si>
  <si>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</si>
  <si>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</si>
  <si>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</si>
  <si>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</si>
  <si>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</si>
  <si>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</si>
  <si>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</si>
  <si>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</si>
  <si>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</si>
  <si>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</si>
  <si>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</si>
  <si>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</si>
  <si>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</si>
  <si>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</si>
  <si>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</si>
  <si>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</si>
  <si>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</si>
  <si>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</si>
  <si>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</si>
  <si>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</si>
  <si>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</si>
  <si>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</si>
  <si>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</si>
  <si>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</si>
  <si>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</si>
  <si>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</si>
  <si>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</si>
  <si>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</si>
  <si>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</si>
  <si>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</si>
  <si>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</si>
  <si>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</si>
  <si>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</si>
  <si>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</si>
  <si>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</si>
  <si>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</si>
  <si>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</si>
  <si>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</si>
  <si>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</si>
  <si>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</si>
  <si>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</si>
  <si>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</si>
  <si>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</si>
  <si>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</si>
  <si>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</si>
  <si>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</si>
  <si>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</si>
  <si>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</si>
  <si>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</si>
  <si>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</si>
  <si>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</si>
  <si>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</si>
  <si>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</si>
  <si>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</si>
  <si>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</si>
  <si>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</si>
  <si>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</si>
  <si>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</si>
  <si>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</si>
  <si>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</si>
  <si>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</si>
  <si>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</si>
  <si>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</si>
  <si>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</si>
  <si>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</si>
  <si>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</si>
  <si>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</si>
  <si>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</si>
  <si>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</si>
  <si>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</si>
  <si>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</si>
  <si>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</si>
  <si>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</si>
  <si>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</si>
  <si>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</si>
  <si>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</si>
  <si>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</si>
  <si>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</si>
  <si>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</si>
  <si>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</si>
  <si>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</si>
  <si>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</si>
  <si>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</si>
  <si>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</si>
  <si>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</si>
  <si>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</si>
  <si>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</si>
  <si>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</si>
  <si>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</si>
  <si>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</si>
  <si>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</si>
  <si>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</si>
  <si>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</si>
  <si>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</si>
  <si>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</si>
  <si>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</si>
  <si>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</si>
  <si>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</si>
  <si>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</si>
  <si>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</si>
  <si>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</si>
  <si>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</si>
  <si>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</si>
  <si>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</si>
  <si>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</si>
  <si>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</si>
  <si>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</si>
  <si>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</si>
  <si>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</si>
  <si>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</si>
  <si>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</si>
  <si>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</si>
  <si>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</si>
  <si>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</si>
  <si>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</si>
  <si>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</si>
  <si>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</si>
  <si>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</si>
  <si>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</si>
  <si>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</si>
  <si>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</si>
  <si>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</si>
  <si>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</si>
  <si>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</si>
  <si>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</si>
  <si>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</si>
  <si>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</si>
  <si>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</si>
  <si>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</si>
  <si>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</si>
  <si>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</si>
  <si>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</si>
  <si>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</si>
  <si>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</si>
  <si>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</si>
  <si>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</si>
  <si>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</si>
  <si>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</si>
  <si>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</si>
  <si>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</si>
  <si>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</si>
  <si>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</si>
  <si>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</si>
  <si>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</si>
  <si>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</si>
  <si>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</si>
  <si>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</si>
  <si>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</si>
  <si>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</si>
  <si>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</si>
  <si>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</si>
  <si>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</si>
  <si>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</si>
  <si>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</si>
  <si>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</si>
  <si>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</si>
  <si>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</si>
  <si>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</si>
  <si>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</si>
  <si>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</si>
  <si>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</si>
  <si>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</si>
  <si>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</si>
  <si>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</si>
  <si>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</si>
  <si>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</si>
  <si>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</si>
  <si>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</si>
  <si>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</si>
  <si>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</si>
  <si>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</si>
  <si>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</si>
  <si>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</si>
  <si>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</si>
  <si>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</si>
  <si>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</si>
  <si>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</si>
  <si>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</si>
  <si>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</si>
  <si>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</si>
  <si>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</si>
  <si>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</si>
  <si>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</si>
  <si>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</si>
  <si>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</si>
  <si>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</si>
  <si>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</si>
  <si>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</si>
  <si>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</si>
  <si>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</si>
  <si>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</si>
  <si>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</si>
  <si>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</si>
  <si>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</si>
  <si>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</si>
  <si>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</si>
  <si>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</si>
  <si>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</si>
  <si>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</si>
  <si>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</si>
  <si>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</si>
  <si>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</si>
  <si>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</si>
  <si>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</si>
  <si>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</si>
  <si>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</si>
  <si>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</si>
  <si>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</si>
  <si>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</si>
  <si>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</si>
  <si>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</si>
  <si>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</si>
  <si>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</si>
  <si>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</si>
  <si>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</si>
  <si>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</si>
  <si>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</si>
  <si>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</si>
  <si>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</si>
  <si>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</si>
  <si>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</si>
  <si>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</si>
  <si>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</si>
  <si>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</si>
  <si>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</si>
  <si>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</si>
  <si>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</si>
  <si>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</si>
  <si>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</si>
  <si>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</si>
  <si>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</si>
  <si>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</si>
  <si>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</si>
  <si>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</si>
  <si>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</si>
  <si>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</si>
  <si>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</si>
  <si>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</si>
  <si>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</si>
  <si>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</si>
  <si>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</si>
  <si>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</si>
  <si>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</si>
  <si>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</si>
  <si>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</si>
  <si>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</si>
  <si>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</si>
  <si>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</si>
  <si>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</si>
  <si>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</si>
  <si>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</si>
  <si>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</si>
  <si>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</si>
  <si>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</si>
  <si>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</si>
  <si>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</si>
  <si>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</si>
  <si>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</si>
  <si>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</si>
  <si>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</si>
  <si>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</si>
  <si>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</si>
  <si>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</si>
  <si>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</si>
  <si>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</si>
  <si>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</si>
  <si>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</si>
  <si>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</si>
  <si>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</si>
  <si>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</si>
  <si>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</si>
  <si>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</si>
  <si>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</si>
  <si>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</si>
  <si>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</si>
  <si>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</si>
  <si>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</si>
  <si>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</si>
  <si>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</si>
  <si>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</si>
  <si>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</si>
  <si>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</si>
  <si>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</si>
  <si>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</si>
  <si>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</si>
  <si>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</si>
  <si>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</si>
  <si>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</si>
  <si>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</si>
  <si>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</si>
  <si>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</si>
  <si>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</si>
  <si>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</si>
  <si>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</si>
  <si>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</si>
  <si>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</si>
  <si>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</si>
  <si>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</si>
  <si>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</si>
  <si>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</si>
  <si>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</si>
  <si>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</si>
  <si>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</si>
  <si>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</si>
  <si>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</si>
  <si>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</si>
  <si>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</si>
  <si>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</si>
  <si>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</si>
  <si>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</si>
  <si>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</si>
  <si>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</si>
  <si>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</si>
  <si>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</si>
  <si>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</si>
  <si>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</si>
  <si>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</si>
  <si>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</si>
  <si>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</si>
  <si>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</si>
  <si>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</si>
  <si>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</si>
  <si>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</si>
  <si>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</si>
  <si>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</si>
  <si>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</si>
  <si>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</si>
  <si>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</si>
  <si>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</si>
  <si>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</si>
  <si>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</si>
  <si>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</si>
  <si>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</si>
  <si>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</si>
  <si>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</si>
  <si>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</si>
  <si>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</si>
  <si>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</si>
  <si>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</si>
  <si>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</si>
  <si>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</si>
  <si>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</si>
  <si>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</si>
  <si>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</si>
  <si>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</si>
  <si>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</si>
  <si>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</si>
  <si>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</si>
  <si>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</si>
  <si>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</si>
  <si>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</si>
  <si>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</si>
  <si>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</si>
  <si>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</si>
  <si>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</si>
  <si>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</si>
  <si>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</si>
  <si>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</si>
  <si>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</si>
  <si>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</si>
  <si>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</si>
  <si>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</si>
  <si>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</si>
  <si>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</si>
  <si>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</si>
  <si>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</si>
  <si>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</si>
  <si>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</si>
  <si>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</si>
  <si>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</si>
  <si>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</si>
  <si>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</si>
  <si>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</si>
  <si>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</si>
  <si>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</si>
  <si>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</si>
  <si>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</si>
  <si>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</si>
  <si>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</si>
  <si>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</si>
  <si>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</si>
  <si>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</si>
  <si>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</si>
  <si>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</si>
  <si>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</si>
  <si>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</si>
  <si>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</si>
  <si>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</si>
  <si>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</si>
  <si>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</si>
  <si>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</si>
  <si>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</si>
  <si>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</si>
  <si>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</si>
  <si>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</si>
  <si>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</si>
  <si>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</si>
  <si>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</si>
  <si>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</si>
  <si>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</si>
  <si>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</si>
  <si>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</si>
  <si>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</si>
  <si>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</si>
  <si>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</si>
  <si>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</si>
  <si>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</si>
  <si>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</si>
  <si>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</si>
  <si>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</si>
  <si>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</si>
  <si>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</si>
  <si>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</si>
  <si>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</si>
  <si>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</si>
  <si>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</si>
  <si>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</si>
  <si>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</si>
  <si>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</si>
  <si>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</si>
  <si>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</si>
  <si>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</si>
  <si>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</si>
  <si>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</si>
  <si>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</si>
  <si>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</si>
  <si>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</si>
  <si>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</si>
  <si>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</si>
  <si>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</si>
  <si>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</si>
  <si>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</si>
  <si>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</si>
  <si>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</si>
  <si>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</si>
  <si>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</si>
  <si>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</si>
  <si>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</si>
  <si>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</si>
  <si>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</si>
  <si>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</si>
  <si>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</si>
  <si>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</si>
  <si>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</si>
  <si>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</si>
  <si>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</si>
  <si>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</si>
  <si>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</si>
  <si>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</si>
  <si>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</si>
  <si>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</si>
  <si>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</si>
  <si>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</si>
  <si>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</si>
  <si>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</si>
  <si>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</si>
  <si>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</si>
  <si>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</si>
  <si>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</si>
  <si>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</si>
  <si>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</si>
  <si>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</si>
  <si>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</si>
  <si>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</si>
  <si>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</si>
  <si>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</si>
  <si>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</si>
  <si>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</si>
  <si>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</si>
  <si>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</si>
  <si>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</si>
  <si>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</si>
  <si>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</si>
  <si>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</si>
  <si>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</si>
  <si>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</si>
  <si>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</si>
  <si>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</si>
  <si>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</si>
  <si>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</si>
  <si>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</si>
  <si>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</si>
  <si>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</si>
  <si>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</si>
  <si>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</si>
  <si>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</si>
  <si>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</si>
  <si>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</si>
  <si>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</si>
  <si>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</si>
  <si>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</si>
  <si>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</si>
  <si>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</si>
  <si>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</si>
  <si>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</si>
  <si>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</si>
  <si>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</si>
  <si>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</si>
  <si>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</si>
  <si>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</si>
  <si>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</si>
  <si>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</si>
  <si>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</si>
  <si>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</si>
  <si>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</si>
  <si>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</si>
  <si>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</si>
  <si>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</si>
  <si>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</si>
  <si>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</si>
  <si>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</si>
  <si>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</si>
  <si>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</si>
  <si>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</si>
  <si>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</si>
  <si>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</si>
  <si>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</si>
  <si>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</si>
  <si>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</si>
  <si>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</si>
  <si>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</si>
  <si>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</si>
  <si>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</si>
  <si>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</si>
  <si>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</si>
  <si>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</si>
  <si>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</si>
  <si>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</si>
  <si>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</si>
  <si>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</si>
  <si>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</si>
  <si>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</si>
  <si>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</si>
  <si>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</si>
  <si>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</si>
  <si>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</si>
  <si>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</si>
  <si>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</si>
  <si>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</si>
  <si>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</si>
  <si>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</si>
  <si>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</si>
  <si>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</si>
  <si>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</si>
  <si>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</si>
  <si>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</si>
  <si>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</si>
  <si>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</si>
  <si>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</si>
  <si>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</si>
  <si>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</si>
  <si>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</si>
  <si>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</si>
  <si>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</si>
  <si>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</si>
  <si>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</si>
  <si>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</si>
  <si>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</si>
  <si>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</si>
  <si>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</si>
  <si>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</si>
  <si>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</si>
  <si>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</si>
  <si>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</si>
  <si>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</si>
  <si>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</si>
  <si>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</si>
  <si>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</si>
  <si>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</si>
  <si>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</si>
  <si>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</si>
  <si>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</si>
  <si>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</si>
  <si>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</si>
  <si>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</si>
  <si>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</si>
  <si>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</si>
  <si>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</si>
  <si>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</si>
  <si>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</si>
  <si>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</si>
  <si>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</si>
  <si>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</si>
  <si>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</si>
  <si>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</si>
  <si>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</si>
  <si>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</si>
  <si>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</si>
  <si>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</si>
  <si>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</si>
  <si>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</si>
  <si>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</si>
  <si>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</si>
  <si>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</si>
  <si>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</si>
  <si>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</si>
  <si>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</si>
  <si>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</si>
  <si>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</si>
  <si>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</si>
  <si>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</si>
  <si>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</si>
  <si>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</si>
  <si>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</si>
  <si>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</si>
  <si>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</si>
  <si>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</si>
  <si>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</si>
  <si>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</si>
  <si>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</si>
  <si>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</si>
  <si>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</si>
  <si>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</si>
  <si>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</si>
  <si>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</si>
  <si>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</si>
  <si>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</si>
  <si>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</si>
  <si>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</si>
  <si>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</si>
  <si>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</si>
  <si>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</si>
  <si>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</si>
  <si>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</si>
  <si>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</si>
  <si>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</si>
  <si>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</si>
  <si>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</si>
  <si>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</si>
  <si>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</si>
  <si>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</si>
  <si>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</si>
  <si>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</si>
  <si>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</si>
  <si>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</si>
  <si>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</si>
  <si>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</si>
  <si>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</si>
  <si>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</si>
  <si>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</si>
  <si>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</si>
  <si>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</si>
  <si>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</si>
  <si>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</si>
  <si>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</si>
  <si>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</si>
  <si>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</si>
  <si>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</si>
  <si>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</si>
  <si>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</si>
  <si>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</si>
  <si>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</si>
  <si>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</si>
  <si>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</si>
  <si>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</si>
  <si>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</si>
  <si>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</si>
  <si>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</si>
  <si>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</si>
  <si>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</si>
  <si>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</si>
  <si>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</si>
  <si>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</si>
  <si>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</si>
  <si>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</si>
  <si>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</si>
  <si>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</si>
  <si>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</si>
  <si>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</si>
  <si>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</si>
  <si>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</si>
  <si>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</si>
  <si>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</si>
  <si>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</si>
  <si>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</si>
  <si>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</si>
  <si>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</si>
  <si>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</si>
  <si>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</si>
  <si>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</si>
  <si>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</si>
  <si>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</si>
  <si>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</si>
  <si>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</si>
  <si>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</si>
  <si>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</si>
  <si>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</si>
  <si>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</si>
  <si>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</si>
  <si>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</si>
  <si>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</si>
  <si>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</si>
  <si>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</si>
  <si>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</si>
  <si>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</si>
  <si>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</si>
  <si>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</si>
  <si>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</si>
  <si>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</si>
  <si>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</si>
  <si>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</si>
  <si>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</si>
  <si>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</si>
  <si>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</si>
  <si>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</si>
  <si>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</si>
  <si>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</si>
  <si>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</si>
  <si>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</si>
  <si>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</si>
  <si>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</si>
  <si>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</si>
  <si>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</si>
  <si>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</si>
  <si>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</si>
  <si>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</si>
  <si>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</si>
  <si>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</si>
  <si>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</si>
  <si>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</si>
  <si>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</si>
  <si>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</si>
  <si>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</si>
  <si>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</si>
  <si>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</si>
  <si>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</si>
  <si>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</si>
  <si>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</si>
  <si>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</si>
  <si>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</si>
  <si>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</si>
  <si>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</si>
  <si>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</si>
  <si>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</si>
  <si>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</si>
  <si>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</si>
  <si>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</si>
  <si>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</si>
  <si>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</si>
  <si>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</si>
  <si>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</si>
  <si>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</si>
  <si>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</si>
  <si>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</si>
  <si>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</si>
  <si>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</si>
  <si>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</si>
  <si>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</si>
  <si>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</si>
  <si>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</si>
  <si>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</si>
  <si>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</si>
  <si>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</si>
  <si>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</si>
  <si>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</si>
  <si>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</si>
  <si>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</si>
  <si>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</si>
  <si>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</si>
  <si>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</si>
  <si>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</si>
  <si>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</si>
  <si>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</si>
  <si>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</si>
  <si>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</si>
  <si>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</si>
  <si>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</si>
  <si>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</si>
  <si>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</si>
  <si>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</si>
  <si>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</si>
  <si>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</si>
  <si>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</si>
  <si>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</si>
  <si>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</si>
  <si>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</si>
  <si>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</si>
  <si>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</si>
  <si>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</si>
  <si>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</si>
  <si>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</si>
  <si>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</si>
  <si>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</si>
  <si>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</si>
  <si>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</si>
  <si>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</si>
  <si>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</si>
  <si>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</si>
  <si>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</si>
  <si>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</si>
  <si>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</si>
  <si>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</si>
  <si>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</si>
  <si>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</si>
  <si>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</si>
  <si>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</si>
  <si>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</si>
  <si>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</si>
  <si>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</si>
  <si>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</si>
  <si>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</si>
  <si>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</si>
  <si>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</si>
  <si>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</si>
  <si>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</si>
  <si>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</si>
  <si>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</si>
  <si>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</si>
  <si>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</si>
  <si>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</si>
  <si>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</si>
  <si>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</si>
  <si>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</si>
  <si>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</si>
  <si>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</si>
  <si>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</si>
  <si>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</si>
  <si>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</si>
  <si>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</si>
  <si>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</si>
  <si>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</si>
  <si>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</si>
  <si>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</si>
  <si>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</si>
  <si>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</si>
  <si>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</si>
  <si>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</si>
  <si>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</si>
  <si>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</si>
  <si>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</si>
  <si>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</si>
  <si>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</si>
  <si>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</si>
  <si>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</si>
  <si>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</si>
  <si>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</si>
  <si>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</si>
  <si>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</si>
  <si>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</si>
  <si>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</si>
  <si>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</si>
  <si>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</si>
  <si>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</si>
  <si>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</si>
  <si>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</si>
  <si>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</si>
  <si>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</si>
  <si>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</si>
  <si>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</si>
  <si>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</si>
  <si>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</si>
  <si>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</si>
  <si>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</si>
  <si>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</si>
  <si>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</si>
  <si>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</si>
  <si>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</si>
  <si>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</si>
  <si>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</si>
  <si>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</si>
  <si>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</si>
  <si>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</si>
  <si>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</si>
  <si>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</si>
  <si>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</si>
  <si>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</si>
  <si>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</si>
  <si>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</si>
  <si>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</si>
  <si>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</si>
  <si>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</si>
  <si>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</si>
  <si>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</si>
  <si>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</si>
  <si>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</si>
  <si>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</si>
  <si>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</si>
  <si>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</si>
  <si>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</si>
  <si>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</si>
  <si>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</si>
  <si>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</si>
  <si>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</si>
  <si>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</si>
  <si>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</si>
  <si>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</si>
  <si>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</si>
  <si>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</si>
  <si>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</si>
  <si>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</si>
  <si>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</si>
  <si>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</si>
  <si>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</si>
  <si>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</si>
  <si>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</si>
  <si>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</si>
  <si>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</si>
  <si>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</si>
  <si>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</si>
  <si>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</si>
  <si>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</si>
  <si>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</si>
  <si>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</si>
  <si>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</si>
  <si>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</si>
  <si>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</si>
  <si>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</si>
  <si>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</si>
  <si>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</si>
  <si>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</si>
  <si>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</si>
  <si>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</si>
  <si>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</si>
  <si>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</si>
  <si>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</si>
  <si>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</si>
  <si>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</si>
  <si>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</si>
  <si>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</si>
  <si>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</si>
  <si>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</si>
  <si>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</si>
  <si>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</si>
  <si>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</si>
  <si>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</si>
  <si>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</si>
  <si>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</si>
  <si>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</si>
  <si>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</si>
  <si>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</si>
  <si>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</si>
  <si>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</si>
  <si>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</si>
  <si>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</si>
  <si>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</si>
  <si>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</si>
  <si>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</si>
  <si>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</si>
  <si>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</si>
  <si>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</si>
  <si>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</si>
  <si>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</si>
  <si>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</si>
  <si>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</si>
  <si>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</si>
  <si>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</si>
  <si>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</si>
  <si>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</si>
  <si>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</si>
  <si>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</si>
  <si>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</si>
  <si>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</si>
  <si>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</si>
  <si>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</si>
  <si>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</si>
  <si>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</si>
  <si>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</si>
  <si>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</si>
  <si>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</si>
  <si>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</si>
  <si>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</si>
  <si>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</si>
  <si>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</si>
  <si>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</si>
  <si>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</si>
  <si>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</si>
  <si>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</si>
  <si>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</si>
  <si>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</si>
  <si>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</si>
  <si>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</si>
  <si>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</si>
  <si>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</si>
  <si>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</si>
  <si>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</si>
  <si>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</si>
  <si>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</si>
  <si>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</si>
  <si>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</si>
  <si>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</si>
  <si>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</si>
  <si>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</si>
  <si>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</si>
  <si>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</si>
  <si>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</si>
  <si>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</si>
  <si>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</si>
  <si>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</si>
  <si>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</si>
  <si>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</si>
  <si>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</si>
  <si>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</si>
  <si>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</si>
  <si>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</si>
  <si>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</si>
  <si>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</si>
  <si>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</si>
  <si>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</si>
  <si>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</si>
  <si>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</si>
  <si>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</si>
  <si>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</si>
  <si>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</si>
  <si>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</si>
  <si>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</si>
  <si>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</si>
  <si>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</si>
  <si>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</si>
  <si>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</si>
  <si>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</si>
  <si>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</si>
  <si>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</si>
  <si>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</si>
  <si>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</si>
  <si>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</si>
  <si>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</si>
  <si>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</si>
  <si>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</si>
  <si>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</si>
  <si>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</si>
  <si>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</si>
  <si>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</si>
  <si>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</si>
  <si>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</si>
  <si>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</si>
  <si>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</si>
  <si>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</si>
  <si>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</si>
  <si>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</si>
  <si>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</si>
  <si>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</si>
  <si>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</si>
  <si>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</si>
  <si>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</si>
  <si>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</si>
  <si>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</si>
  <si>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</si>
  <si>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</si>
  <si>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</si>
  <si>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</si>
  <si>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</si>
  <si>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</si>
  <si>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</si>
  <si>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</si>
  <si>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</si>
  <si>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</si>
  <si>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</si>
  <si>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</si>
  <si>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</si>
  <si>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</si>
  <si>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</si>
  <si>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</si>
  <si>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</si>
  <si>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</si>
  <si>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</si>
  <si>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</si>
  <si>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</si>
  <si>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</si>
  <si>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</si>
  <si>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</si>
  <si>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</si>
  <si>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</si>
  <si>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</si>
  <si>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</si>
  <si>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</si>
  <si>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</si>
  <si>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</si>
  <si>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</si>
  <si>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</si>
  <si>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</si>
  <si>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</si>
  <si>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</si>
  <si>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</si>
  <si>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</si>
  <si>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</si>
  <si>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</si>
  <si>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</si>
  <si>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</si>
  <si>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</si>
  <si>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</si>
  <si>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</si>
  <si>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</si>
  <si>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</si>
  <si>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</si>
  <si>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</si>
  <si>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</si>
  <si>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</si>
  <si>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</si>
  <si>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</si>
  <si>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</si>
  <si>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</si>
  <si>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</si>
  <si>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</si>
  <si>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</si>
  <si>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</si>
  <si>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</si>
  <si>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</si>
  <si>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</si>
  <si>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</si>
  <si>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</si>
  <si>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</si>
  <si>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</si>
  <si>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</si>
  <si>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</si>
  <si>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</si>
  <si>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</si>
  <si>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</si>
  <si>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</si>
  <si>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</si>
  <si>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</si>
  <si>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</si>
  <si>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</si>
  <si>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</si>
  <si>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</si>
  <si>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</si>
  <si>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</si>
  <si>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</si>
  <si>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</si>
  <si>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</si>
  <si>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</si>
  <si>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</si>
  <si>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</si>
  <si>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</si>
  <si>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</si>
  <si>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</si>
  <si>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</si>
  <si>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</si>
  <si>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</si>
  <si>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</si>
  <si>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</si>
  <si>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</si>
  <si>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</si>
  <si>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</si>
  <si>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</si>
  <si>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</si>
  <si>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</si>
  <si>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</si>
  <si>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</si>
  <si>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</si>
  <si>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</si>
  <si>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</si>
  <si>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</si>
  <si>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</si>
  <si>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</si>
  <si>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</si>
  <si>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</si>
  <si>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</si>
  <si>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</si>
  <si>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</si>
  <si>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</si>
  <si>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</si>
  <si>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</si>
  <si>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</si>
  <si>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</si>
  <si>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</si>
  <si>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</si>
  <si>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</si>
  <si>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</si>
  <si>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</si>
  <si>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</si>
  <si>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</si>
  <si>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</si>
  <si>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</si>
  <si>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</si>
  <si>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</si>
  <si>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</si>
  <si>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</si>
  <si>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</si>
  <si>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</si>
  <si>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</si>
  <si>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</si>
  <si>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</si>
  <si>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</si>
  <si>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</si>
  <si>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</si>
  <si>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</si>
  <si>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</si>
  <si>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</si>
  <si>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</si>
  <si>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</si>
  <si>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</si>
  <si>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</si>
  <si>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</si>
  <si>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</si>
  <si>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</si>
  <si>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</si>
  <si>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</si>
  <si>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</si>
  <si>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</si>
  <si>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</si>
  <si>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</si>
  <si>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</si>
  <si>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</si>
  <si>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</si>
  <si>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</si>
  <si>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</si>
  <si>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</si>
  <si>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</si>
  <si>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</si>
  <si>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</si>
  <si>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</si>
  <si>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</si>
  <si>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</si>
  <si>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</si>
  <si>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</si>
  <si>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</si>
  <si>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</si>
  <si>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</si>
  <si>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</si>
  <si>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</si>
  <si>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</si>
  <si>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</si>
  <si>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</si>
  <si>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</si>
  <si>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</si>
  <si>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</si>
  <si>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</si>
  <si>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</si>
  <si>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</si>
  <si>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</si>
  <si>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</si>
  <si>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</si>
  <si>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</si>
  <si>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</si>
  <si>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</si>
  <si>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</si>
  <si>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</si>
  <si>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</si>
  <si>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</si>
  <si>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</si>
  <si>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</si>
  <si>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</si>
  <si>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</si>
  <si>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</si>
  <si>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</si>
  <si>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</si>
  <si>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</si>
  <si>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</si>
  <si>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</si>
  <si>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</si>
  <si>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</si>
  <si>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</si>
  <si>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</si>
  <si>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</si>
  <si>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</si>
  <si>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</si>
  <si>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</si>
  <si>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</si>
  <si>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</si>
  <si>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</si>
  <si>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</si>
  <si>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</si>
  <si>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</si>
  <si>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</si>
  <si>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</si>
  <si>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</si>
  <si>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</si>
  <si>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</si>
  <si>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</si>
  <si>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</si>
  <si>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</si>
  <si>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</si>
  <si>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</si>
  <si>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</si>
  <si>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</si>
  <si>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</si>
  <si>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</si>
  <si>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</si>
  <si>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</si>
  <si>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</si>
  <si>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</si>
  <si>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</si>
  <si>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</si>
  <si>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</si>
  <si>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</si>
  <si>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</si>
  <si>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</si>
  <si>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</si>
  <si>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</si>
  <si>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</si>
  <si>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</si>
  <si>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</si>
  <si>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</si>
  <si>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</si>
  <si>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</si>
  <si>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</si>
  <si>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</si>
  <si>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</si>
  <si>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</si>
  <si>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</si>
  <si>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</si>
  <si>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</si>
  <si>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</si>
  <si>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</si>
  <si>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</si>
  <si>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</si>
  <si>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</si>
  <si>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</si>
  <si>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</si>
  <si>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</si>
  <si>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</si>
  <si>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</si>
  <si>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</si>
  <si>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</si>
  <si>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</si>
  <si>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</si>
  <si>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</si>
  <si>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</si>
  <si>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</si>
  <si>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</si>
  <si>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</si>
  <si>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</si>
  <si>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</si>
  <si>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</si>
  <si>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</si>
  <si>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</si>
  <si>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</si>
  <si>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</si>
  <si>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</si>
  <si>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</si>
  <si>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</si>
  <si>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</si>
  <si>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</si>
  <si>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</si>
  <si>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</si>
  <si>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</si>
  <si>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</si>
  <si>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</si>
  <si>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</si>
  <si>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</si>
  <si>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</si>
  <si>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</si>
  <si>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</si>
  <si>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</si>
  <si>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</si>
  <si>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</si>
  <si>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</si>
  <si>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</si>
  <si>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</si>
  <si>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</si>
  <si>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</si>
  <si>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</si>
  <si>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</si>
  <si>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</si>
  <si>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</si>
  <si>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</si>
  <si>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</si>
  <si>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</si>
  <si>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</si>
  <si>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</si>
  <si>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</si>
  <si>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</si>
  <si>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</si>
  <si>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</si>
  <si>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</si>
  <si>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</si>
  <si>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</si>
  <si>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</si>
  <si>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</si>
  <si>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</si>
  <si>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</si>
  <si>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</si>
  <si>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</si>
  <si>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</si>
  <si>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</si>
  <si>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</si>
  <si>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</si>
  <si>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</si>
  <si>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</si>
  <si>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</si>
  <si>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</si>
  <si>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</si>
  <si>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</si>
  <si>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</si>
  <si>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</si>
  <si>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</si>
  <si>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</si>
  <si>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</si>
  <si>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</si>
  <si>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</si>
  <si>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</si>
  <si>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</si>
  <si>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</si>
  <si>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</si>
  <si>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</si>
  <si>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</si>
  <si>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</si>
  <si>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</si>
  <si>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</si>
  <si>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</si>
  <si>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</si>
  <si>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</si>
  <si>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</si>
  <si>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</si>
  <si>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</si>
  <si>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</si>
  <si>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</si>
  <si>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</si>
  <si>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</si>
  <si>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</si>
  <si>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</si>
  <si>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</si>
  <si>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</si>
  <si>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</si>
  <si>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</si>
  <si>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</si>
  <si>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</si>
  <si>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</si>
  <si>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</si>
  <si>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</si>
  <si>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</si>
  <si>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</si>
  <si>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</si>
  <si>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</si>
  <si>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</si>
  <si>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</si>
  <si>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</si>
  <si>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</si>
  <si>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</si>
  <si>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</si>
  <si>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</si>
  <si>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</si>
  <si>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</si>
  <si>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</si>
  <si>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</si>
  <si>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</si>
  <si>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</si>
  <si>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</si>
  <si>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</si>
  <si>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</si>
  <si>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</si>
  <si>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</si>
  <si>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</si>
  <si>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</si>
  <si>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</si>
  <si>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</si>
  <si>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</si>
  <si>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</si>
  <si>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</si>
  <si>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</si>
  <si>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</si>
  <si>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</si>
  <si>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</si>
  <si>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</si>
  <si>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</si>
  <si>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</si>
  <si>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</si>
  <si>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</si>
  <si>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</si>
  <si>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</si>
  <si>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</si>
  <si>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</si>
  <si>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</si>
  <si>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</si>
  <si>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</si>
  <si>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</si>
  <si>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</si>
  <si>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</si>
  <si>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</si>
  <si>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</si>
  <si>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</si>
  <si>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</si>
  <si>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</si>
  <si>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</si>
  <si>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</si>
  <si>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</si>
  <si>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</si>
  <si>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</si>
  <si>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</si>
  <si>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</si>
  <si>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</si>
  <si>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</si>
  <si>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</si>
  <si>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</si>
  <si>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</si>
  <si>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</si>
  <si>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</si>
  <si>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</si>
  <si>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</si>
  <si>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</si>
  <si>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</si>
  <si>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</si>
  <si>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</si>
  <si>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</si>
  <si>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</si>
  <si>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</si>
  <si>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</si>
  <si>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</si>
  <si>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</si>
  <si>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</si>
  <si>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</si>
  <si>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</si>
  <si>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</si>
  <si>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</si>
  <si>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</si>
  <si>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</si>
  <si>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</si>
  <si>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</si>
  <si>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</si>
  <si>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</si>
  <si>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</si>
  <si>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</si>
  <si>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</si>
  <si>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</si>
  <si>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</si>
  <si>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</si>
  <si>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</si>
  <si>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</si>
  <si>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</si>
  <si>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</si>
  <si>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</si>
  <si>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</si>
  <si>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</si>
  <si>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</si>
  <si>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</si>
  <si>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</si>
  <si>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</si>
  <si>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</si>
  <si>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</si>
  <si>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</si>
  <si>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</si>
  <si>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</si>
  <si>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</si>
  <si>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</si>
  <si>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</si>
  <si>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</si>
  <si>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</si>
  <si>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</si>
  <si>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</si>
  <si>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</si>
  <si>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</si>
  <si>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</si>
  <si>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</si>
  <si>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</si>
  <si>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</si>
  <si>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</si>
  <si>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</si>
  <si>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</si>
  <si>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</si>
  <si>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</si>
  <si>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</si>
  <si>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</si>
  <si>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</si>
  <si>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</si>
  <si>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</si>
  <si>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</si>
  <si>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</si>
  <si>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</si>
  <si>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</si>
  <si>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</si>
  <si>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</si>
  <si>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</si>
  <si>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</si>
  <si>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</si>
  <si>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</si>
  <si>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</si>
  <si>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</si>
  <si>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</si>
  <si>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</si>
  <si>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</si>
  <si>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</si>
  <si>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</si>
  <si>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</si>
  <si>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</si>
  <si>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</si>
  <si>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</si>
  <si>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</si>
  <si>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</si>
  <si>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</si>
  <si>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</si>
  <si>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</si>
  <si>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</si>
  <si>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</si>
  <si>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</si>
  <si>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</si>
  <si>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</si>
  <si>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</si>
  <si>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</si>
  <si>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</si>
  <si>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</si>
  <si>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</si>
  <si>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</si>
  <si>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</si>
  <si>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</si>
  <si>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</si>
  <si>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</si>
  <si>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</si>
  <si>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</si>
  <si>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</si>
  <si>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</si>
  <si>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</si>
  <si>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</si>
  <si>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</si>
  <si>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</si>
  <si>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</si>
  <si>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</si>
  <si>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</si>
  <si>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</si>
  <si>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</si>
  <si>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</si>
  <si>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</si>
  <si>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</si>
  <si>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</si>
  <si>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</si>
  <si>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</si>
  <si>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</si>
  <si>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</si>
  <si>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</si>
  <si>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</si>
  <si>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</si>
  <si>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</si>
  <si>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</si>
  <si>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</si>
  <si>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</si>
  <si>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</si>
  <si>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</si>
  <si>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</si>
  <si>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</si>
  <si>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</si>
  <si>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</si>
  <si>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</si>
  <si>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</si>
  <si>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</si>
  <si>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</si>
  <si>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</si>
  <si>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</si>
  <si>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</si>
  <si>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</si>
  <si>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</si>
  <si>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</si>
  <si>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</si>
  <si>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</si>
  <si>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</si>
  <si>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</si>
  <si>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</si>
  <si>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</si>
  <si>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</si>
  <si>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</si>
  <si>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</si>
  <si>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</si>
  <si>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</si>
  <si>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</si>
  <si>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</si>
  <si>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</si>
  <si>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</si>
  <si>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</si>
  <si>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</si>
  <si>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</si>
  <si>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</si>
  <si>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</si>
  <si>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</si>
  <si>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</si>
  <si>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</si>
  <si>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</si>
  <si>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</si>
  <si>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</si>
  <si>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</si>
  <si>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</si>
  <si>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</si>
  <si>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</si>
  <si>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</si>
  <si>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</si>
  <si>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</si>
  <si>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</si>
  <si>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</si>
  <si>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</si>
  <si>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</si>
  <si>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</si>
  <si>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</si>
  <si>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</si>
  <si>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</si>
  <si>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</si>
  <si>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</si>
  <si>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</si>
  <si>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</si>
  <si>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</si>
  <si>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</si>
  <si>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</si>
  <si>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</si>
  <si>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</si>
  <si>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</si>
  <si>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</si>
  <si>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</si>
  <si>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</si>
  <si>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</si>
  <si>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</si>
  <si>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</si>
  <si>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</si>
  <si>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</si>
  <si>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</si>
  <si>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</si>
  <si>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</si>
  <si>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</si>
  <si>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</si>
  <si>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</si>
  <si>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</si>
  <si>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</si>
  <si>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</si>
  <si>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</si>
  <si>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</si>
  <si>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</si>
  <si>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</si>
  <si>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</si>
  <si>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</si>
  <si>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</si>
  <si>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</si>
  <si>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</si>
  <si>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</si>
  <si>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</si>
  <si>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</si>
  <si>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</si>
  <si>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</si>
  <si>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</si>
  <si>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</si>
  <si>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</si>
  <si>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</si>
  <si>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</si>
  <si>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</si>
  <si>
    <t>ООО ЛП Тс160153-26 31.07.2026 Пенза 15542кг (Агафонов)</t>
  </si>
  <si>
    <t>ООО ЛП Тс160155-26 31.07.2026 Пенза 16604кг (Гаджиев)</t>
  </si>
  <si>
    <t>ООО НВ Тс162867-26 02.08.2026 Луганск 8377кг (Жабкин)</t>
  </si>
  <si>
    <t>ООО НВ ЮТс-03663-26 31.07.2026 Павленко 11136кг (Журавлев)</t>
  </si>
  <si>
    <t>ООО НВ Тс162891-26 02.08.2026 Горяк-Луганск 7572кг (Жабкин)</t>
  </si>
  <si>
    <t>ООО НВ Тс164560-26 02.08.2026 Луганск(2) 1172кг (Жабкин)</t>
  </si>
  <si>
    <t>ООО ЛП Тс162529-26 02.08.2026 Малахутин 9654кг (Елисеев)</t>
  </si>
  <si>
    <t>ООО ЛП Тс162534-26 02.08.2026 ПРС 1521кг (Елисеев)</t>
  </si>
  <si>
    <t>ООО ЛП Тс164267-26 02.08.2026 Пушкарный 6322кг (Елисеев)</t>
  </si>
  <si>
    <t>ООО КСК ТРЕЙД Тс162672-26 01.08.2026 Крым 15580кг (Исаков)</t>
  </si>
  <si>
    <t>ООО НВ Тс161864-26 01.08.2026 Бердянск 3102кг (Ислюков)</t>
  </si>
  <si>
    <t>ООО НВ Тс161856-26 01.08.2026 Бердянск(2) 2176кг (Ислюков)</t>
  </si>
  <si>
    <t>ООО НВ Тс161849-26 01.08.2026 Мелитополь 3824кг (Ислюков)</t>
  </si>
  <si>
    <t>ООО НВ Тс161862-26 01.08.2026 Мелитополь(2) 2784кг (Ислюков)</t>
  </si>
  <si>
    <t>ООО НВ Тс164186-26 01.08.2026 Мелитополь(3) 2173кг (Ислюков)</t>
  </si>
  <si>
    <t>ООО НВ Тс164562-26 01.08.2026 Бердянск(4) 2000кг (Ислюков)</t>
  </si>
  <si>
    <t>ООО НВ Тс164156-26 01.08.2026 Бердянск(3) 1382кг (Ислюков)</t>
  </si>
  <si>
    <t>ООО НВ Тс161852-26 02.08.2026 Кочевой 1318кг (Клетченко)</t>
  </si>
  <si>
    <t>ООО НВ Тс162892-26 02.08.2026 Донецк 15394кг (Клетченко)</t>
  </si>
  <si>
    <t>ООО НВ Тс162889-26 02.08.2026 Донецк 15649кг (Кокшин)</t>
  </si>
  <si>
    <t>ООО НВ Тс164561-26 02.08.2026 Донецк(2) 1553кг (Кокшин)</t>
  </si>
  <si>
    <t>ООО КСК ТРЕЙД Тс161758-26 01.08.2026 Крым 15560кг (Мазур)</t>
  </si>
  <si>
    <t>ООО КСК ТРЕЙД Тс164441-26 01.08.2026 Крым(2) 1473кг (Мазур)</t>
  </si>
  <si>
    <t>ООО КСК ТРЕЙД Тс164095-26 01.08.2026 Крым(3) 514кг (Мазур)</t>
  </si>
  <si>
    <t>ООО НВ Тс161863-26 02.08.2026 Луганск(2) 1777кг (Медведь)</t>
  </si>
  <si>
    <t>ООО НВ Тс164563-26 02.08.2026 Луганск(3) 2530кг (Медведь)</t>
  </si>
  <si>
    <t>ООО НВ Тс161859-26 02.08.2026 Луганск 8314кг (Медведь)</t>
  </si>
  <si>
    <t>ООО НВ Тс161850-26 02.08.2026 Донецк 4819кг (Медведь)</t>
  </si>
  <si>
    <t>ООО КСК ТРЕЙД Тс164685-26 02.08.2026 Крым(3) 1118кг (Чиндин)</t>
  </si>
  <si>
    <t>ООО КСК ТРЕЙД Тс164557-26 02.08.2026 Крым(2) 4925кг (Чиндин)</t>
  </si>
  <si>
    <t>ООО КСК ТРЕЙД Тс162600-26 02.08.2026 Николаенко 1562кг (Чиндин)</t>
  </si>
  <si>
    <t>ООО КСК ТРЕЙД Тс162603-26 02.08.2026 Крым 9972кг (Чиндин)</t>
  </si>
  <si>
    <t>ООО НВ Тс164564-26 02.08.2026 Донецк(2) 931кг (Клетченко)</t>
  </si>
  <si>
    <t>ООО ЛП Тс159340-26 30.07.2026 Пушкарный 16587кг (Зубко)</t>
  </si>
  <si>
    <t>05,08,26</t>
  </si>
  <si>
    <t>ООО КСК ТРЕЙД Тс164359-26 03.08.2026 Крым 8513кг (Воронов)</t>
  </si>
  <si>
    <t>ООО КСК ТРЕЙД Тс164942-26 03.08.2026 Крым 300кг (Воронов)</t>
  </si>
  <si>
    <t>ООО КСК ТРЕЙД Тс164319-26 03.08.2026 Вердиева(2) 1518кг (Воронов)</t>
  </si>
  <si>
    <t>ООО КСК ТРЕЙД Тс164292-26 03.08.2026 Вердиева 1284кг (Воронов)</t>
  </si>
  <si>
    <t>ООО КСК ТРЕЙД Тс164787-26 03.08.2026 Крым 5882кг (Воронов)</t>
  </si>
  <si>
    <t>ООО НВ ЮТс-03733-26 03.08.2026 Луганск 12325кг (Лола)</t>
  </si>
  <si>
    <t>ООО КСК ТРЕЙД ЮТс-03725-26 03.08.2026 Крым 14860кг (Попов)</t>
  </si>
  <si>
    <t>ООО НВ ЮТс-03732-26 03.08.2026 Горняк-Луганск 10672кг (Решетов)</t>
  </si>
  <si>
    <t>ООО КСК ТРЕЙД Тс164332-26 03.08.2026 Крым 11956кг (Акшонин)</t>
  </si>
  <si>
    <t>ООО КСК ТРЕЙД Тс164786-26 03.08.2026 Крым(2) 5121кг (Акшонин)</t>
  </si>
  <si>
    <t>ООО КСК ТРЕЙД Тс165181-26 03.08.2026 Крым(3) 513кг (Акшонин)</t>
  </si>
  <si>
    <t>ООО ЛП Тс163985-26 04.08.2026 НПК 2884кг (Пыдык)</t>
  </si>
  <si>
    <t>ООО НВ Тс162887-26 04.08.2026 Донецк 1614кг (Пыдык)</t>
  </si>
  <si>
    <t>ООО НВ Тс164099-26 04.08.2026 Донецк(2) 10241кг (Пыдык)</t>
  </si>
  <si>
    <t>ООО НВ Тс164782-26 04.08.2026 Донецк(3) 3516кг (Пыдык)</t>
  </si>
  <si>
    <t>ООО НВ Тс164098-26 03.08.2026 Бердянск 3686кг (Сарва)</t>
  </si>
  <si>
    <t>ООО НВ Тс164309-26 03.08.2026 Мелитополь 9613кг (Сарва)</t>
  </si>
  <si>
    <t>ООО НВ Тс165118-26 03.08.2026 Мелитополь(2) 3621кг (Сарва)</t>
  </si>
  <si>
    <t>ООО НВ Тс165413-26 03.08.2026 Мелитополь(3) 134кг (Сарва)</t>
  </si>
  <si>
    <t>ООО НВ Тс164559-26 03.08.2026 Донецк 4124кг (Уманский)</t>
  </si>
  <si>
    <t>ООО ЛП Тс160148-26 03.08.2026 Пушкарный 2985кг (Уманский)</t>
  </si>
  <si>
    <t>ООО ЛП Тс162097-26 03.08.2026 Пушкарный(ВВ) 713кг (Уманский)</t>
  </si>
  <si>
    <t>ООО ЛП Тс162099-26 03.08.2026 Коныгин 7519кг (Уманский)</t>
  </si>
  <si>
    <t>ООО ЛП Тс164266-26 03.08.2026 Коныгин(2) 1977кг (Уманский)</t>
  </si>
  <si>
    <t>ООО НВ ЮТс-03723-26 03.08.2026 Горняк-Донецк 7129кг (Хохлов)</t>
  </si>
  <si>
    <t>ООО НВ Тс163951-26 03.08.2026 Донецк 6414кг (Хохлов)</t>
  </si>
  <si>
    <t>накладные</t>
  </si>
  <si>
    <t>TS</t>
  </si>
  <si>
    <t>06,08,26</t>
  </si>
  <si>
    <t>ООО НВ Тс164301-26 04.08.2026 Бердянск 9226кг (Исмаилов)</t>
  </si>
  <si>
    <t>ООО НВ Тс164298-26 04.08.2026 Мелитополь 5568кг (Исмаилов)</t>
  </si>
  <si>
    <t>ООО НВ Тс164151-26 04.08.2026 Бердянск(2) 15кг (Исмаилов)</t>
  </si>
  <si>
    <t>ООО КСК ТРЕЙД Тс164304-26 04.08.2026 Крым 13709кг (Муждабаев)</t>
  </si>
  <si>
    <t>ООО КСК ТРЕЙД Тс165867-26 04.08.2026 Крым(4) 753кг (Муждабаев)</t>
  </si>
  <si>
    <t>ООО КСК ТРЕЙД Тс165428-26 04.08.2026 Крым(3) 2718кг (Муждабаев)</t>
  </si>
  <si>
    <t>ООО КСК ТРЕЙД Тс164742-26 04.08.2026 Крым(2) 225кг (Муждабаев)</t>
  </si>
  <si>
    <t>ООО НВ Тс164313-26 04.08.2026 Донецк 12555кг (Ступак)</t>
  </si>
  <si>
    <t>ООО НВ Тс164161-26 04.08.2026 Донецк(2) 15кг (Ступак)</t>
  </si>
  <si>
    <t>TSO001079561</t>
  </si>
  <si>
    <t>TSO001079587</t>
  </si>
  <si>
    <t>TSO001079592</t>
  </si>
  <si>
    <t>TSO001079598</t>
  </si>
  <si>
    <t>TSO001079599</t>
  </si>
  <si>
    <t>ООО КСК ТРЕЙД Тс164372-26 04.08.2026 Крым 13231кг (Гулаков)</t>
  </si>
  <si>
    <t>ООО КСК ТРЕЙД Тс165866-26 04.08.2026 Крым(3) 539кг (Гулаков)</t>
  </si>
  <si>
    <t>ООО КСК ТРЕЙД Тс165427-26 04.08.2026 Крым(2) 3107кг (Гулаков)</t>
  </si>
  <si>
    <t>ООО КСК ТРЕЙД Тс166323-26 04.08.2026 Крым(4) 685кг (Гулаков)</t>
  </si>
  <si>
    <t>ООО НВ Тс164295-26 04.08.2026 Луганск 14218кг (Должков)</t>
  </si>
  <si>
    <t>ООО НВ Тс165306-26 04.08.2026 Луганск(2) 2621кг (Должков)</t>
  </si>
  <si>
    <t>ООО НВ Тс166528-26 04.08.2026 Луганск(3) 235кг (Должков)</t>
  </si>
  <si>
    <t>ООО НВ Тс165114-26 04.08.2026 Донецк 16503кг (Павленко)</t>
  </si>
  <si>
    <t>ООО НВ Тс165310-26 04.08.2026 Донецк(2) 1012кг (Павленко)</t>
  </si>
  <si>
    <t>ООО НВ Тс166526-26 04.08.2026 Донецк(3) 139кг (Павленко)</t>
  </si>
  <si>
    <t>TSO001079829</t>
  </si>
  <si>
    <t>ООО КСК ТРЕЙД Тс166303-26 04.08.2026 Крым 135кг (Муждабаев)</t>
  </si>
  <si>
    <t>07,08,26</t>
  </si>
  <si>
    <t>08,08,26</t>
  </si>
  <si>
    <t>TSO001080316</t>
  </si>
  <si>
    <t>TSO001080407</t>
  </si>
  <si>
    <t>TSO001080408</t>
  </si>
  <si>
    <t>TSO001080421</t>
  </si>
  <si>
    <t>TSO001080422</t>
  </si>
  <si>
    <t>TSO001080423</t>
  </si>
  <si>
    <t>TSO001080620</t>
  </si>
  <si>
    <t>липа от Химича</t>
  </si>
  <si>
    <t>TSO001080787</t>
  </si>
  <si>
    <t>TSO001080777</t>
  </si>
  <si>
    <t>09,08,26</t>
  </si>
  <si>
    <t>TSO001080802</t>
  </si>
  <si>
    <t>TSO001080800</t>
  </si>
  <si>
    <t>TSO001080803</t>
  </si>
  <si>
    <t>TSO001080804</t>
  </si>
  <si>
    <t>TSO001080807</t>
  </si>
  <si>
    <t>TSO001080808</t>
  </si>
  <si>
    <t>TSO001080906</t>
  </si>
  <si>
    <t>TSO001080907</t>
  </si>
  <si>
    <t>TSO001080884</t>
  </si>
  <si>
    <t>TSO001080891</t>
  </si>
  <si>
    <t>TSO001080893</t>
  </si>
  <si>
    <t>TSO001080901</t>
  </si>
  <si>
    <t>TSO001080892</t>
  </si>
  <si>
    <t>ООО ЛП Тс166452-26 06.08.2026 Пушкарный 14137кг (Бугаев)</t>
  </si>
  <si>
    <t>ООО ЛП Тс166502-26 06.08.2026 Пушкарный 17205кг (Довгий)</t>
  </si>
  <si>
    <t>ООО КСК ТРЕЙД Тс167546-26 06.08.2026 Крым 16011кг (Журавлев)</t>
  </si>
  <si>
    <t>ООО КСК ТРЕЙД Тс167544-26 06.08.2026 Крым(2) 858кг (Журавлев)</t>
  </si>
  <si>
    <t>ООО ЛП Тс166505-26 06.08.2026 Пенза 15236кг (Писирханов)</t>
  </si>
  <si>
    <t>ООО ЛП Тс168017-26 06.08.2026 Пенза(2) 2515кг (Писирханов)</t>
  </si>
  <si>
    <t>ООО ЛП Тс166492-26 06.08.2026 Пушкарный 14186кг (Шостак)</t>
  </si>
  <si>
    <t>TSO001081146</t>
  </si>
  <si>
    <t>TSO001081611</t>
  </si>
  <si>
    <t>10,08,26</t>
  </si>
  <si>
    <t>TSO001081610</t>
  </si>
  <si>
    <t>11,08,26</t>
  </si>
  <si>
    <t>TSO001081752</t>
  </si>
  <si>
    <t>TSO001081842</t>
  </si>
  <si>
    <t>TSO001081845</t>
  </si>
  <si>
    <t>TSO001081762</t>
  </si>
  <si>
    <t>TSO001081763</t>
  </si>
  <si>
    <t>TSO001081767</t>
  </si>
  <si>
    <t>TSO001081779</t>
  </si>
  <si>
    <t>TSO001081780</t>
  </si>
  <si>
    <t>TSO001081782</t>
  </si>
  <si>
    <t>TSO001081814</t>
  </si>
  <si>
    <t>TSO001081817</t>
  </si>
  <si>
    <t>TSO001081823</t>
  </si>
  <si>
    <t>TSO001081832</t>
  </si>
  <si>
    <t>TSO001082063</t>
  </si>
  <si>
    <t>TSO001081966</t>
  </si>
  <si>
    <t>TSO001081973</t>
  </si>
  <si>
    <t>TSO001082097</t>
  </si>
  <si>
    <t>TSO001082103</t>
  </si>
  <si>
    <t>TSO001082104</t>
  </si>
  <si>
    <t>TSO001082114</t>
  </si>
  <si>
    <t>TSO001082124</t>
  </si>
  <si>
    <t>TSO001082131</t>
  </si>
  <si>
    <t>TSO001082166</t>
  </si>
  <si>
    <t>TSO001082167</t>
  </si>
  <si>
    <t>TSO001082158</t>
  </si>
  <si>
    <t>ООО ЛП Тс166524-26 08.08.2026 Пенза 15128кг (Агафонов)</t>
  </si>
  <si>
    <t>ООО ЛП Тс168016-26 08.08.2026 Пенза(2) 2513кг (Агафонов)</t>
  </si>
  <si>
    <t>ООО КСК ТРЕЙД Тс167945-26 09.08.2026 Крым 13753кг (Ачкалов)</t>
  </si>
  <si>
    <t>ООО КСК ТРЕЙД Тс167570-26 07.08.2026 Крым 13677кг (Воронов)</t>
  </si>
  <si>
    <t>ООО КСК ТРЕЙД Тс168190-26 07.08.2026 Крым(2) 3093кг (Воронов)</t>
  </si>
  <si>
    <t>ООО КСК ТРЕЙД Тс168691-26 07.08.2026 Крым(3) 449кг (Воронов)</t>
  </si>
  <si>
    <t>ООО КСК ТРЕЙД Тс168238-26 09.08.2026 Крым 11698кг (Евсеев)</t>
  </si>
  <si>
    <t>ООО КСК ТРЕЙД Тс169841-26 09.08.2026 Крым(2) 719кг (Евсеев)</t>
  </si>
  <si>
    <t>ООО КСК ТРЕЙД Тс169909-26 09.08.2026 Крым(3) 2779кг (Евсеев)</t>
  </si>
  <si>
    <t>ООО КСК ТРЕЙД Тс168263-26 09.08.2026 Николаенко 2318кг (Евсеев)</t>
  </si>
  <si>
    <t>ООО КСК ТРЕЙД Тс168244-26 09.08.2026 Николаенко(2) 58кг (Евсеев)</t>
  </si>
  <si>
    <t>ООО КСК ТРЕЙД Тс167598-26 08.08.2026 Крым 13910кг (Крамаренко)</t>
  </si>
  <si>
    <t>ООО КСК ТРЕЙД Тс169656-26 08.08.2026 Крым(3) 974кг (Крамаренко)</t>
  </si>
  <si>
    <t>ООО КСК ТРЕЙД Тс169490-26 08.08.2026 Крым(2) 2311кг (Крамаренко)</t>
  </si>
  <si>
    <t>ООО КСК ТРЕЙД Тс169739-26 08.08.2026 Крым(4) 239кг (Крамаренко)</t>
  </si>
  <si>
    <t>ООО КСК ТРЕЙД Тс169748-26 08.08.2026 Крым(5) 135кг (Крамаренко)</t>
  </si>
  <si>
    <t>ООО КСК ТРЕЙД Тс167505-26 08.08.2026 Крым 14103кг (Латышев)</t>
  </si>
  <si>
    <t>ООО КСК ТРЕЙД Тс169653-26 08.08.2026 Крым(3) 1113кг (Латышев)</t>
  </si>
  <si>
    <t>ООО КСК ТРЕЙД Тс169471-26 08.08.2026 Крым(2) 2231кг (Латышев)</t>
  </si>
  <si>
    <t>ООО КСК ТРЕЙД Тс169747-26 08.08.2026 Крым(4) 103кг (Латышев)</t>
  </si>
  <si>
    <t>ООО НВ Тс168157-26 09.08.2026 Горняк-Горловка 373кг (Решетников)</t>
  </si>
  <si>
    <t>ООО НВ Тс168179-26 09.08.2026 Горняк-Луганск 9270кг (Решетников)</t>
  </si>
  <si>
    <t>ООО НВ Тс168203-26 09.08.2026 Луганск 5101кг (Решетников)</t>
  </si>
  <si>
    <t>ООО НВ Тс169504-26 09.08.2026 Луганск(2) 3009кг (Решетников)</t>
  </si>
  <si>
    <t>ООО ЛП Тс167935-26 09.08.2026 Пушкарный(ВВ) 5004кг (Хохлов)</t>
  </si>
  <si>
    <t>ООО ЛП Тс167948-26 09.08.2026 Коныгин 6037кг (Хохлов)</t>
  </si>
  <si>
    <t>ООО ЛП Тс167993-26 09.08.2026 Обрыньба 5801кг (Хохлов)</t>
  </si>
  <si>
    <t>ООО НВ Тс168217-26 09.08.2026 Донецк 15727кг (Рева)</t>
  </si>
  <si>
    <t>ООО НВ Тс169988-26 09.08.2026 Донецк(3) 807кг (Рева)</t>
  </si>
  <si>
    <t>ООО НВ Тс169781-26 09.08.2026 Донецк(2) 1013кг (Рева)</t>
  </si>
  <si>
    <t>12,08,26</t>
  </si>
  <si>
    <t>TSO001082471</t>
  </si>
  <si>
    <t>TSO001082473</t>
  </si>
  <si>
    <t>TSO001082482</t>
  </si>
  <si>
    <t>TSO001082483</t>
  </si>
  <si>
    <t>TSO001082558</t>
  </si>
  <si>
    <t>TSO001082578</t>
  </si>
  <si>
    <t>TSO001082672</t>
  </si>
  <si>
    <t>TSO001082730</t>
  </si>
  <si>
    <t>TSO001082732</t>
  </si>
  <si>
    <t>ООО КСК ТРЕЙД Тс169320-26 10.08.2026 Крым 13517кг (Хинько)</t>
  </si>
  <si>
    <t>ООО КСК ТРЕЙД Тс170018-26 10.08.2026 Крым(2) 3893кг (Хинько)</t>
  </si>
  <si>
    <t>ООО НВ Тс169165-26 10.08.2026 Горняк-Донецк 3030кг (Голубев)</t>
  </si>
  <si>
    <t>ООО НВ Тс169163-26 10.08.2026 Донецк 8964кг (Голубев)</t>
  </si>
  <si>
    <t>ООО КСК ТРЕЙД Тс169392-26 10.08.2026 Крым 13783кг (Кокшин)</t>
  </si>
  <si>
    <t>ООО КСК ТРЕЙД Тс170019-26 10.08.2026 Крым(2) 3738кг (Кокшин)</t>
  </si>
  <si>
    <t>ООО ЛП Тс169229-26 10.08.2026 НПК 4989кг (Медведь)</t>
  </si>
  <si>
    <t>ООО ЛП Тс169333-26 10.08.2026 ПРС 2122кг (Медведь)</t>
  </si>
  <si>
    <t>ООО НВ Тс169124-26 10.08.2026 Донецк 7945кг (Медведь)</t>
  </si>
  <si>
    <t>ООО НВ Тс170412-26 10.08.2026 Донецк(2) 2506кг (Медведь)</t>
  </si>
  <si>
    <t>TSO001083266</t>
  </si>
  <si>
    <t>TSO001083270</t>
  </si>
  <si>
    <t>13,08,26</t>
  </si>
  <si>
    <t>TSO001083296</t>
  </si>
  <si>
    <t>TSO001083297</t>
  </si>
  <si>
    <t>TSO001083290</t>
  </si>
  <si>
    <t>TSO001083445</t>
  </si>
  <si>
    <t>TSO001083743</t>
  </si>
  <si>
    <t>TSO001083749</t>
  </si>
  <si>
    <t>TSO001083748</t>
  </si>
  <si>
    <t>ООО КСК ТРЕЙД Тс168858-26 11.08.2026 Крым 14951кг (Гусейнов)</t>
  </si>
  <si>
    <t>ООО НВ Тс169393-26 11.08.2026 Луганск 13561кг (Жабкин)</t>
  </si>
  <si>
    <t>ООО НВ Тс172101-26 11.08.2026 Луганск(2) 2099кг (Жабкин)</t>
  </si>
  <si>
    <t>ООО НВ Тс172296-26 11.08.2026 Луганск(3) 1052кг (Жабкин)</t>
  </si>
  <si>
    <t>ООО КСК ТРЕЙД Тс169374-26 11.08.2026 Крым 14146кг (Журавлев)</t>
  </si>
  <si>
    <t>ООО КСК ТРЕЙД Тс170757-26 11.08.2026 Крым(2) 3559кг (Журавлев)</t>
  </si>
  <si>
    <t>ООО КСК ТРЕЙД Тс169718-26 11.08.2026 Крым 14175кг (Кива)</t>
  </si>
  <si>
    <t>ООО КСК ТРЕЙД Тс170756-26 11.08.2026 Крым(2) 3585кг (Кива)</t>
  </si>
  <si>
    <t>ООО НВ Тс169381-26 12.08.2026 Бердянск 5583кг (Сарва)</t>
  </si>
  <si>
    <t>ООО НВ Тс169467-26 12.08.2026 Мелитополь 7308кг (Сарва)</t>
  </si>
  <si>
    <t>ООО НВ Тс172100-26 12.08.2026 Бердянск(2) 1512кг (Сарва)</t>
  </si>
  <si>
    <t>ООО НВ Тс172098-26 12.08.2026 Мелитополь(3) 1307кг (Сарва)</t>
  </si>
  <si>
    <t>ООО НВ Тс170627-26 12.08.2026 Мелитополь(2) 467кг (Сарва)</t>
  </si>
  <si>
    <t>ООО НВ Тс169367-26 11.08.2026 Донецк 14518кг (Чирков)</t>
  </si>
  <si>
    <t>ООО НВ Тс170413-26 11.08.2026 Донецк(2) 1097кг (Чирков)</t>
  </si>
  <si>
    <t>ООО НВ Тс171695-26 11.08.2026 Донецк(3) 568кг (Чирков)</t>
  </si>
  <si>
    <t>ООО НВ Тс171696-26 11.08.2026 Донецк(4) 1005кг (Чирков)</t>
  </si>
  <si>
    <t>14,08,26</t>
  </si>
  <si>
    <t>TSO001084140</t>
  </si>
  <si>
    <t>TSO001084144</t>
  </si>
  <si>
    <t>15,08,26</t>
  </si>
  <si>
    <t>TSO001084224</t>
  </si>
  <si>
    <t>TSO001084220</t>
  </si>
  <si>
    <t>TSO001084229</t>
  </si>
  <si>
    <t>TSO001084225</t>
  </si>
  <si>
    <t>TSO001084231</t>
  </si>
  <si>
    <t>TSO001084232</t>
  </si>
  <si>
    <t>TSO001084250</t>
  </si>
  <si>
    <t>TSO001084249</t>
  </si>
  <si>
    <t>TSO001084248</t>
  </si>
  <si>
    <t>TSO001084268</t>
  </si>
  <si>
    <t>TSO001084270</t>
  </si>
  <si>
    <t>TSO001084272</t>
  </si>
  <si>
    <t>ООО ЛП Тс170439-26 13.08.2026 Бычков 1940кг (Евсеев)</t>
  </si>
  <si>
    <t>ООО ЛП Тс170442-26 13.08.2026 Бычков2 6631кг (Евсеев)</t>
  </si>
  <si>
    <t>16,08,26</t>
  </si>
  <si>
    <t>TSO001084799</t>
  </si>
  <si>
    <t>TSO001084769</t>
  </si>
  <si>
    <t>TSO001084801</t>
  </si>
  <si>
    <t>TSO001084766</t>
  </si>
  <si>
    <t>TSO001084771</t>
  </si>
  <si>
    <t>TSO001085047</t>
  </si>
  <si>
    <t>ООО ЛП Тс171992-26 13.08.2026 Пушкарный 15691кг (Пыдык)</t>
  </si>
  <si>
    <t>ООО ЛП Тс171975-26 14.08.2026 Пенза 15822кг (Хинько)</t>
  </si>
  <si>
    <t>ООО ЛП Тс171752-26 14.08.2026 Пушкарный 17603кг (Хохлов)</t>
  </si>
  <si>
    <t>TSO001085126</t>
  </si>
  <si>
    <t>ООО КСК ТРЕЙД Тс172953-26 14.08.2026 Крым 12959кг (Мироненко)</t>
  </si>
  <si>
    <t>ООО КСК ТРЕЙД Тс173720-26 14.08.2026 Крым(2) 4637кг (Мироненко)</t>
  </si>
  <si>
    <t>TSO001085237</t>
  </si>
  <si>
    <t>TSO001085239</t>
  </si>
  <si>
    <t>TSO001085257</t>
  </si>
  <si>
    <t>TSO001085258</t>
  </si>
  <si>
    <t>TSO001085259</t>
  </si>
  <si>
    <t>17,08,26</t>
  </si>
  <si>
    <t>18,08,26</t>
  </si>
  <si>
    <t>TSO001085445</t>
  </si>
  <si>
    <t>TSO001085421</t>
  </si>
  <si>
    <t>TSO001085422</t>
  </si>
  <si>
    <t>TSO001085423</t>
  </si>
  <si>
    <t>TSO001085427</t>
  </si>
  <si>
    <t>TSO001085425</t>
  </si>
  <si>
    <t>TSO001085432</t>
  </si>
  <si>
    <t>TSO001085439</t>
  </si>
  <si>
    <t>TSO001085444</t>
  </si>
  <si>
    <t>TSO001085464</t>
  </si>
  <si>
    <t>TSO001085523</t>
  </si>
  <si>
    <t>TSO001085653</t>
  </si>
  <si>
    <t>TSO001085721</t>
  </si>
  <si>
    <t>TSO001085734</t>
  </si>
  <si>
    <t>TSO001085732</t>
  </si>
  <si>
    <t>TSO001085733</t>
  </si>
  <si>
    <t>TSO001085735</t>
  </si>
  <si>
    <t>TSO001085758</t>
  </si>
  <si>
    <t>TSO001085786</t>
  </si>
  <si>
    <t>TSO001085794</t>
  </si>
  <si>
    <t>ООО КСК ТРЕЙД Тс172902-26 14.08.2026 Крым 12427кг (Гончаренко)</t>
  </si>
  <si>
    <t>ООО КСК ТРЕЙД Тс174472-26 14.08.2026 Крым(3) 2386кг (Гончаренко)</t>
  </si>
  <si>
    <t>ООО КСК ТРЕЙД Тс173812-26 14.08.2026 Крым(2) 2406кг (Гончаренко)</t>
  </si>
  <si>
    <t>ООО ЛП Тс172769-26 16.08.2026 Обрыньба 4203кг (Грушецкий)</t>
  </si>
  <si>
    <t>ООО КСК ТРЕЙД Тс172972-26 15.08.2026 Крым 12761кг (Ислюков)</t>
  </si>
  <si>
    <t>ООО КСК ТРЕЙД Тс174950-26 15.08.2026 Крым(2) 4432кг (Ислюков)</t>
  </si>
  <si>
    <t>ООО КСК ТРЕЙД ЮТс-03951-26 15.08.2026 Крым 14669кг (Лапшин)</t>
  </si>
  <si>
    <t>ООО КСК ТРЕЙД Тс173379-26 16.08.2026 Николаенко 1464кг (Максимов)</t>
  </si>
  <si>
    <t>ООО КСК ТРЕЙД Тс173383-26 16.08.2026 Крым 10817кг (Максимов)</t>
  </si>
  <si>
    <t>ООО КСК ТРЕЙД Тс175228-26 16.08.2026 Крым(3) 1869кг (Максимов)</t>
  </si>
  <si>
    <t>ООО КСК ТРЕЙД Тс175095-26 16.08.2026 Крым(2) 3620кг (Максимов)</t>
  </si>
  <si>
    <t>ООО НВ Тс172782-26 15.08.2026 Горняк-Горловка 451кг (Медведь)</t>
  </si>
  <si>
    <t>ООО НВ Тс172784-26 15.08.2026 Горняк-Луганск 6992кг (Медведь)</t>
  </si>
  <si>
    <t>ООО НВ Тс172783-26 15.08.2026 Луганск 5643кг (Медведь)</t>
  </si>
  <si>
    <t>ООО НВ Тс174953-26 15.08.2026 Луганск(2) 2898кг (Медведь)</t>
  </si>
  <si>
    <t>ООО ЛП ЮТс-03879-26 16.08.2026 ПРС 10739кг (Пыдык)</t>
  </si>
  <si>
    <t>ООО НВ Тс172763-26 16.08.2026 Бердянск 2452кг (Уманский)</t>
  </si>
  <si>
    <t>ООО НВ Тс172766-26 16.08.2026 Мелитополь 2482кг (Уманский)</t>
  </si>
  <si>
    <t>ООО НВ Тс172768-26 16.08.2026 Павленко 8883кг (Уманский)</t>
  </si>
  <si>
    <t>ООО НВ Тс174952-26 15.08.2026 Бердянск(2) 1300кг (Уманский)</t>
  </si>
  <si>
    <t>ООО НВ Тс174956-26 16.08.2026 Мелитополь(2) 2369кг (Уманский)</t>
  </si>
  <si>
    <t>ООО НВ Тс173447-26 17.08.2026 Донецк 16302кг (Хинько)</t>
  </si>
  <si>
    <t>ООО НВ Тс175187-26 17.08.2026 Донецк(2) 1515кг (Хинько)</t>
  </si>
  <si>
    <t>ООО НВ Тс170800-26 16.08.2026 Луганск 13073кг (Шилкин)</t>
  </si>
  <si>
    <t>TSO001085487</t>
  </si>
  <si>
    <t>TSO001085867</t>
  </si>
  <si>
    <t>TSO001085915</t>
  </si>
  <si>
    <t>19,08,26</t>
  </si>
  <si>
    <t>TSO001086013</t>
  </si>
  <si>
    <t>ООО ЛП Тс172770-26 16.08.2026 Коныгин 4403кг (Грушецкий)</t>
  </si>
  <si>
    <t>ООО ЛП Тс172773-26 16.08.2026 Пушкарный(ВВ) 2385кг (Грушецкий)</t>
  </si>
  <si>
    <t>TSO001086087</t>
  </si>
  <si>
    <t>TSO001086075</t>
  </si>
  <si>
    <t>TSO001086080</t>
  </si>
  <si>
    <t>TSO001086099</t>
  </si>
  <si>
    <t>TSO001086101</t>
  </si>
  <si>
    <t>TSO001086086</t>
  </si>
  <si>
    <t>TSO001086104</t>
  </si>
  <si>
    <t>ООО КСК ТРЕЙД Тс174513-26 17.08.2026 Крым 14386кг (Митин)</t>
  </si>
  <si>
    <t>TSO001085800</t>
  </si>
  <si>
    <t>TSO001086297</t>
  </si>
  <si>
    <t>TSO001086405</t>
  </si>
  <si>
    <t>ООО НВ Тс174252-26 17.08.2026 Аист 3276кг (Воронов)</t>
  </si>
  <si>
    <t>ООО НВ Тс174049-26 17.08.2026 Павленко 6963кг (Воронов)</t>
  </si>
  <si>
    <t>ООО НВ Тс174794-26 17.08.2026 Донецк 16478кг (Голубев)</t>
  </si>
  <si>
    <t>ООО НВ Тс175900-26 17.08.2026 Донецк(2) 1266кг (Голубев)</t>
  </si>
  <si>
    <t>ООО КСК ТРЕЙД Тс174800-26 17.08.2026 Крым 13607кг (Жуков)</t>
  </si>
  <si>
    <t>ООО КСК ТРЕЙД Тс175478-26 17.08.2026 Крым(3) 1912кг (Жуков)</t>
  </si>
  <si>
    <t>ООО КСК ТРЕЙД Тс175330-26 17.08.2026 Крым(2) 1868кг (Жуков)</t>
  </si>
  <si>
    <t>ООО ЛП Тс174261-26 18.08.2026 Малахутин 8081кг (Исаков)</t>
  </si>
  <si>
    <t>ООО ЛП Тс174267-26 18.08.2026 НПК 6035кг (Исаков)</t>
  </si>
  <si>
    <t>ООО КСК ТРЕЙД Тс174593-26 17.08.2026 Крым 8733кг (Крамаренко)</t>
  </si>
  <si>
    <t>ООО КСК ТРЕЙД Тс174599-26 17.08.2026 Вердиева 3825кг (Крамаренко)</t>
  </si>
  <si>
    <t>ООО КСК ТРЕЙД Тс174602-26 17.08.2026 Вердиева(2) 1382кг (Крамаренко)</t>
  </si>
  <si>
    <t>ООО КСК ТРЕЙД Тс175329-26 17.08.2026 Крым(2) 3782кг (Крамаренко)</t>
  </si>
  <si>
    <t>ООО ЛП Тс175467-26 17.08.2026 Кочевой 17730кг (Рева)</t>
  </si>
  <si>
    <t>ООО НВ Тс174804-26 17.08.2026 Луганск 14334кг (Решетников)</t>
  </si>
  <si>
    <t>ООО НВ Тс175903-26 17.08.2026 Луганск(2) 3261кг (Решетников)</t>
  </si>
  <si>
    <t>TSO001086822</t>
  </si>
  <si>
    <t>20,08,26</t>
  </si>
  <si>
    <t>TSO001086887</t>
  </si>
  <si>
    <t>TSO001086925</t>
  </si>
  <si>
    <t>TSO001086892</t>
  </si>
  <si>
    <t>TSO001086907</t>
  </si>
  <si>
    <t>TSO001086930</t>
  </si>
  <si>
    <t>ООО НВ Тс174588-26 18.08.2026 Бердянск 6573кг (Исмаилов)</t>
  </si>
  <si>
    <t>ООО НВ Тс174737-26 18.08.2026 Мелитополь 5924кг (Исмаилов)</t>
  </si>
  <si>
    <t>ООО НВ Тс175901-26 18.08.2026 Бердянск(2) 1716кг (Исмаилов)</t>
  </si>
  <si>
    <t>ООО НВ Тс176532-26 18.08.2026 Мелитополь(3) 703кг (Исмаилов)</t>
  </si>
  <si>
    <t>ООО НВ Тс175902-26 18.08.2026 Мелитополь(2) 2120кг (Исмаилов)</t>
  </si>
  <si>
    <t>TSO001087019</t>
  </si>
  <si>
    <t>ООО НВ Тс174765-26 18.08.2026 Донецк 16494кг (Чирков)</t>
  </si>
  <si>
    <t>ООО НВ Тс176909-26 18.08.2026 Донецк(2) 840кг (Чирков)</t>
  </si>
  <si>
    <t>21,08,26</t>
  </si>
  <si>
    <t>TSO001087762</t>
  </si>
  <si>
    <t>22,08,26</t>
  </si>
  <si>
    <t>TSO001087780</t>
  </si>
  <si>
    <t>TSO001087824</t>
  </si>
  <si>
    <t>TSO001087831</t>
  </si>
  <si>
    <t>TSO001087837</t>
  </si>
  <si>
    <t>TSO001087854</t>
  </si>
  <si>
    <t>TSO001087856</t>
  </si>
  <si>
    <t>ООО КСК ТРЕЙД Тс174771-26 19.08.2026 Крым 13848кг (Киселев)</t>
  </si>
  <si>
    <t>ООО КСК ТРЕЙД Тс176495-26 19.08.2026 Крым(2) 1723кг (Киселев)</t>
  </si>
  <si>
    <t>ООО КСК ТРЕЙД Тс176496-26 19.08.2026 Крым(3) 2013кг (Киселев)</t>
  </si>
  <si>
    <t>ООО ЛП ЮТс-04033-26 19.08.2026 Вояж 1159кг (Ничипорук)</t>
  </si>
  <si>
    <t>ООО НВ Тс176022-26 19.08.2026 Луганск(2) 102кг (Ничипорук)</t>
  </si>
  <si>
    <t>ООО НВ ЮТс-04020-26 19.08.2026 Луганск 11290кг (Ничипорук)</t>
  </si>
  <si>
    <t>ВВ (липа от Химича)</t>
  </si>
  <si>
    <t>TSO001088399</t>
  </si>
  <si>
    <t>TSO001088419</t>
  </si>
  <si>
    <t>TSO001088421</t>
  </si>
  <si>
    <t>TSO001088422</t>
  </si>
  <si>
    <t>TSO001088420</t>
  </si>
  <si>
    <t>TSO001088423</t>
  </si>
  <si>
    <t>23,08,26</t>
  </si>
  <si>
    <t>TSO001088482</t>
  </si>
  <si>
    <t>TSO001088484</t>
  </si>
  <si>
    <t>TSO001088486</t>
  </si>
  <si>
    <t>TSO001088487</t>
  </si>
  <si>
    <t>TSO001088492</t>
  </si>
  <si>
    <t>TSO001088489</t>
  </si>
  <si>
    <t>21,08,2</t>
  </si>
  <si>
    <t>TSO001088614</t>
  </si>
  <si>
    <t>TSO001088608</t>
  </si>
  <si>
    <t>ООО КСК ТРЕЙД ЮТс-04002-26 20.08.2026 Крым 14736кг (Добыш)</t>
  </si>
  <si>
    <t>ООО КСК ТРЕЙД Тс177666-26 21.08.2026 Крым 13244кг (Кива)</t>
  </si>
  <si>
    <t>ООО КСК ТРЕЙД Тс178698-26 21.08.2026 Крым(2) 4122кг (Кива)</t>
  </si>
  <si>
    <t>ООО ЛП Тс176841-26 20.08.2026 Пушкарный 15865кг (Фруленко)</t>
  </si>
  <si>
    <t>TSO001088878</t>
  </si>
  <si>
    <t>24,08,26</t>
  </si>
  <si>
    <t>TSO001089055</t>
  </si>
  <si>
    <t>TSO001089068</t>
  </si>
  <si>
    <t>TSO001089070</t>
  </si>
  <si>
    <t>TSO001089072</t>
  </si>
  <si>
    <t>ООО КСК ТРЕЙД Тс177665-26 21.08.2026 Крым 12675кг (Гулаков)</t>
  </si>
  <si>
    <t>ООО КСК ТРЕЙД Тс179109-26 21.08.2026 Крым(3) 712кг (Гулаков)</t>
  </si>
  <si>
    <t>ООО КСК ТРЕЙД Тс178687-26 21.08.2026 Крым(2) 4029кг (Гулаков)</t>
  </si>
  <si>
    <t>TSO001089177</t>
  </si>
  <si>
    <t>25,08,26</t>
  </si>
  <si>
    <t>TSO001089082</t>
  </si>
  <si>
    <t>TSO001089292</t>
  </si>
  <si>
    <t>TSO001089296</t>
  </si>
  <si>
    <t>TSO001089298</t>
  </si>
  <si>
    <t>TSO001089300</t>
  </si>
  <si>
    <t>TSO001089299</t>
  </si>
  <si>
    <t>TSO001089188</t>
  </si>
  <si>
    <t>TSO001089214</t>
  </si>
  <si>
    <t>TSO001089216</t>
  </si>
  <si>
    <t>TSO001089238</t>
  </si>
  <si>
    <t>TSO001089242</t>
  </si>
  <si>
    <t>TSO001089244</t>
  </si>
  <si>
    <t>TSO001089245</t>
  </si>
  <si>
    <t>TSO001089247</t>
  </si>
  <si>
    <t>TSO001089248</t>
  </si>
  <si>
    <t>TSO001089252</t>
  </si>
  <si>
    <t>TSO001089297</t>
  </si>
  <si>
    <t>+</t>
  </si>
  <si>
    <t>TSO001089578</t>
  </si>
  <si>
    <t>TSO001089579</t>
  </si>
  <si>
    <t>TSO001089582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</si>
</sst>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_ ;[Red]\-0\ "/>
    <numFmt numFmtId="167" formatCode="0.00_ ;[Red]\-0.00\ "/>
  </numFmts>
  <fonts count="46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</fonts>
  <fills count="44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46">
    <xf numFmtId="0" fontId="0" fillId="0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3" borderId="0"/>
    <xf numFmtId="0" fontId="3" fillId="3" borderId="0"/>
    <xf numFmtId="0" fontId="3" fillId="2" borderId="0"/>
    <xf numFmtId="0" fontId="3" fillId="2" borderId="0"/>
    <xf numFmtId="0" fontId="3" fillId="4" borderId="0"/>
    <xf numFmtId="0" fontId="3" fillId="4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4" fillId="2" borderId="1"/>
    <xf numFmtId="0" fontId="4" fillId="2" borderId="1"/>
    <xf numFmtId="0" fontId="5" fillId="2" borderId="2"/>
    <xf numFmtId="0" fontId="5" fillId="2" borderId="2"/>
    <xf numFmtId="0" fontId="6" fillId="2" borderId="1"/>
    <xf numFmtId="0" fontId="6" fillId="2" borderId="1"/>
    <xf numFmtId="0" fontId="7" fillId="0" borderId="3"/>
    <xf numFmtId="0" fontId="7" fillId="0" borderId="3"/>
    <xf numFmtId="0" fontId="8" fillId="0" borderId="4"/>
    <xf numFmtId="0" fontId="8" fillId="0" borderId="4"/>
    <xf numFmtId="0" fontId="9" fillId="0" borderId="5"/>
    <xf numFmtId="0" fontId="9" fillId="0" borderId="5"/>
    <xf numFmtId="0" fontId="9" fillId="0" borderId="0"/>
    <xf numFmtId="0" fontId="9" fillId="0" borderId="0"/>
    <xf numFmtId="0" fontId="6" fillId="0" borderId="6"/>
    <xf numFmtId="0" fontId="6" fillId="0" borderId="6"/>
    <xf numFmtId="0" fontId="6" fillId="2" borderId="7"/>
    <xf numFmtId="0" fontId="6" fillId="2" borderId="7"/>
    <xf numFmtId="0" fontId="10" fillId="0" borderId="0"/>
    <xf numFmtId="0" fontId="10" fillId="0" borderId="0"/>
    <xf numFmtId="0" fontId="11" fillId="2" borderId="0"/>
    <xf numFmtId="0" fontId="11" fillId="2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0" borderId="0"/>
    <xf numFmtId="0" fontId="3" fillId="2" borderId="0"/>
    <xf numFmtId="0" fontId="3" fillId="2" borderId="0"/>
    <xf numFmtId="0" fontId="14" fillId="0" borderId="0"/>
    <xf numFmtId="0" fontId="14" fillId="0" borderId="0"/>
    <xf numFmtId="0" fontId="12" fillId="2" borderId="1"/>
    <xf numFmtId="0" fontId="12" fillId="2" borderId="1"/>
    <xf numFmtId="0" fontId="12" fillId="2" borderId="1"/>
    <xf numFmtId="0" fontId="12" fillId="2" borderId="1"/>
    <xf numFmtId="0" fontId="3" fillId="0" borderId="8"/>
    <xf numFmtId="0" fontId="3" fillId="0" borderId="8"/>
    <xf numFmtId="0" fontId="3" fillId="0" borderId="0"/>
    <xf numFmtId="0" fontId="3" fillId="0" borderId="0"/>
    <xf numFmtId="0" fontId="3" fillId="2" borderId="0"/>
    <xf numFmtId="0" fontId="3" fillId="2" borderId="0"/>
    <xf numFmtId="0" fontId="23" fillId="21" borderId="0"/>
    <xf numFmtId="0" fontId="23" fillId="22" borderId="0"/>
    <xf numFmtId="0" fontId="23" fillId="23" borderId="0"/>
    <xf numFmtId="0" fontId="23" fillId="24" borderId="0"/>
    <xf numFmtId="0" fontId="23" fillId="20" borderId="0"/>
    <xf numFmtId="0" fontId="23" fillId="18" borderId="0"/>
    <xf numFmtId="0" fontId="23" fillId="28" borderId="0"/>
    <xf numFmtId="0" fontId="23" fillId="26" borderId="0"/>
    <xf numFmtId="0" fontId="23" fillId="29" borderId="0"/>
    <xf numFmtId="0" fontId="23" fillId="24" borderId="0"/>
    <xf numFmtId="0" fontId="23" fillId="28" borderId="0"/>
    <xf numFmtId="0" fontId="23" fillId="30" borderId="0"/>
    <xf numFmtId="0" fontId="24" fillId="32" borderId="0"/>
    <xf numFmtId="0" fontId="24" fillId="26" borderId="0"/>
    <xf numFmtId="0" fontId="24" fillId="29" borderId="0"/>
    <xf numFmtId="0" fontId="24" fillId="33" borderId="0"/>
    <xf numFmtId="0" fontId="24" fillId="31" borderId="0"/>
    <xf numFmtId="0" fontId="24" fillId="34" borderId="0"/>
    <xf numFmtId="0" fontId="24" fillId="39" borderId="0"/>
    <xf numFmtId="0" fontId="24" fillId="35" borderId="0"/>
    <xf numFmtId="0" fontId="24" fillId="36" borderId="0"/>
    <xf numFmtId="0" fontId="24" fillId="33" borderId="0"/>
    <xf numFmtId="0" fontId="24" fillId="31" borderId="0"/>
    <xf numFmtId="0" fontId="24" fillId="37" borderId="0"/>
    <xf numFmtId="0" fontId="25" fillId="18" borderId="58"/>
    <xf numFmtId="0" fontId="26" fillId="25" borderId="63"/>
    <xf numFmtId="0" fontId="27" fillId="25" borderId="58"/>
    <xf numFmtId="0" fontId="28" fillId="0" borderId="64"/>
    <xf numFmtId="0" fontId="29" fillId="0" borderId="60"/>
    <xf numFmtId="0" fontId="30" fillId="0" borderId="65"/>
    <xf numFmtId="0" fontId="30" fillId="0" borderId="0"/>
    <xf numFmtId="0" fontId="31" fillId="0" borderId="66"/>
    <xf numFmtId="0" fontId="32" fillId="38" borderId="59"/>
    <xf numFmtId="0" fontId="33" fillId="0" borderId="0"/>
    <xf numFmtId="0" fontId="34" fillId="27" borderId="0"/>
    <xf numFmtId="0" fontId="2" fillId="0" borderId="0"/>
    <xf numFmtId="0" fontId="2" fillId="0" borderId="0"/>
    <xf numFmtId="0" fontId="2" fillId="0" borderId="0"/>
    <xf numFmtId="0" fontId="35" fillId="22" borderId="0"/>
    <xf numFmtId="0" fontId="36" fillId="0" borderId="0"/>
    <xf numFmtId="0" fontId="12" fillId="19" borderId="62"/>
    <xf numFmtId="0" fontId="12" fillId="19" borderId="62"/>
    <xf numFmtId="0" fontId="37" fillId="0" borderId="61"/>
    <xf numFmtId="0" fontId="38" fillId="0" borderId="0"/>
    <xf numFmtId="0" fontId="39" fillId="23" borderId="0"/>
    <xf numFmtId="0" fontId="1" fillId="0" borderId="0"/>
    <xf numFmtId="0" fontId="1" fillId="0" borderId="0"/>
    <xf numFmtId="0" fontId="1" fillId="0" borderId="0"/>
  </cellStyleXfs>
  <cellXfs count="1035">
    <xf numFmtId="0" fontId="0" fillId="0" borderId="0" xfId="0"/>
    <xf numFmtId="0" fontId="15" fillId="0" borderId="0" xfId="0" applyFont="1" applyAlignment="1">
      <alignment horizontal="center" vertical="center" wrapText="1"/>
    </xf>
    <xf numFmtId="0" fontId="15" fillId="0" borderId="0" xfId="0" applyFont="1" applyAlignment="1">
      <alignment vertical="center" wrapText="1"/>
    </xf>
    <xf numFmtId="164" fontId="15" fillId="0" borderId="0" xfId="0" applyNumberFormat="1" applyFont="1" applyAlignment="1">
      <alignment horizontal="center" vertical="center" wrapText="1"/>
    </xf>
    <xf numFmtId="164" fontId="16" fillId="0" borderId="0" xfId="0" applyNumberFormat="1" applyFont="1" applyAlignment="1">
      <alignment horizontal="center" vertical="center" wrapText="1"/>
    </xf>
    <xf numFmtId="49" fontId="15" fillId="0" borderId="0" xfId="0" applyNumberFormat="1" applyFont="1" applyAlignment="1">
      <alignment horizontal="left" vertical="center" wrapText="1"/>
    </xf>
    <xf numFmtId="0" fontId="17" fillId="0" borderId="0" xfId="0" applyFont="1" applyAlignment="1">
      <alignment horizontal="center" vertical="center" wrapText="1"/>
    </xf>
    <xf numFmtId="49" fontId="15" fillId="0" borderId="0" xfId="0" applyNumberFormat="1" applyFont="1" applyAlignment="1">
      <alignment horizontal="center" vertical="center" wrapText="1"/>
    </xf>
    <xf numFmtId="0" fontId="18" fillId="5" borderId="10" xfId="0" applyFont="1" applyFill="1" applyBorder="1" applyAlignment="1">
      <alignment vertical="center" wrapText="1"/>
    </xf>
    <xf numFmtId="0" fontId="18" fillId="5" borderId="11" xfId="0" applyFont="1" applyFill="1" applyBorder="1" applyAlignment="1">
      <alignment horizontal="center" vertical="center" wrapText="1"/>
    </xf>
    <xf numFmtId="0" fontId="18" fillId="5" borderId="12" xfId="0" applyFont="1" applyFill="1" applyBorder="1" applyAlignment="1">
      <alignment vertical="center" wrapText="1"/>
    </xf>
    <xf numFmtId="0" fontId="18" fillId="5" borderId="13" xfId="0" applyFont="1" applyFill="1" applyBorder="1" applyAlignment="1">
      <alignment vertical="center" wrapText="1"/>
    </xf>
    <xf numFmtId="164" fontId="18" fillId="5" borderId="13" xfId="0" applyNumberFormat="1" applyFont="1" applyFill="1" applyBorder="1" applyAlignment="1">
      <alignment vertical="center" wrapText="1"/>
    </xf>
    <xf numFmtId="164" fontId="16" fillId="5" borderId="13" xfId="0" applyNumberFormat="1" applyFont="1" applyFill="1" applyBorder="1" applyAlignment="1">
      <alignment vertical="center" wrapText="1"/>
    </xf>
    <xf numFmtId="49" fontId="18" fillId="5" borderId="13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49" fontId="18" fillId="5" borderId="14" xfId="0" applyNumberFormat="1" applyFont="1" applyFill="1" applyBorder="1" applyAlignment="1">
      <alignment vertical="center" wrapText="1"/>
    </xf>
    <xf numFmtId="0" fontId="18" fillId="5" borderId="13" xfId="0" applyFont="1" applyFill="1" applyBorder="1" applyAlignment="1">
      <alignment horizontal="center" vertical="center" wrapText="1"/>
    </xf>
    <xf numFmtId="0" fontId="18" fillId="5" borderId="14" xfId="0" applyFont="1" applyFill="1" applyBorder="1" applyAlignment="1">
      <alignment horizontal="center" vertical="center" wrapText="1"/>
    </xf>
    <xf numFmtId="0" fontId="15" fillId="6" borderId="15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left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6" fillId="6" borderId="16" xfId="0" applyNumberFormat="1" applyFont="1" applyFill="1" applyBorder="1" applyAlignment="1">
      <alignment horizontal="center" vertical="center" wrapText="1"/>
    </xf>
    <xf numFmtId="49" fontId="15" fillId="6" borderId="17" xfId="0" applyNumberFormat="1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164" fontId="16" fillId="6" borderId="18" xfId="0" applyNumberFormat="1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left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6" fillId="6" borderId="18" xfId="0" applyNumberFormat="1" applyFont="1" applyFill="1" applyBorder="1" applyAlignment="1">
      <alignment horizontal="center" vertical="center" wrapText="1"/>
    </xf>
    <xf numFmtId="49" fontId="15" fillId="6" borderId="19" xfId="0" applyNumberFormat="1" applyFont="1" applyFill="1" applyBorder="1" applyAlignment="1">
      <alignment horizontal="center" vertical="center" wrapText="1"/>
    </xf>
    <xf numFmtId="0" fontId="15" fillId="7" borderId="12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49" fontId="15" fillId="7" borderId="13" xfId="0" applyNumberFormat="1" applyFont="1" applyFill="1" applyBorder="1" applyAlignment="1">
      <alignment horizontal="left" vertical="center" wrapText="1"/>
    </xf>
    <xf numFmtId="0" fontId="17" fillId="7" borderId="14" xfId="0" applyFont="1" applyFill="1" applyBorder="1" applyAlignment="1">
      <alignment horizontal="center" vertical="center" wrapText="1"/>
    </xf>
    <xf numFmtId="49" fontId="15" fillId="7" borderId="14" xfId="0" applyNumberFormat="1" applyFont="1" applyFill="1" applyBorder="1" applyAlignment="1">
      <alignment horizontal="center" vertical="center" wrapText="1"/>
    </xf>
    <xf numFmtId="0" fontId="15" fillId="6" borderId="12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left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6" fillId="6" borderId="20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164" fontId="16" fillId="6" borderId="1" xfId="0" applyNumberFormat="1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left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6" fillId="6" borderId="1" xfId="0" applyNumberFormat="1" applyFont="1" applyFill="1" applyBorder="1" applyAlignment="1">
      <alignment horizontal="center" vertical="center" wrapText="1"/>
    </xf>
    <xf numFmtId="49" fontId="15" fillId="6" borderId="22" xfId="0" applyNumberFormat="1" applyFont="1" applyFill="1" applyBorder="1" applyAlignment="1">
      <alignment horizontal="center" vertical="center" wrapText="1"/>
    </xf>
    <xf numFmtId="0" fontId="15" fillId="7" borderId="23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164" fontId="16" fillId="7" borderId="24" xfId="0" applyNumberFormat="1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49" fontId="15" fillId="7" borderId="24" xfId="0" applyNumberFormat="1" applyFont="1" applyFill="1" applyBorder="1" applyAlignment="1">
      <alignment horizontal="left" vertical="center" wrapText="1"/>
    </xf>
    <xf numFmtId="0" fontId="17" fillId="7" borderId="25" xfId="0" applyFont="1" applyFill="1" applyBorder="1" applyAlignment="1">
      <alignment horizontal="center" vertical="center" wrapText="1"/>
    </xf>
    <xf numFmtId="49" fontId="15" fillId="7" borderId="25" xfId="0" applyNumberFormat="1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49" fontId="15" fillId="6" borderId="13" xfId="0" applyNumberFormat="1" applyFont="1" applyFill="1" applyBorder="1" applyAlignment="1">
      <alignment horizontal="left" vertical="center" wrapText="1"/>
    </xf>
    <xf numFmtId="0" fontId="17" fillId="6" borderId="14" xfId="0" applyFont="1" applyFill="1" applyBorder="1" applyAlignment="1">
      <alignment horizontal="center" vertical="center" wrapText="1"/>
    </xf>
    <xf numFmtId="49" fontId="15" fillId="6" borderId="14" xfId="0" applyNumberFormat="1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left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6" fillId="7" borderId="20" xfId="0" applyNumberFormat="1" applyFont="1" applyFill="1" applyBorder="1" applyAlignment="1">
      <alignment horizontal="center" vertical="center" wrapText="1"/>
    </xf>
    <xf numFmtId="49" fontId="15" fillId="7" borderId="21" xfId="0" applyNumberFormat="1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left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6" fillId="7" borderId="18" xfId="0" applyNumberFormat="1" applyFont="1" applyFill="1" applyBorder="1" applyAlignment="1">
      <alignment horizontal="center" vertical="center" wrapText="1"/>
    </xf>
    <xf numFmtId="49" fontId="15" fillId="7" borderId="19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left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6" fillId="7" borderId="1" xfId="0" applyNumberFormat="1" applyFont="1" applyFill="1" applyBorder="1" applyAlignment="1">
      <alignment horizontal="center" vertical="center" wrapText="1"/>
    </xf>
    <xf numFmtId="49" fontId="15" fillId="7" borderId="22" xfId="0" applyNumberFormat="1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7" fillId="6" borderId="13" xfId="0" applyFont="1" applyFill="1" applyBorder="1" applyAlignment="1">
      <alignment horizontal="center" vertical="center" wrapText="1"/>
    </xf>
    <xf numFmtId="164" fontId="16" fillId="7" borderId="18" xfId="0" applyNumberFormat="1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164" fontId="16" fillId="7" borderId="1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5" fillId="7" borderId="9" xfId="0" applyFont="1" applyFill="1" applyBorder="1" applyAlignment="1">
      <alignment horizontal="center" vertical="center" wrapText="1"/>
    </xf>
    <xf numFmtId="0" fontId="15" fillId="6" borderId="9" xfId="0" applyFont="1" applyFill="1" applyBorder="1" applyAlignment="1">
      <alignment horizontal="center" vertical="center" wrapText="1"/>
    </xf>
    <xf numFmtId="0" fontId="15" fillId="6" borderId="26" xfId="0" applyFont="1" applyFill="1" applyBorder="1" applyAlignment="1">
      <alignment horizontal="center" vertical="center" wrapText="1"/>
    </xf>
    <xf numFmtId="0" fontId="15" fillId="7" borderId="26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164" fontId="16" fillId="7" borderId="10" xfId="0" applyNumberFormat="1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horizontal="center" vertical="center" wrapText="1"/>
    </xf>
    <xf numFmtId="49" fontId="15" fillId="7" borderId="27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7" borderId="29" xfId="0" applyFont="1" applyFill="1" applyBorder="1" applyAlignment="1">
      <alignment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164" fontId="16" fillId="7" borderId="29" xfId="0" applyNumberFormat="1" applyFont="1" applyFill="1" applyBorder="1" applyAlignment="1">
      <alignment horizontal="center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5" fillId="7" borderId="29" xfId="0" applyNumberFormat="1" applyFont="1" applyFill="1" applyBorder="1" applyAlignment="1">
      <alignment horizontal="left" vertical="center" wrapText="1"/>
    </xf>
    <xf numFmtId="0" fontId="16" fillId="7" borderId="29" xfId="0" applyFont="1" applyFill="1" applyBorder="1" applyAlignment="1">
      <alignment horizontal="center" vertical="center" wrapText="1"/>
    </xf>
    <xf numFmtId="49" fontId="15" fillId="7" borderId="30" xfId="0" applyNumberFormat="1" applyFont="1" applyFill="1" applyBorder="1" applyAlignment="1">
      <alignment horizontal="center" vertical="center" wrapText="1"/>
    </xf>
    <xf numFmtId="0" fontId="15" fillId="6" borderId="32" xfId="0" applyFont="1" applyFill="1" applyBorder="1" applyAlignment="1">
      <alignment horizontal="center" vertical="center" wrapText="1"/>
    </xf>
    <xf numFmtId="0" fontId="15" fillId="6" borderId="33" xfId="0" applyFont="1" applyFill="1" applyBorder="1" applyAlignment="1">
      <alignment horizontal="center" vertical="center" wrapText="1"/>
    </xf>
    <xf numFmtId="0" fontId="15" fillId="7" borderId="34" xfId="0" applyFont="1" applyFill="1" applyBorder="1" applyAlignment="1">
      <alignment horizontal="center" vertical="center" wrapText="1"/>
    </xf>
    <xf numFmtId="0" fontId="15" fillId="7" borderId="16" xfId="0" applyFont="1" applyFill="1" applyBorder="1" applyAlignment="1">
      <alignment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49" fontId="15" fillId="7" borderId="16" xfId="0" applyNumberFormat="1" applyFont="1" applyFill="1" applyBorder="1" applyAlignment="1">
      <alignment horizontal="left" vertical="center" wrapText="1"/>
    </xf>
    <xf numFmtId="0" fontId="16" fillId="7" borderId="16" xfId="0" applyFont="1" applyFill="1" applyBorder="1" applyAlignment="1">
      <alignment horizontal="center" vertical="center" wrapText="1"/>
    </xf>
    <xf numFmtId="49" fontId="15" fillId="7" borderId="17" xfId="0" applyNumberFormat="1" applyFont="1" applyFill="1" applyBorder="1" applyAlignment="1">
      <alignment horizontal="center" vertical="center" wrapText="1"/>
    </xf>
    <xf numFmtId="0" fontId="15" fillId="7" borderId="35" xfId="0" applyFont="1" applyFill="1" applyBorder="1" applyAlignment="1">
      <alignment horizontal="center" vertical="center" wrapText="1"/>
    </xf>
    <xf numFmtId="0" fontId="15" fillId="7" borderId="36" xfId="0" applyFont="1" applyFill="1" applyBorder="1" applyAlignment="1">
      <alignment horizontal="center" vertical="center" wrapText="1"/>
    </xf>
    <xf numFmtId="0" fontId="15" fillId="6" borderId="37" xfId="0" applyFont="1" applyFill="1" applyBorder="1" applyAlignment="1">
      <alignment horizontal="center" vertical="center" wrapText="1"/>
    </xf>
    <xf numFmtId="0" fontId="15" fillId="6" borderId="36" xfId="0" applyFont="1" applyFill="1" applyBorder="1" applyAlignment="1">
      <alignment horizontal="center" vertical="center" wrapText="1"/>
    </xf>
    <xf numFmtId="0" fontId="15" fillId="7" borderId="37" xfId="0" applyFont="1" applyFill="1" applyBorder="1" applyAlignment="1">
      <alignment horizontal="center" vertical="center" wrapText="1"/>
    </xf>
    <xf numFmtId="0" fontId="15" fillId="6" borderId="35" xfId="0" applyFont="1" applyFill="1" applyBorder="1" applyAlignment="1">
      <alignment horizontal="center" vertical="center" wrapText="1"/>
    </xf>
    <xf numFmtId="0" fontId="17" fillId="7" borderId="20" xfId="0" applyFont="1" applyFill="1" applyBorder="1" applyAlignment="1">
      <alignment horizontal="center" vertical="center" wrapText="1"/>
    </xf>
    <xf numFmtId="0" fontId="17" fillId="7" borderId="18" xfId="0" applyFont="1" applyFill="1" applyBorder="1" applyAlignment="1">
      <alignment horizontal="center" vertical="center" wrapText="1"/>
    </xf>
    <xf numFmtId="0" fontId="15" fillId="7" borderId="38" xfId="0" applyFont="1" applyFill="1" applyBorder="1" applyAlignment="1">
      <alignment horizontal="center" vertical="center" wrapText="1"/>
    </xf>
    <xf numFmtId="0" fontId="15" fillId="7" borderId="39" xfId="0" applyFont="1" applyFill="1" applyBorder="1" applyAlignment="1">
      <alignment horizontal="center" vertical="center" wrapText="1"/>
    </xf>
    <xf numFmtId="49" fontId="15" fillId="7" borderId="10" xfId="0" applyNumberFormat="1" applyFont="1" applyFill="1" applyBorder="1" applyAlignment="1">
      <alignment horizontal="left" vertical="center" wrapText="1"/>
    </xf>
    <xf numFmtId="0" fontId="17" fillId="7" borderId="10" xfId="0" applyFont="1" applyFill="1" applyBorder="1" applyAlignment="1">
      <alignment horizontal="center" vertical="center" wrapText="1"/>
    </xf>
    <xf numFmtId="0" fontId="15" fillId="6" borderId="38" xfId="0" applyFont="1" applyFill="1" applyBorder="1" applyAlignment="1">
      <alignment horizontal="center" vertical="center" wrapText="1"/>
    </xf>
    <xf numFmtId="0" fontId="15" fillId="6" borderId="39" xfId="0" applyFont="1" applyFill="1" applyBorder="1" applyAlignment="1">
      <alignment horizontal="center" vertical="center" wrapText="1"/>
    </xf>
    <xf numFmtId="0" fontId="15" fillId="6" borderId="10" xfId="0" applyFont="1" applyFill="1" applyBorder="1" applyAlignment="1">
      <alignment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164" fontId="16" fillId="6" borderId="10" xfId="0" applyNumberFormat="1" applyFont="1" applyFill="1" applyBorder="1" applyAlignment="1">
      <alignment horizontal="center" vertical="center" wrapText="1"/>
    </xf>
    <xf numFmtId="0" fontId="15" fillId="6" borderId="10" xfId="0" applyFont="1" applyFill="1" applyBorder="1" applyAlignment="1">
      <alignment horizontal="center" vertical="center" wrapText="1"/>
    </xf>
    <xf numFmtId="49" fontId="15" fillId="6" borderId="10" xfId="0" applyNumberFormat="1" applyFont="1" applyFill="1" applyBorder="1" applyAlignment="1">
      <alignment horizontal="left" vertical="center" wrapText="1"/>
    </xf>
    <xf numFmtId="0" fontId="17" fillId="6" borderId="10" xfId="0" applyFont="1" applyFill="1" applyBorder="1" applyAlignment="1">
      <alignment horizontal="center" vertical="center" wrapText="1"/>
    </xf>
    <xf numFmtId="49" fontId="15" fillId="6" borderId="27" xfId="0" applyNumberFormat="1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0" fontId="17" fillId="6" borderId="20" xfId="0" applyFont="1" applyFill="1" applyBorder="1" applyAlignment="1">
      <alignment horizontal="center" vertical="center" wrapText="1"/>
    </xf>
    <xf numFmtId="0" fontId="15" fillId="6" borderId="40" xfId="0" applyFont="1" applyFill="1" applyBorder="1" applyAlignment="1">
      <alignment horizontal="center"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49" fontId="15" fillId="6" borderId="11" xfId="0" applyNumberFormat="1" applyFont="1" applyFill="1" applyBorder="1" applyAlignment="1">
      <alignment horizontal="left" vertical="center" wrapText="1"/>
    </xf>
    <xf numFmtId="0" fontId="17" fillId="6" borderId="11" xfId="0" applyFont="1" applyFill="1" applyBorder="1" applyAlignment="1">
      <alignment horizontal="center" vertical="center" wrapText="1"/>
    </xf>
    <xf numFmtId="49" fontId="15" fillId="6" borderId="41" xfId="0" applyNumberFormat="1" applyFont="1" applyFill="1" applyBorder="1" applyAlignment="1">
      <alignment horizontal="center" vertical="center" wrapText="1"/>
    </xf>
    <xf numFmtId="0" fontId="15" fillId="7" borderId="40" xfId="0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0" fontId="17" fillId="7" borderId="11" xfId="0" applyFont="1" applyFill="1" applyBorder="1" applyAlignment="1">
      <alignment horizontal="center" vertical="center" wrapText="1"/>
    </xf>
    <xf numFmtId="49" fontId="15" fillId="7" borderId="41" xfId="0" applyNumberFormat="1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horizontal="center" vertical="center" wrapText="1"/>
    </xf>
    <xf numFmtId="0" fontId="15" fillId="6" borderId="34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7" fillId="6" borderId="16" xfId="0" applyFont="1" applyFill="1" applyBorder="1" applyAlignment="1">
      <alignment horizontal="center" vertical="center" wrapText="1"/>
    </xf>
    <xf numFmtId="0" fontId="17" fillId="7" borderId="16" xfId="0" applyFont="1" applyFill="1" applyBorder="1" applyAlignment="1">
      <alignment horizontal="center" vertical="center" wrapText="1"/>
    </xf>
    <xf numFmtId="0" fontId="15" fillId="8" borderId="9" xfId="0" applyFont="1" applyFill="1" applyBorder="1" applyAlignment="1">
      <alignment horizontal="center" vertical="center" wrapText="1"/>
    </xf>
    <xf numFmtId="0" fontId="15" fillId="8" borderId="26" xfId="0" applyFont="1" applyFill="1" applyBorder="1" applyAlignment="1">
      <alignment horizontal="center" vertical="center" wrapText="1"/>
    </xf>
    <xf numFmtId="0" fontId="15" fillId="8" borderId="13" xfId="0" applyFont="1" applyFill="1" applyBorder="1" applyAlignment="1">
      <alignment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164" fontId="16" fillId="8" borderId="13" xfId="0" applyNumberFormat="1" applyFont="1" applyFill="1" applyBorder="1" applyAlignment="1">
      <alignment horizontal="center" vertical="center" wrapText="1"/>
    </xf>
    <xf numFmtId="0" fontId="15" fillId="8" borderId="13" xfId="0" applyFont="1" applyFill="1" applyBorder="1" applyAlignment="1">
      <alignment horizontal="center" vertical="center" wrapText="1"/>
    </xf>
    <xf numFmtId="49" fontId="15" fillId="8" borderId="13" xfId="0" applyNumberFormat="1" applyFont="1" applyFill="1" applyBorder="1" applyAlignment="1">
      <alignment horizontal="left" vertical="center" wrapText="1"/>
    </xf>
    <xf numFmtId="0" fontId="17" fillId="6" borderId="18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5" fillId="6" borderId="42" xfId="0" applyFont="1" applyFill="1" applyBorder="1" applyAlignment="1">
      <alignment horizontal="center" vertical="center" wrapText="1"/>
    </xf>
    <xf numFmtId="0" fontId="15" fillId="6" borderId="29" xfId="0" applyFont="1" applyFill="1" applyBorder="1" applyAlignment="1">
      <alignment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164" fontId="16" fillId="6" borderId="29" xfId="0" applyNumberFormat="1" applyFont="1" applyFill="1" applyBorder="1" applyAlignment="1">
      <alignment horizontal="center" vertical="center" wrapText="1"/>
    </xf>
    <xf numFmtId="0" fontId="15" fillId="6" borderId="29" xfId="0" applyFont="1" applyFill="1" applyBorder="1" applyAlignment="1">
      <alignment horizontal="center" vertical="center" wrapText="1"/>
    </xf>
    <xf numFmtId="49" fontId="15" fillId="6" borderId="29" xfId="0" applyNumberFormat="1" applyFont="1" applyFill="1" applyBorder="1" applyAlignment="1">
      <alignment horizontal="left" vertical="center" wrapText="1"/>
    </xf>
    <xf numFmtId="0" fontId="17" fillId="6" borderId="29" xfId="0" applyFont="1" applyFill="1" applyBorder="1" applyAlignment="1">
      <alignment horizontal="center" vertical="center" wrapText="1"/>
    </xf>
    <xf numFmtId="49" fontId="15" fillId="6" borderId="30" xfId="0" applyNumberFormat="1" applyFont="1" applyFill="1" applyBorder="1" applyAlignment="1">
      <alignment horizontal="center" vertical="center" wrapText="1"/>
    </xf>
    <xf numFmtId="0" fontId="15" fillId="9" borderId="36" xfId="0" applyFont="1" applyFill="1" applyBorder="1" applyAlignment="1">
      <alignment horizontal="center" vertical="center" wrapText="1"/>
    </xf>
    <xf numFmtId="0" fontId="15" fillId="9" borderId="18" xfId="0" applyFont="1" applyFill="1" applyBorder="1" applyAlignment="1">
      <alignment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164" fontId="16" fillId="9" borderId="18" xfId="0" applyNumberFormat="1" applyFont="1" applyFill="1" applyBorder="1" applyAlignment="1">
      <alignment horizontal="center" vertical="center" wrapText="1"/>
    </xf>
    <xf numFmtId="0" fontId="15" fillId="9" borderId="18" xfId="0" applyFont="1" applyFill="1" applyBorder="1" applyAlignment="1">
      <alignment horizontal="center" vertical="center" wrapText="1"/>
    </xf>
    <xf numFmtId="49" fontId="15" fillId="9" borderId="18" xfId="0" applyNumberFormat="1" applyFont="1" applyFill="1" applyBorder="1" applyAlignment="1">
      <alignment horizontal="left" vertical="center" wrapText="1"/>
    </xf>
    <xf numFmtId="0" fontId="17" fillId="9" borderId="18" xfId="0" applyFont="1" applyFill="1" applyBorder="1" applyAlignment="1">
      <alignment horizontal="center" vertical="center" wrapText="1"/>
    </xf>
    <xf numFmtId="49" fontId="15" fillId="9" borderId="19" xfId="0" applyNumberFormat="1" applyFont="1" applyFill="1" applyBorder="1" applyAlignment="1">
      <alignment horizontal="center" vertical="center" wrapText="1"/>
    </xf>
    <xf numFmtId="0" fontId="15" fillId="6" borderId="43" xfId="0" applyFont="1" applyFill="1" applyBorder="1" applyAlignment="1">
      <alignment horizontal="center" vertical="center" wrapText="1"/>
    </xf>
    <xf numFmtId="0" fontId="15" fillId="6" borderId="21" xfId="0" applyFont="1" applyFill="1" applyBorder="1" applyAlignment="1">
      <alignment horizontal="center" vertical="center" wrapText="1"/>
    </xf>
    <xf numFmtId="0" fontId="17" fillId="6" borderId="44" xfId="0" applyFont="1" applyFill="1" applyBorder="1" applyAlignment="1">
      <alignment horizontal="center" vertical="center" wrapText="1"/>
    </xf>
    <xf numFmtId="0" fontId="17" fillId="6" borderId="45" xfId="0" applyFont="1" applyFill="1" applyBorder="1" applyAlignment="1">
      <alignment horizontal="center" vertical="center" wrapText="1"/>
    </xf>
    <xf numFmtId="0" fontId="17" fillId="7" borderId="44" xfId="0" applyFont="1" applyFill="1" applyBorder="1" applyAlignment="1">
      <alignment horizontal="center" vertical="center" wrapText="1"/>
    </xf>
    <xf numFmtId="0" fontId="17" fillId="7" borderId="46" xfId="0" applyFont="1" applyFill="1" applyBorder="1" applyAlignment="1">
      <alignment horizontal="center" vertical="center" wrapText="1"/>
    </xf>
    <xf numFmtId="0" fontId="17" fillId="7" borderId="45" xfId="0" applyFont="1" applyFill="1" applyBorder="1" applyAlignment="1">
      <alignment horizontal="center" vertical="center" wrapText="1"/>
    </xf>
    <xf numFmtId="0" fontId="15" fillId="9" borderId="9" xfId="0" applyFont="1" applyFill="1" applyBorder="1" applyAlignment="1">
      <alignment horizontal="center" vertical="center" wrapText="1"/>
    </xf>
    <xf numFmtId="0" fontId="15" fillId="9" borderId="26" xfId="0" applyFont="1" applyFill="1" applyBorder="1" applyAlignment="1">
      <alignment horizontal="center" vertical="center" wrapText="1"/>
    </xf>
    <xf numFmtId="0" fontId="15" fillId="9" borderId="13" xfId="0" applyFont="1" applyFill="1" applyBorder="1" applyAlignment="1">
      <alignment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164" fontId="16" fillId="9" borderId="13" xfId="0" applyNumberFormat="1" applyFont="1" applyFill="1" applyBorder="1" applyAlignment="1">
      <alignment horizontal="center" vertical="center" wrapText="1"/>
    </xf>
    <xf numFmtId="0" fontId="15" fillId="9" borderId="13" xfId="0" applyFont="1" applyFill="1" applyBorder="1" applyAlignment="1">
      <alignment horizontal="center" vertical="center" wrapText="1"/>
    </xf>
    <xf numFmtId="49" fontId="15" fillId="9" borderId="13" xfId="0" applyNumberFormat="1" applyFont="1" applyFill="1" applyBorder="1" applyAlignment="1">
      <alignment horizontal="left" vertical="center" wrapText="1"/>
    </xf>
    <xf numFmtId="49" fontId="15" fillId="9" borderId="41" xfId="0" applyNumberFormat="1" applyFont="1" applyFill="1" applyBorder="1" applyAlignment="1">
      <alignment horizontal="center" vertical="center" wrapText="1"/>
    </xf>
    <xf numFmtId="0" fontId="15" fillId="11" borderId="9" xfId="0" applyFont="1" applyFill="1" applyBorder="1" applyAlignment="1">
      <alignment horizontal="center" vertical="center" wrapText="1"/>
    </xf>
    <xf numFmtId="0" fontId="15" fillId="11" borderId="26" xfId="0" applyFont="1" applyFill="1" applyBorder="1" applyAlignment="1">
      <alignment horizontal="center" vertical="center" wrapText="1"/>
    </xf>
    <xf numFmtId="0" fontId="15" fillId="11" borderId="13" xfId="0" applyFont="1" applyFill="1" applyBorder="1" applyAlignment="1">
      <alignment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164" fontId="16" fillId="11" borderId="13" xfId="0" applyNumberFormat="1" applyFont="1" applyFill="1" applyBorder="1" applyAlignment="1">
      <alignment horizontal="center" vertical="center" wrapText="1"/>
    </xf>
    <xf numFmtId="0" fontId="15" fillId="11" borderId="13" xfId="0" applyFont="1" applyFill="1" applyBorder="1" applyAlignment="1">
      <alignment horizontal="center" vertical="center" wrapText="1"/>
    </xf>
    <xf numFmtId="49" fontId="15" fillId="11" borderId="13" xfId="0" applyNumberFormat="1" applyFont="1" applyFill="1" applyBorder="1" applyAlignment="1">
      <alignment horizontal="left" vertical="center" wrapText="1"/>
    </xf>
    <xf numFmtId="0" fontId="17" fillId="11" borderId="13" xfId="0" applyFont="1" applyFill="1" applyBorder="1" applyAlignment="1">
      <alignment horizontal="center" vertical="center" wrapText="1"/>
    </xf>
    <xf numFmtId="49" fontId="15" fillId="11" borderId="14" xfId="0" applyNumberFormat="1" applyFont="1" applyFill="1" applyBorder="1" applyAlignment="1">
      <alignment horizontal="center" vertical="center" wrapText="1"/>
    </xf>
    <xf numFmtId="0" fontId="15" fillId="7" borderId="32" xfId="0" applyFont="1" applyFill="1" applyBorder="1" applyAlignment="1">
      <alignment horizontal="center" vertical="center" wrapText="1"/>
    </xf>
    <xf numFmtId="49" fontId="15" fillId="7" borderId="27" xfId="0" applyNumberFormat="1" applyFont="1" applyFill="1" applyBorder="1" applyAlignment="1">
      <alignment vertical="center" wrapText="1"/>
    </xf>
    <xf numFmtId="0" fontId="16" fillId="11" borderId="13" xfId="0" applyFont="1" applyFill="1" applyBorder="1" applyAlignment="1">
      <alignment horizontal="center" vertical="center" wrapText="1"/>
    </xf>
    <xf numFmtId="0" fontId="15" fillId="7" borderId="47" xfId="0" applyFont="1" applyFill="1" applyBorder="1" applyAlignment="1">
      <alignment horizontal="center" vertical="center" wrapText="1"/>
    </xf>
    <xf numFmtId="49" fontId="15" fillId="7" borderId="17" xfId="0" applyNumberFormat="1" applyFont="1" applyFill="1" applyBorder="1" applyAlignment="1">
      <alignment vertical="center" wrapText="1"/>
    </xf>
    <xf numFmtId="0" fontId="15" fillId="9" borderId="48" xfId="0" applyFont="1" applyFill="1" applyBorder="1" applyAlignment="1">
      <alignment horizontal="center" vertical="center" wrapText="1"/>
    </xf>
    <xf numFmtId="0" fontId="15" fillId="9" borderId="1" xfId="0" applyFont="1" applyFill="1" applyBorder="1" applyAlignment="1">
      <alignment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164" fontId="16" fillId="9" borderId="1" xfId="0" applyNumberFormat="1" applyFont="1" applyFill="1" applyBorder="1" applyAlignment="1">
      <alignment horizontal="center" vertical="center" wrapText="1"/>
    </xf>
    <xf numFmtId="0" fontId="15" fillId="9" borderId="1" xfId="0" applyFont="1" applyFill="1" applyBorder="1" applyAlignment="1">
      <alignment horizontal="center" vertical="center" wrapText="1"/>
    </xf>
    <xf numFmtId="49" fontId="15" fillId="9" borderId="1" xfId="0" applyNumberFormat="1" applyFont="1" applyFill="1" applyBorder="1" applyAlignment="1">
      <alignment horizontal="left" vertical="center" wrapText="1"/>
    </xf>
    <xf numFmtId="0" fontId="17" fillId="9" borderId="1" xfId="0" applyFont="1" applyFill="1" applyBorder="1" applyAlignment="1">
      <alignment horizontal="center" vertical="center" wrapText="1"/>
    </xf>
    <xf numFmtId="49" fontId="15" fillId="9" borderId="22" xfId="0" applyNumberFormat="1" applyFont="1" applyFill="1" applyBorder="1" applyAlignment="1">
      <alignment horizontal="center" vertical="center" wrapText="1"/>
    </xf>
    <xf numFmtId="0" fontId="15" fillId="11" borderId="33" xfId="0" applyFont="1" applyFill="1" applyBorder="1" applyAlignment="1">
      <alignment horizontal="center" vertical="center" wrapText="1"/>
    </xf>
    <xf numFmtId="0" fontId="15" fillId="11" borderId="18" xfId="0" applyFont="1" applyFill="1" applyBorder="1" applyAlignment="1">
      <alignment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164" fontId="16" fillId="11" borderId="18" xfId="0" applyNumberFormat="1" applyFont="1" applyFill="1" applyBorder="1" applyAlignment="1">
      <alignment horizontal="center" vertical="center" wrapText="1"/>
    </xf>
    <xf numFmtId="0" fontId="15" fillId="11" borderId="18" xfId="0" applyFont="1" applyFill="1" applyBorder="1" applyAlignment="1">
      <alignment horizontal="center" vertical="center" wrapText="1"/>
    </xf>
    <xf numFmtId="49" fontId="15" fillId="11" borderId="18" xfId="0" applyNumberFormat="1" applyFont="1" applyFill="1" applyBorder="1" applyAlignment="1">
      <alignment horizontal="left" vertical="center" wrapText="1"/>
    </xf>
    <xf numFmtId="0" fontId="17" fillId="11" borderId="11" xfId="0" applyFont="1" applyFill="1" applyBorder="1" applyAlignment="1">
      <alignment horizontal="center" vertical="center" wrapText="1"/>
    </xf>
    <xf numFmtId="49" fontId="15" fillId="11" borderId="19" xfId="0" applyNumberFormat="1" applyFont="1" applyFill="1" applyBorder="1" applyAlignment="1">
      <alignment horizontal="center" vertical="center" wrapText="1"/>
    </xf>
    <xf numFmtId="0" fontId="15" fillId="9" borderId="49" xfId="0" applyFont="1" applyFill="1" applyBorder="1" applyAlignment="1">
      <alignment horizontal="center" vertical="center" wrapText="1"/>
    </xf>
    <xf numFmtId="0" fontId="15" fillId="9" borderId="50" xfId="0" applyFont="1" applyFill="1" applyBorder="1" applyAlignment="1">
      <alignment horizontal="center" vertical="center" wrapText="1"/>
    </xf>
    <xf numFmtId="0" fontId="15" fillId="9" borderId="24" xfId="0" applyFont="1" applyFill="1" applyBorder="1" applyAlignment="1">
      <alignment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164" fontId="16" fillId="9" borderId="24" xfId="0" applyNumberFormat="1" applyFont="1" applyFill="1" applyBorder="1" applyAlignment="1">
      <alignment horizontal="center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5" fillId="9" borderId="24" xfId="0" applyNumberFormat="1" applyFont="1" applyFill="1" applyBorder="1" applyAlignment="1">
      <alignment horizontal="left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5" fillId="9" borderId="24" xfId="0" applyNumberFormat="1" applyFont="1" applyFill="1" applyBorder="1" applyAlignment="1">
      <alignment horizontal="center" vertical="center" wrapText="1"/>
    </xf>
    <xf numFmtId="0" fontId="15" fillId="12" borderId="9" xfId="0" applyFont="1" applyFill="1" applyBorder="1" applyAlignment="1">
      <alignment horizontal="center" vertical="center" wrapText="1"/>
    </xf>
    <xf numFmtId="0" fontId="15" fillId="12" borderId="26" xfId="0" applyFont="1" applyFill="1" applyBorder="1" applyAlignment="1">
      <alignment horizontal="center" vertical="center" wrapText="1"/>
    </xf>
    <xf numFmtId="0" fontId="15" fillId="12" borderId="13" xfId="0" applyFont="1" applyFill="1" applyBorder="1" applyAlignment="1">
      <alignment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164" fontId="16" fillId="12" borderId="13" xfId="0" applyNumberFormat="1" applyFont="1" applyFill="1" applyBorder="1" applyAlignment="1">
      <alignment horizontal="center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5" fillId="12" borderId="13" xfId="0" applyNumberFormat="1" applyFont="1" applyFill="1" applyBorder="1" applyAlignment="1">
      <alignment horizontal="left" vertical="center" wrapText="1"/>
    </xf>
    <xf numFmtId="0" fontId="16" fillId="12" borderId="13" xfId="0" applyFont="1" applyFill="1" applyBorder="1" applyAlignment="1">
      <alignment horizontal="center" vertical="center" wrapText="1"/>
    </xf>
    <xf numFmtId="49" fontId="15" fillId="12" borderId="14" xfId="0" applyNumberFormat="1" applyFont="1" applyFill="1" applyBorder="1" applyAlignment="1">
      <alignment horizontal="center" vertical="center" wrapText="1"/>
    </xf>
    <xf numFmtId="0" fontId="15" fillId="12" borderId="37" xfId="0" applyFont="1" applyFill="1" applyBorder="1" applyAlignment="1">
      <alignment horizontal="center" vertical="center" wrapText="1"/>
    </xf>
    <xf numFmtId="0" fontId="15" fillId="12" borderId="20" xfId="0" applyFont="1" applyFill="1" applyBorder="1" applyAlignment="1">
      <alignment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164" fontId="16" fillId="12" borderId="20" xfId="0" applyNumberFormat="1" applyFont="1" applyFill="1" applyBorder="1" applyAlignment="1">
      <alignment horizontal="center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5" fillId="12" borderId="20" xfId="0" applyNumberFormat="1" applyFont="1" applyFill="1" applyBorder="1" applyAlignment="1">
      <alignment horizontal="left" vertical="center" wrapText="1"/>
    </xf>
    <xf numFmtId="0" fontId="16" fillId="12" borderId="20" xfId="0" applyFont="1" applyFill="1" applyBorder="1" applyAlignment="1">
      <alignment horizontal="center" vertical="center" wrapText="1"/>
    </xf>
    <xf numFmtId="49" fontId="15" fillId="12" borderId="21" xfId="0" applyNumberFormat="1" applyFont="1" applyFill="1" applyBorder="1" applyAlignment="1">
      <alignment horizontal="center" vertical="center" wrapText="1"/>
    </xf>
    <xf numFmtId="0" fontId="15" fillId="7" borderId="51" xfId="0" applyFont="1" applyFill="1" applyBorder="1" applyAlignment="1">
      <alignment horizontal="center" vertical="center" wrapText="1"/>
    </xf>
    <xf numFmtId="0" fontId="15" fillId="7" borderId="43" xfId="0" applyFont="1" applyFill="1" applyBorder="1" applyAlignment="1">
      <alignment horizontal="center" vertical="center" wrapText="1"/>
    </xf>
    <xf numFmtId="0" fontId="15" fillId="6" borderId="51" xfId="0" applyFont="1" applyFill="1" applyBorder="1" applyAlignment="1">
      <alignment horizontal="center" vertical="center" wrapText="1"/>
    </xf>
    <xf numFmtId="0" fontId="15" fillId="7" borderId="52" xfId="0" applyFont="1" applyFill="1" applyBorder="1" applyAlignment="1">
      <alignment horizontal="center" vertical="center" wrapText="1"/>
    </xf>
    <xf numFmtId="0" fontId="15" fillId="7" borderId="49" xfId="0" applyFont="1" applyFill="1" applyBorder="1" applyAlignment="1">
      <alignment horizontal="center" vertical="center" wrapText="1"/>
    </xf>
    <xf numFmtId="0" fontId="15" fillId="7" borderId="50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7" fillId="7" borderId="24" xfId="0" applyFont="1" applyFill="1" applyBorder="1" applyAlignment="1">
      <alignment horizontal="center" vertical="center" wrapText="1"/>
    </xf>
    <xf numFmtId="0" fontId="15" fillId="6" borderId="52" xfId="0" applyFont="1" applyFill="1" applyBorder="1" applyAlignment="1">
      <alignment horizontal="center" vertical="center" wrapText="1"/>
    </xf>
    <xf numFmtId="0" fontId="15" fillId="6" borderId="47" xfId="0" applyFont="1" applyFill="1" applyBorder="1" applyAlignment="1">
      <alignment horizontal="center" vertical="center" wrapText="1"/>
    </xf>
    <xf numFmtId="0" fontId="15" fillId="6" borderId="49" xfId="0" applyFont="1" applyFill="1" applyBorder="1" applyAlignment="1">
      <alignment horizontal="center" vertical="center" wrapText="1"/>
    </xf>
    <xf numFmtId="0" fontId="15" fillId="6" borderId="50" xfId="0" applyFont="1" applyFill="1" applyBorder="1" applyAlignment="1">
      <alignment horizontal="center" vertical="center" wrapText="1"/>
    </xf>
    <xf numFmtId="0" fontId="15" fillId="6" borderId="24" xfId="0" applyFont="1" applyFill="1" applyBorder="1" applyAlignment="1">
      <alignment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164" fontId="16" fillId="6" borderId="24" xfId="0" applyNumberFormat="1" applyFont="1" applyFill="1" applyBorder="1" applyAlignment="1">
      <alignment horizontal="center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5" fillId="6" borderId="24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49" fontId="15" fillId="6" borderId="25" xfId="0" applyNumberFormat="1" applyFont="1" applyFill="1" applyBorder="1" applyAlignment="1">
      <alignment horizontal="center" vertical="center" wrapText="1"/>
    </xf>
    <xf numFmtId="0" fontId="19" fillId="6" borderId="20" xfId="0" applyFont="1" applyFill="1" applyBorder="1" applyAlignment="1">
      <alignment horizontal="center" vertical="center" wrapText="1"/>
    </xf>
    <xf numFmtId="0" fontId="15" fillId="9" borderId="35" xfId="0" applyFont="1" applyFill="1" applyBorder="1" applyAlignment="1">
      <alignment horizontal="center" vertical="center" wrapText="1"/>
    </xf>
    <xf numFmtId="0" fontId="19" fillId="9" borderId="1" xfId="0" applyFont="1" applyFill="1" applyBorder="1" applyAlignment="1">
      <alignment horizontal="center" vertical="center" wrapText="1"/>
    </xf>
    <xf numFmtId="0" fontId="15" fillId="9" borderId="53" xfId="0" applyFont="1" applyFill="1" applyBorder="1" applyAlignment="1">
      <alignment horizontal="center" vertical="center" wrapText="1"/>
    </xf>
    <xf numFmtId="0" fontId="19" fillId="6" borderId="1" xfId="0" applyFont="1" applyFill="1" applyBorder="1" applyAlignment="1">
      <alignment horizontal="center" vertical="center" wrapText="1"/>
    </xf>
    <xf numFmtId="0" fontId="15" fillId="6" borderId="53" xfId="0" applyFont="1" applyFill="1" applyBorder="1" applyAlignment="1">
      <alignment horizontal="center" vertical="center" wrapText="1"/>
    </xf>
    <xf numFmtId="0" fontId="19" fillId="6" borderId="18" xfId="0" applyFont="1" applyFill="1" applyBorder="1" applyAlignment="1">
      <alignment horizontal="center" vertical="center" wrapText="1"/>
    </xf>
    <xf numFmtId="0" fontId="15" fillId="6" borderId="54" xfId="0" applyFont="1" applyFill="1" applyBorder="1" applyAlignment="1">
      <alignment horizontal="center" vertical="center" wrapText="1"/>
    </xf>
    <xf numFmtId="0" fontId="19" fillId="7" borderId="16" xfId="0" applyFont="1" applyFill="1" applyBorder="1" applyAlignment="1">
      <alignment horizontal="center" vertical="center" wrapText="1"/>
    </xf>
    <xf numFmtId="0" fontId="19" fillId="7" borderId="11" xfId="0" applyFont="1" applyFill="1" applyBorder="1" applyAlignment="1">
      <alignment horizontal="center" vertical="center" wrapText="1"/>
    </xf>
    <xf numFmtId="0" fontId="15" fillId="6" borderId="55" xfId="0" applyFont="1" applyFill="1" applyBorder="1" applyAlignment="1">
      <alignment horizontal="center" vertical="center" wrapText="1"/>
    </xf>
    <xf numFmtId="0" fontId="15" fillId="7" borderId="55" xfId="0" applyFont="1" applyFill="1" applyBorder="1" applyAlignment="1">
      <alignment horizontal="center" vertical="center" wrapText="1"/>
    </xf>
    <xf numFmtId="0" fontId="15" fillId="7" borderId="54" xfId="0" applyFont="1" applyFill="1" applyBorder="1" applyAlignment="1">
      <alignment horizontal="center" vertical="center" wrapText="1"/>
    </xf>
    <xf numFmtId="0" fontId="15" fillId="6" borderId="56" xfId="0" applyFont="1" applyFill="1" applyBorder="1" applyAlignment="1">
      <alignment horizontal="center" vertical="center" wrapText="1"/>
    </xf>
    <xf numFmtId="0" fontId="15" fillId="7" borderId="21" xfId="0" applyFont="1" applyFill="1" applyBorder="1" applyAlignment="1">
      <alignment horizontal="center" vertical="center" wrapText="1"/>
    </xf>
    <xf numFmtId="0" fontId="15" fillId="7" borderId="22" xfId="0" applyFont="1" applyFill="1" applyBorder="1" applyAlignment="1">
      <alignment horizontal="center" vertical="center" wrapText="1"/>
    </xf>
    <xf numFmtId="0" fontId="15" fillId="7" borderId="19" xfId="0" applyFont="1" applyFill="1" applyBorder="1" applyAlignment="1">
      <alignment horizontal="center" vertical="center" wrapText="1"/>
    </xf>
    <xf numFmtId="0" fontId="15" fillId="7" borderId="53" xfId="0" applyFont="1" applyFill="1" applyBorder="1" applyAlignment="1">
      <alignment horizontal="center" vertical="center" wrapText="1"/>
    </xf>
    <xf numFmtId="20" fontId="15" fillId="6" borderId="21" xfId="0" applyNumberFormat="1" applyFont="1" applyFill="1" applyBorder="1" applyAlignment="1">
      <alignment horizontal="center" vertical="center" wrapText="1"/>
    </xf>
    <xf numFmtId="20" fontId="15" fillId="6" borderId="19" xfId="0" applyNumberFormat="1" applyFont="1" applyFill="1" applyBorder="1" applyAlignment="1">
      <alignment horizontal="center" vertical="center" wrapText="1"/>
    </xf>
    <xf numFmtId="20" fontId="15" fillId="7" borderId="14" xfId="0" applyNumberFormat="1" applyFont="1" applyFill="1" applyBorder="1" applyAlignment="1">
      <alignment horizontal="center" vertical="center" wrapText="1"/>
    </xf>
    <xf numFmtId="20" fontId="15" fillId="6" borderId="22" xfId="0" applyNumberFormat="1" applyFont="1" applyFill="1" applyBorder="1" applyAlignment="1">
      <alignment horizontal="center" vertical="center" wrapText="1"/>
    </xf>
    <xf numFmtId="20" fontId="15" fillId="7" borderId="21" xfId="0" applyNumberFormat="1" applyFont="1" applyFill="1" applyBorder="1" applyAlignment="1">
      <alignment horizontal="center" vertical="center" wrapText="1"/>
    </xf>
    <xf numFmtId="20" fontId="15" fillId="7" borderId="22" xfId="0" applyNumberFormat="1" applyFont="1" applyFill="1" applyBorder="1" applyAlignment="1">
      <alignment horizontal="center" vertical="center" wrapText="1"/>
    </xf>
    <xf numFmtId="20" fontId="15" fillId="7" borderId="19" xfId="0" applyNumberFormat="1" applyFont="1" applyFill="1" applyBorder="1" applyAlignment="1">
      <alignment horizontal="center" vertical="center" wrapText="1"/>
    </xf>
    <xf numFmtId="20" fontId="15" fillId="6" borderId="14" xfId="0" applyNumberFormat="1" applyFont="1" applyFill="1" applyBorder="1" applyAlignment="1">
      <alignment horizontal="center" vertical="center" wrapText="1"/>
    </xf>
    <xf numFmtId="20" fontId="15" fillId="6" borderId="41" xfId="0" applyNumberFormat="1" applyFont="1" applyFill="1" applyBorder="1" applyAlignment="1">
      <alignment horizontal="center" vertical="center" wrapText="1"/>
    </xf>
    <xf numFmtId="20" fontId="15" fillId="6" borderId="30" xfId="0" applyNumberFormat="1" applyFont="1" applyFill="1" applyBorder="1" applyAlignment="1">
      <alignment horizontal="center" vertical="center" wrapText="1"/>
    </xf>
    <xf numFmtId="20" fontId="15" fillId="7" borderId="41" xfId="0" applyNumberFormat="1" applyFont="1" applyFill="1" applyBorder="1" applyAlignment="1">
      <alignment horizontal="center" vertical="center" wrapText="1"/>
    </xf>
    <xf numFmtId="0" fontId="15" fillId="7" borderId="42" xfId="0" applyFont="1" applyFill="1" applyBorder="1" applyAlignment="1">
      <alignment horizontal="center" vertical="center" wrapText="1"/>
    </xf>
    <xf numFmtId="20" fontId="15" fillId="7" borderId="30" xfId="0" applyNumberFormat="1" applyFont="1" applyFill="1" applyBorder="1" applyAlignment="1">
      <alignment horizontal="center" vertical="center" wrapText="1"/>
    </xf>
    <xf numFmtId="0" fontId="15" fillId="6" borderId="57" xfId="0" applyFont="1" applyFill="1" applyBorder="1" applyAlignment="1">
      <alignment horizontal="center" vertical="center" wrapText="1"/>
    </xf>
    <xf numFmtId="20" fontId="15" fillId="6" borderId="17" xfId="0" applyNumberFormat="1" applyFont="1" applyFill="1" applyBorder="1" applyAlignment="1">
      <alignment horizontal="center" vertical="center" wrapText="1"/>
    </xf>
    <xf numFmtId="0" fontId="17" fillId="12" borderId="20" xfId="0" applyFont="1" applyFill="1" applyBorder="1" applyAlignment="1">
      <alignment horizontal="center" vertical="center" wrapText="1"/>
    </xf>
    <xf numFmtId="0" fontId="15" fillId="13" borderId="40" xfId="0" applyFont="1" applyFill="1" applyBorder="1" applyAlignment="1">
      <alignment horizontal="center" vertical="center" wrapText="1"/>
    </xf>
    <xf numFmtId="0" fontId="15" fillId="13" borderId="11" xfId="0" applyFont="1" applyFill="1" applyBorder="1" applyAlignment="1">
      <alignment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164" fontId="16" fillId="13" borderId="11" xfId="0" applyNumberFormat="1" applyFont="1" applyFill="1" applyBorder="1" applyAlignment="1">
      <alignment horizontal="center" vertical="center" wrapText="1"/>
    </xf>
    <xf numFmtId="0" fontId="15" fillId="13" borderId="11" xfId="0" applyFont="1" applyFill="1" applyBorder="1" applyAlignment="1">
      <alignment horizontal="center" vertical="center" wrapText="1"/>
    </xf>
    <xf numFmtId="49" fontId="15" fillId="13" borderId="11" xfId="0" applyNumberFormat="1" applyFont="1" applyFill="1" applyBorder="1" applyAlignment="1">
      <alignment horizontal="left" vertical="center" wrapText="1"/>
    </xf>
    <xf numFmtId="0" fontId="17" fillId="13" borderId="11" xfId="0" applyFont="1" applyFill="1" applyBorder="1" applyAlignment="1">
      <alignment horizontal="center" vertical="center" wrapText="1"/>
    </xf>
    <xf numFmtId="49" fontId="15" fillId="13" borderId="41" xfId="0" applyNumberFormat="1" applyFont="1" applyFill="1" applyBorder="1" applyAlignment="1">
      <alignment horizontal="center" vertical="center" wrapText="1"/>
    </xf>
    <xf numFmtId="0" fontId="15" fillId="13" borderId="37" xfId="0" applyFont="1" applyFill="1" applyBorder="1" applyAlignment="1">
      <alignment horizontal="center" vertical="center" wrapText="1"/>
    </xf>
    <xf numFmtId="0" fontId="15" fillId="13" borderId="20" xfId="0" applyFont="1" applyFill="1" applyBorder="1" applyAlignment="1">
      <alignment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164" fontId="16" fillId="13" borderId="20" xfId="0" applyNumberFormat="1" applyFont="1" applyFill="1" applyBorder="1" applyAlignment="1">
      <alignment horizontal="center" vertical="center" wrapText="1"/>
    </xf>
    <xf numFmtId="0" fontId="15" fillId="13" borderId="20" xfId="0" applyFont="1" applyFill="1" applyBorder="1" applyAlignment="1">
      <alignment horizontal="center" vertical="center" wrapText="1"/>
    </xf>
    <xf numFmtId="49" fontId="15" fillId="13" borderId="20" xfId="0" applyNumberFormat="1" applyFont="1" applyFill="1" applyBorder="1" applyAlignment="1">
      <alignment horizontal="left" vertical="center" wrapText="1"/>
    </xf>
    <xf numFmtId="0" fontId="17" fillId="13" borderId="20" xfId="0" applyFont="1" applyFill="1" applyBorder="1" applyAlignment="1">
      <alignment horizontal="center" vertical="center" wrapText="1"/>
    </xf>
    <xf numFmtId="49" fontId="15" fillId="13" borderId="21" xfId="0" applyNumberFormat="1" applyFont="1" applyFill="1" applyBorder="1" applyAlignment="1">
      <alignment horizontal="center" vertical="center" wrapText="1"/>
    </xf>
    <xf numFmtId="0" fontId="15" fillId="12" borderId="34" xfId="0" applyFont="1" applyFill="1" applyBorder="1" applyAlignment="1">
      <alignment horizontal="center" vertical="center" wrapText="1"/>
    </xf>
    <xf numFmtId="0" fontId="15" fillId="12" borderId="16" xfId="0" applyFont="1" applyFill="1" applyBorder="1" applyAlignment="1">
      <alignment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164" fontId="16" fillId="12" borderId="16" xfId="0" applyNumberFormat="1" applyFont="1" applyFill="1" applyBorder="1" applyAlignment="1">
      <alignment horizontal="center" vertical="center" wrapText="1"/>
    </xf>
    <xf numFmtId="0" fontId="15" fillId="12" borderId="16" xfId="0" applyFont="1" applyFill="1" applyBorder="1" applyAlignment="1">
      <alignment horizontal="center" vertical="center" wrapText="1"/>
    </xf>
    <xf numFmtId="49" fontId="15" fillId="12" borderId="16" xfId="0" applyNumberFormat="1" applyFont="1" applyFill="1" applyBorder="1" applyAlignment="1">
      <alignment horizontal="left" vertical="center" wrapText="1"/>
    </xf>
    <xf numFmtId="0" fontId="17" fillId="12" borderId="16" xfId="0" applyFont="1" applyFill="1" applyBorder="1" applyAlignment="1">
      <alignment horizontal="center" vertical="center" wrapText="1"/>
    </xf>
    <xf numFmtId="49" fontId="15" fillId="12" borderId="17" xfId="0" applyNumberFormat="1" applyFont="1" applyFill="1" applyBorder="1" applyAlignment="1">
      <alignment horizontal="center" vertical="center" wrapText="1"/>
    </xf>
    <xf numFmtId="0" fontId="15" fillId="12" borderId="40" xfId="0" applyFont="1" applyFill="1" applyBorder="1" applyAlignment="1">
      <alignment horizontal="center" vertical="center" wrapText="1"/>
    </xf>
    <xf numFmtId="0" fontId="15" fillId="12" borderId="11" xfId="0" applyFont="1" applyFill="1" applyBorder="1" applyAlignment="1">
      <alignment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164" fontId="16" fillId="12" borderId="11" xfId="0" applyNumberFormat="1" applyFont="1" applyFill="1" applyBorder="1" applyAlignment="1">
      <alignment horizontal="center" vertical="center" wrapText="1"/>
    </xf>
    <xf numFmtId="0" fontId="15" fillId="12" borderId="11" xfId="0" applyFont="1" applyFill="1" applyBorder="1" applyAlignment="1">
      <alignment horizontal="center" vertical="center" wrapText="1"/>
    </xf>
    <xf numFmtId="49" fontId="15" fillId="12" borderId="11" xfId="0" applyNumberFormat="1" applyFont="1" applyFill="1" applyBorder="1" applyAlignment="1">
      <alignment horizontal="left" vertical="center" wrapText="1"/>
    </xf>
    <xf numFmtId="0" fontId="17" fillId="12" borderId="11" xfId="0" applyFont="1" applyFill="1" applyBorder="1" applyAlignment="1">
      <alignment horizontal="center" vertical="center" wrapText="1"/>
    </xf>
    <xf numFmtId="49" fontId="15" fillId="12" borderId="41" xfId="0" applyNumberFormat="1" applyFont="1" applyFill="1" applyBorder="1" applyAlignment="1">
      <alignment horizontal="center" vertical="center" wrapText="1"/>
    </xf>
    <xf numFmtId="49" fontId="16" fillId="6" borderId="21" xfId="0" applyNumberFormat="1" applyFont="1" applyFill="1" applyBorder="1" applyAlignment="1">
      <alignment horizontal="center" vertical="center" wrapText="1"/>
    </xf>
    <xf numFmtId="20" fontId="15" fillId="7" borderId="17" xfId="0" applyNumberFormat="1" applyFont="1" applyFill="1" applyBorder="1" applyAlignment="1">
      <alignment horizontal="center" vertical="center" wrapText="1"/>
    </xf>
    <xf numFmtId="20" fontId="15" fillId="7" borderId="27" xfId="0" applyNumberFormat="1" applyFont="1" applyFill="1" applyBorder="1" applyAlignment="1">
      <alignment horizontal="center" vertical="center" wrapText="1"/>
    </xf>
    <xf numFmtId="0" fontId="15" fillId="9" borderId="38" xfId="0" applyFont="1" applyFill="1" applyBorder="1" applyAlignment="1">
      <alignment horizontal="center" vertical="center" wrapText="1"/>
    </xf>
    <xf numFmtId="0" fontId="15" fillId="9" borderId="39" xfId="0" applyFont="1" applyFill="1" applyBorder="1" applyAlignment="1">
      <alignment horizontal="center" vertical="center" wrapText="1"/>
    </xf>
    <xf numFmtId="0" fontId="15" fillId="9" borderId="10" xfId="0" applyFont="1" applyFill="1" applyBorder="1" applyAlignment="1">
      <alignment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164" fontId="16" fillId="9" borderId="10" xfId="0" applyNumberFormat="1" applyFont="1" applyFill="1" applyBorder="1" applyAlignment="1">
      <alignment horizontal="center" vertical="center" wrapText="1"/>
    </xf>
    <xf numFmtId="0" fontId="15" fillId="9" borderId="10" xfId="0" applyFont="1" applyFill="1" applyBorder="1" applyAlignment="1">
      <alignment horizontal="center" vertical="center" wrapText="1"/>
    </xf>
    <xf numFmtId="49" fontId="15" fillId="9" borderId="10" xfId="0" applyNumberFormat="1" applyFont="1" applyFill="1" applyBorder="1" applyAlignment="1">
      <alignment horizontal="left" vertical="center" wrapText="1"/>
    </xf>
    <xf numFmtId="0" fontId="17" fillId="9" borderId="10" xfId="0" applyFont="1" applyFill="1" applyBorder="1" applyAlignment="1">
      <alignment horizontal="center" vertical="center" wrapText="1"/>
    </xf>
    <xf numFmtId="49" fontId="15" fillId="9" borderId="27" xfId="0" applyNumberFormat="1" applyFont="1" applyFill="1" applyBorder="1" applyAlignment="1">
      <alignment horizontal="center" vertical="center" wrapText="1"/>
    </xf>
    <xf numFmtId="20" fontId="15" fillId="9" borderId="27" xfId="0" applyNumberFormat="1" applyFont="1" applyFill="1" applyBorder="1" applyAlignment="1">
      <alignment horizontal="center" vertical="center" wrapText="1"/>
    </xf>
    <xf numFmtId="0" fontId="20" fillId="7" borderId="13" xfId="0" applyFont="1" applyFill="1" applyBorder="1" applyAlignment="1">
      <alignment horizontal="center" vertical="center" wrapText="1"/>
    </xf>
    <xf numFmtId="49" fontId="20" fillId="6" borderId="13" xfId="0" applyNumberFormat="1" applyFont="1" applyFill="1" applyBorder="1" applyAlignment="1">
      <alignment horizontal="left" vertical="center" wrapText="1"/>
    </xf>
    <xf numFmtId="49" fontId="20" fillId="7" borderId="13" xfId="0" applyNumberFormat="1" applyFont="1" applyFill="1" applyBorder="1" applyAlignment="1">
      <alignment horizontal="left" vertical="center" wrapText="1"/>
    </xf>
    <xf numFmtId="164" fontId="17" fillId="7" borderId="20" xfId="0" applyNumberFormat="1" applyFont="1" applyFill="1" applyBorder="1" applyAlignment="1">
      <alignment horizontal="center" vertical="center" wrapText="1"/>
    </xf>
    <xf numFmtId="164" fontId="17" fillId="7" borderId="11" xfId="0" applyNumberFormat="1" applyFont="1" applyFill="1" applyBorder="1" applyAlignment="1">
      <alignment horizontal="center" vertical="center" wrapText="1"/>
    </xf>
    <xf numFmtId="164" fontId="17" fillId="6" borderId="13" xfId="0" applyNumberFormat="1" applyFont="1" applyFill="1" applyBorder="1" applyAlignment="1">
      <alignment horizontal="center" vertical="center" wrapText="1"/>
    </xf>
    <xf numFmtId="164" fontId="17" fillId="7" borderId="13" xfId="0" applyNumberFormat="1" applyFont="1" applyFill="1" applyBorder="1" applyAlignment="1">
      <alignment horizontal="center" vertical="center" wrapText="1"/>
    </xf>
    <xf numFmtId="164" fontId="17" fillId="7" borderId="16" xfId="0" applyNumberFormat="1" applyFont="1" applyFill="1" applyBorder="1" applyAlignment="1">
      <alignment horizontal="center" vertical="center" wrapText="1"/>
    </xf>
    <xf numFmtId="164" fontId="17" fillId="6" borderId="20" xfId="0" applyNumberFormat="1" applyFont="1" applyFill="1" applyBorder="1" applyAlignment="1">
      <alignment horizontal="center" vertical="center" wrapText="1"/>
    </xf>
    <xf numFmtId="164" fontId="17" fillId="6" borderId="16" xfId="0" applyNumberFormat="1" applyFont="1" applyFill="1" applyBorder="1" applyAlignment="1">
      <alignment horizontal="center" vertical="center" wrapText="1"/>
    </xf>
    <xf numFmtId="164" fontId="17" fillId="6" borderId="11" xfId="0" applyNumberFormat="1" applyFont="1" applyFill="1" applyBorder="1" applyAlignment="1">
      <alignment horizontal="center" vertical="center" wrapText="1"/>
    </xf>
    <xf numFmtId="49" fontId="15" fillId="6" borderId="22" xfId="0" applyNumberFormat="1" applyFont="1" applyFill="1" applyBorder="1" applyAlignment="1">
      <alignment horizontal="left" vertical="center" wrapText="1"/>
    </xf>
    <xf numFmtId="0" fontId="17" fillId="6" borderId="24" xfId="0" applyFont="1" applyFill="1" applyBorder="1" applyAlignment="1">
      <alignment horizontal="center" vertical="center" wrapText="1"/>
    </xf>
    <xf numFmtId="20" fontId="15" fillId="6" borderId="25" xfId="0" applyNumberFormat="1" applyFont="1" applyFill="1" applyBorder="1" applyAlignment="1">
      <alignment horizontal="center" vertical="center" wrapText="1"/>
    </xf>
    <xf numFmtId="0" fontId="15" fillId="14" borderId="9" xfId="0" applyFont="1" applyFill="1" applyBorder="1" applyAlignment="1">
      <alignment horizontal="center" vertical="center" wrapText="1"/>
    </xf>
    <xf numFmtId="0" fontId="15" fillId="14" borderId="26" xfId="0" applyFont="1" applyFill="1" applyBorder="1" applyAlignment="1">
      <alignment horizontal="center" vertical="center" wrapText="1"/>
    </xf>
    <xf numFmtId="0" fontId="15" fillId="14" borderId="13" xfId="0" applyFont="1" applyFill="1" applyBorder="1" applyAlignment="1">
      <alignment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164" fontId="16" fillId="14" borderId="13" xfId="0" applyNumberFormat="1" applyFont="1" applyFill="1" applyBorder="1" applyAlignment="1">
      <alignment horizontal="center" vertical="center" wrapText="1"/>
    </xf>
    <xf numFmtId="0" fontId="15" fillId="14" borderId="13" xfId="0" applyFont="1" applyFill="1" applyBorder="1" applyAlignment="1">
      <alignment horizontal="center" vertical="center" wrapText="1"/>
    </xf>
    <xf numFmtId="49" fontId="15" fillId="14" borderId="13" xfId="0" applyNumberFormat="1" applyFont="1" applyFill="1" applyBorder="1" applyAlignment="1">
      <alignment horizontal="left" vertical="center" wrapText="1"/>
    </xf>
    <xf numFmtId="0" fontId="17" fillId="14" borderId="13" xfId="0" applyFont="1" applyFill="1" applyBorder="1" applyAlignment="1">
      <alignment horizontal="center" vertical="center" wrapText="1"/>
    </xf>
    <xf numFmtId="49" fontId="15" fillId="14" borderId="14" xfId="0" applyNumberFormat="1" applyFont="1" applyFill="1" applyBorder="1" applyAlignment="1">
      <alignment horizontal="center" vertical="center" wrapText="1"/>
    </xf>
    <xf numFmtId="20" fontId="15" fillId="14" borderId="14" xfId="0" applyNumberFormat="1" applyFont="1" applyFill="1" applyBorder="1" applyAlignment="1">
      <alignment horizontal="center" vertical="center" wrapText="1"/>
    </xf>
    <xf numFmtId="164" fontId="20" fillId="6" borderId="18" xfId="0" applyNumberFormat="1" applyFont="1" applyFill="1" applyBorder="1" applyAlignment="1">
      <alignment horizontal="center" vertical="center" wrapText="1"/>
    </xf>
    <xf numFmtId="164" fontId="20" fillId="7" borderId="13" xfId="0" applyNumberFormat="1" applyFont="1" applyFill="1" applyBorder="1" applyAlignment="1">
      <alignment horizontal="center" vertical="center" wrapText="1"/>
    </xf>
    <xf numFmtId="164" fontId="20" fillId="6" borderId="20" xfId="0" applyNumberFormat="1" applyFont="1" applyFill="1" applyBorder="1" applyAlignment="1">
      <alignment horizontal="center" vertical="center" wrapText="1"/>
    </xf>
    <xf numFmtId="164" fontId="20" fillId="6" borderId="1" xfId="0" applyNumberFormat="1" applyFont="1" applyFill="1" applyBorder="1" applyAlignment="1">
      <alignment horizontal="center" vertical="center" wrapText="1"/>
    </xf>
    <xf numFmtId="164" fontId="20" fillId="7" borderId="20" xfId="0" applyNumberFormat="1" applyFont="1" applyFill="1" applyBorder="1" applyAlignment="1">
      <alignment horizontal="center" vertical="center" wrapText="1"/>
    </xf>
    <xf numFmtId="164" fontId="20" fillId="7" borderId="18" xfId="0" applyNumberFormat="1" applyFont="1" applyFill="1" applyBorder="1" applyAlignment="1">
      <alignment horizontal="center" vertical="center" wrapText="1"/>
    </xf>
    <xf numFmtId="164" fontId="20" fillId="7" borderId="1" xfId="0" applyNumberFormat="1" applyFont="1" applyFill="1" applyBorder="1" applyAlignment="1">
      <alignment horizontal="center" vertical="center" wrapText="1"/>
    </xf>
    <xf numFmtId="49" fontId="16" fillId="7" borderId="11" xfId="0" applyNumberFormat="1" applyFont="1" applyFill="1" applyBorder="1" applyAlignment="1">
      <alignment horizontal="left" vertical="center" wrapText="1"/>
    </xf>
    <xf numFmtId="164" fontId="20" fillId="6" borderId="13" xfId="0" applyNumberFormat="1" applyFont="1" applyFill="1" applyBorder="1" applyAlignment="1">
      <alignment horizontal="center" vertical="center" wrapText="1"/>
    </xf>
    <xf numFmtId="4" fontId="15" fillId="6" borderId="13" xfId="0" applyNumberFormat="1" applyFont="1" applyFill="1" applyBorder="1" applyAlignment="1">
      <alignment horizontal="center" vertical="center" wrapText="1"/>
    </xf>
    <xf numFmtId="0" fontId="15" fillId="15" borderId="37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164" fontId="16" fillId="15" borderId="20" xfId="0" applyNumberFormat="1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horizontal="center" vertical="center" wrapText="1"/>
    </xf>
    <xf numFmtId="20" fontId="15" fillId="15" borderId="21" xfId="0" applyNumberFormat="1" applyFont="1" applyFill="1" applyBorder="1" applyAlignment="1">
      <alignment horizontal="center" vertical="center" wrapText="1"/>
    </xf>
    <xf numFmtId="0" fontId="15" fillId="15" borderId="34" xfId="0" applyFont="1" applyFill="1" applyBorder="1" applyAlignment="1">
      <alignment horizontal="center" vertical="center" wrapText="1"/>
    </xf>
    <xf numFmtId="0" fontId="15" fillId="15" borderId="1" xfId="0" applyFont="1" applyFill="1" applyBorder="1" applyAlignment="1">
      <alignment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164" fontId="16" fillId="15" borderId="1" xfId="0" applyNumberFormat="1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6" fillId="15" borderId="16" xfId="0" applyFont="1" applyFill="1" applyBorder="1" applyAlignment="1">
      <alignment horizontal="center" vertical="center" wrapText="1"/>
    </xf>
    <xf numFmtId="0" fontId="15" fillId="15" borderId="1" xfId="0" applyFont="1" applyFill="1" applyBorder="1" applyAlignment="1">
      <alignment horizontal="center" vertical="center" wrapText="1"/>
    </xf>
    <xf numFmtId="20" fontId="15" fillId="15" borderId="22" xfId="0" applyNumberFormat="1" applyFont="1" applyFill="1" applyBorder="1" applyAlignment="1">
      <alignment horizontal="center" vertical="center" wrapText="1"/>
    </xf>
    <xf numFmtId="0" fontId="15" fillId="15" borderId="40" xfId="0" applyFont="1" applyFill="1" applyBorder="1" applyAlignment="1">
      <alignment horizontal="center" vertical="center" wrapText="1"/>
    </xf>
    <xf numFmtId="0" fontId="15" fillId="15" borderId="18" xfId="0" applyFont="1" applyFill="1" applyBorder="1" applyAlignment="1">
      <alignment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164" fontId="16" fillId="15" borderId="18" xfId="0" applyNumberFormat="1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6" fillId="15" borderId="11" xfId="0" applyFont="1" applyFill="1" applyBorder="1" applyAlignment="1">
      <alignment horizontal="center" vertical="center" wrapText="1"/>
    </xf>
    <xf numFmtId="0" fontId="15" fillId="15" borderId="18" xfId="0" applyFont="1" applyFill="1" applyBorder="1" applyAlignment="1">
      <alignment horizontal="center" vertical="center" wrapText="1"/>
    </xf>
    <xf numFmtId="20" fontId="15" fillId="15" borderId="19" xfId="0" applyNumberFormat="1" applyFont="1" applyFill="1" applyBorder="1" applyAlignment="1">
      <alignment horizontal="center" vertical="center" wrapText="1"/>
    </xf>
    <xf numFmtId="20" fontId="15" fillId="6" borderId="27" xfId="0" applyNumberFormat="1" applyFont="1" applyFill="1" applyBorder="1" applyAlignment="1">
      <alignment horizontal="center" vertical="center" wrapText="1"/>
    </xf>
    <xf numFmtId="20" fontId="15" fillId="7" borderId="25" xfId="0" applyNumberFormat="1" applyFont="1" applyFill="1" applyBorder="1" applyAlignment="1">
      <alignment horizontal="center" vertical="center" wrapText="1"/>
    </xf>
    <xf numFmtId="0" fontId="21" fillId="6" borderId="20" xfId="0" applyFont="1" applyFill="1" applyBorder="1" applyAlignment="1">
      <alignment horizontal="center" vertical="center" wrapText="1"/>
    </xf>
    <xf numFmtId="0" fontId="21" fillId="6" borderId="16" xfId="0" applyFont="1" applyFill="1" applyBorder="1" applyAlignment="1">
      <alignment horizontal="center" vertical="center" wrapText="1"/>
    </xf>
    <xf numFmtId="0" fontId="21" fillId="6" borderId="11" xfId="0" applyFont="1" applyFill="1" applyBorder="1" applyAlignment="1">
      <alignment horizontal="center" vertical="center" wrapText="1"/>
    </xf>
    <xf numFmtId="0" fontId="17" fillId="9" borderId="13" xfId="0" applyFont="1" applyFill="1" applyBorder="1" applyAlignment="1">
      <alignment horizontal="center" vertical="center" wrapText="1"/>
    </xf>
    <xf numFmtId="49" fontId="15" fillId="9" borderId="14" xfId="0" applyNumberFormat="1" applyFont="1" applyFill="1" applyBorder="1" applyAlignment="1">
      <alignment horizontal="center" vertical="center" wrapText="1"/>
    </xf>
    <xf numFmtId="20" fontId="15" fillId="9" borderId="14" xfId="0" applyNumberFormat="1" applyFont="1" applyFill="1" applyBorder="1" applyAlignment="1">
      <alignment horizontal="center" vertical="center" wrapText="1"/>
    </xf>
    <xf numFmtId="0" fontId="15" fillId="9" borderId="37" xfId="0" applyFont="1" applyFill="1" applyBorder="1" applyAlignment="1">
      <alignment horizontal="center" vertical="center" wrapText="1"/>
    </xf>
    <xf numFmtId="0" fontId="15" fillId="9" borderId="20" xfId="0" applyFont="1" applyFill="1" applyBorder="1" applyAlignment="1">
      <alignment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164" fontId="16" fillId="9" borderId="20" xfId="0" applyNumberFormat="1" applyFont="1" applyFill="1" applyBorder="1" applyAlignment="1">
      <alignment horizontal="center" vertical="center" wrapText="1"/>
    </xf>
    <xf numFmtId="0" fontId="15" fillId="9" borderId="20" xfId="0" applyFont="1" applyFill="1" applyBorder="1" applyAlignment="1">
      <alignment horizontal="center" vertical="center" wrapText="1"/>
    </xf>
    <xf numFmtId="0" fontId="17" fillId="9" borderId="20" xfId="0" applyFont="1" applyFill="1" applyBorder="1" applyAlignment="1">
      <alignment horizontal="center" vertical="center" wrapText="1"/>
    </xf>
    <xf numFmtId="49" fontId="15" fillId="9" borderId="21" xfId="0" applyNumberFormat="1" applyFont="1" applyFill="1" applyBorder="1" applyAlignment="1">
      <alignment horizontal="center" vertical="center" wrapText="1"/>
    </xf>
    <xf numFmtId="20" fontId="15" fillId="9" borderId="21" xfId="0" applyNumberFormat="1" applyFont="1" applyFill="1" applyBorder="1" applyAlignment="1">
      <alignment horizontal="center" vertical="center" wrapText="1"/>
    </xf>
    <xf numFmtId="0" fontId="17" fillId="9" borderId="24" xfId="0" applyFont="1" applyFill="1" applyBorder="1" applyAlignment="1">
      <alignment horizontal="center" vertical="center" wrapText="1"/>
    </xf>
    <xf numFmtId="49" fontId="15" fillId="9" borderId="25" xfId="0" applyNumberFormat="1" applyFont="1" applyFill="1" applyBorder="1" applyAlignment="1">
      <alignment horizontal="center" vertical="center" wrapText="1"/>
    </xf>
    <xf numFmtId="20" fontId="15" fillId="9" borderId="25" xfId="0" applyNumberFormat="1" applyFont="1" applyFill="1" applyBorder="1" applyAlignment="1">
      <alignment horizontal="center" vertical="center" wrapText="1"/>
    </xf>
    <xf numFmtId="0" fontId="15" fillId="7" borderId="33" xfId="0" applyFont="1" applyFill="1" applyBorder="1" applyAlignment="1">
      <alignment horizontal="center" vertical="center" wrapText="1"/>
    </xf>
    <xf numFmtId="49" fontId="20" fillId="7" borderId="14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2" fontId="16" fillId="7" borderId="1" xfId="0" applyNumberFormat="1" applyFont="1" applyFill="1" applyBorder="1" applyAlignment="1">
      <alignment horizontal="center" vertical="center" wrapText="1"/>
    </xf>
    <xf numFmtId="0" fontId="17" fillId="7" borderId="29" xfId="0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6" fillId="7" borderId="11" xfId="0" applyNumberFormat="1" applyFont="1" applyFill="1" applyBorder="1" applyAlignment="1">
      <alignment horizontal="center" vertical="center" wrapText="1"/>
    </xf>
    <xf numFmtId="2" fontId="16" fillId="6" borderId="16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6" fillId="6" borderId="11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2" fontId="16" fillId="7" borderId="16" xfId="0" applyNumberFormat="1" applyFont="1" applyFill="1" applyBorder="1" applyAlignment="1">
      <alignment horizontal="center" vertical="center" wrapText="1"/>
    </xf>
    <xf numFmtId="164" fontId="20" fillId="7" borderId="11" xfId="0" applyNumberFormat="1" applyFont="1" applyFill="1" applyBorder="1" applyAlignment="1">
      <alignment horizontal="center" vertical="center" wrapText="1"/>
    </xf>
    <xf numFmtId="164" fontId="20" fillId="6" borderId="11" xfId="0" applyNumberFormat="1" applyFont="1" applyFill="1" applyBorder="1" applyAlignment="1">
      <alignment horizontal="center" vertical="center" wrapText="1"/>
    </xf>
    <xf numFmtId="164" fontId="20" fillId="7" borderId="16" xfId="0" applyNumberFormat="1" applyFont="1" applyFill="1" applyBorder="1" applyAlignment="1">
      <alignment horizontal="center" vertical="center" wrapText="1"/>
    </xf>
    <xf numFmtId="164" fontId="20" fillId="7" borderId="24" xfId="0" applyNumberFormat="1" applyFont="1" applyFill="1" applyBorder="1" applyAlignment="1">
      <alignment horizontal="center" vertical="center" wrapText="1"/>
    </xf>
    <xf numFmtId="0" fontId="15" fillId="7" borderId="0" xfId="0" applyFont="1" applyFill="1" applyAlignment="1">
      <alignment horizontal="center" vertical="center" wrapText="1"/>
    </xf>
    <xf numFmtId="164" fontId="15" fillId="7" borderId="50" xfId="0" applyNumberFormat="1" applyFont="1" applyFill="1" applyBorder="1" applyAlignment="1">
      <alignment horizontal="center" vertical="center" wrapText="1"/>
    </xf>
    <xf numFmtId="0" fontId="21" fillId="6" borderId="24" xfId="0" applyFont="1" applyFill="1" applyBorder="1" applyAlignment="1">
      <alignment horizontal="center" vertical="center" wrapText="1"/>
    </xf>
    <xf numFmtId="0" fontId="22" fillId="7" borderId="16" xfId="0" applyFont="1" applyFill="1" applyBorder="1" applyAlignment="1">
      <alignment horizontal="center" vertical="center" wrapText="1"/>
    </xf>
    <xf numFmtId="0" fontId="22" fillId="7" borderId="24" xfId="0" applyFont="1" applyFill="1" applyBorder="1" applyAlignment="1">
      <alignment horizontal="center" vertical="center" wrapText="1"/>
    </xf>
    <xf numFmtId="0" fontId="15" fillId="0" borderId="16" xfId="0" applyFont="1" applyBorder="1" applyAlignment="1">
      <alignment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164" fontId="16" fillId="0" borderId="16" xfId="0" applyNumberFormat="1" applyFont="1" applyBorder="1" applyAlignment="1">
      <alignment horizontal="center" vertical="center" wrapText="1"/>
    </xf>
    <xf numFmtId="49" fontId="15" fillId="0" borderId="16" xfId="0" applyNumberFormat="1" applyFont="1" applyBorder="1" applyAlignment="1">
      <alignment horizontal="left" vertical="center" wrapText="1"/>
    </xf>
    <xf numFmtId="0" fontId="17" fillId="0" borderId="16" xfId="0" applyFont="1" applyBorder="1" applyAlignment="1">
      <alignment horizontal="center" vertical="center" wrapText="1"/>
    </xf>
    <xf numFmtId="49" fontId="15" fillId="0" borderId="16" xfId="0" applyNumberFormat="1" applyFont="1" applyBorder="1" applyAlignment="1">
      <alignment horizontal="center" vertical="center" wrapText="1"/>
    </xf>
    <xf numFmtId="0" fontId="15" fillId="16" borderId="37" xfId="0" applyFont="1" applyFill="1" applyBorder="1" applyAlignment="1">
      <alignment horizontal="center" vertical="center" wrapText="1"/>
    </xf>
    <xf numFmtId="0" fontId="15" fillId="16" borderId="20" xfId="0" applyFont="1" applyFill="1" applyBorder="1" applyAlignment="1">
      <alignment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164" fontId="16" fillId="16" borderId="20" xfId="0" applyNumberFormat="1" applyFont="1" applyFill="1" applyBorder="1" applyAlignment="1">
      <alignment horizontal="center" vertical="center" wrapText="1"/>
    </xf>
    <xf numFmtId="0" fontId="15" fillId="16" borderId="20" xfId="0" applyFont="1" applyFill="1" applyBorder="1" applyAlignment="1">
      <alignment horizontal="center" vertical="center" wrapText="1"/>
    </xf>
    <xf numFmtId="0" fontId="17" fillId="16" borderId="20" xfId="0" applyFont="1" applyFill="1" applyBorder="1" applyAlignment="1">
      <alignment horizontal="center" vertical="center" wrapText="1"/>
    </xf>
    <xf numFmtId="49" fontId="15" fillId="16" borderId="21" xfId="0" applyNumberFormat="1" applyFont="1" applyFill="1" applyBorder="1" applyAlignment="1">
      <alignment horizontal="center" vertical="center" wrapText="1"/>
    </xf>
    <xf numFmtId="20" fontId="15" fillId="16" borderId="21" xfId="0" applyNumberFormat="1" applyFont="1" applyFill="1" applyBorder="1" applyAlignment="1">
      <alignment horizontal="center" vertical="center" wrapText="1"/>
    </xf>
    <xf numFmtId="0" fontId="15" fillId="16" borderId="40" xfId="0" applyFont="1" applyFill="1" applyBorder="1" applyAlignment="1">
      <alignment horizontal="center" vertical="center" wrapText="1"/>
    </xf>
    <xf numFmtId="0" fontId="15" fillId="16" borderId="11" xfId="0" applyFont="1" applyFill="1" applyBorder="1" applyAlignment="1">
      <alignment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164" fontId="16" fillId="16" borderId="11" xfId="0" applyNumberFormat="1" applyFont="1" applyFill="1" applyBorder="1" applyAlignment="1">
      <alignment horizontal="center" vertical="center" wrapText="1"/>
    </xf>
    <xf numFmtId="0" fontId="15" fillId="16" borderId="11" xfId="0" applyFont="1" applyFill="1" applyBorder="1" applyAlignment="1">
      <alignment horizontal="center" vertical="center" wrapText="1"/>
    </xf>
    <xf numFmtId="0" fontId="17" fillId="16" borderId="11" xfId="0" applyFont="1" applyFill="1" applyBorder="1" applyAlignment="1">
      <alignment horizontal="center" vertical="center" wrapText="1"/>
    </xf>
    <xf numFmtId="49" fontId="15" fillId="16" borderId="41" xfId="0" applyNumberFormat="1" applyFont="1" applyFill="1" applyBorder="1" applyAlignment="1">
      <alignment horizontal="center" vertical="center" wrapText="1"/>
    </xf>
    <xf numFmtId="20" fontId="15" fillId="16" borderId="41" xfId="0" applyNumberFormat="1" applyFont="1" applyFill="1" applyBorder="1" applyAlignment="1">
      <alignment horizontal="center" vertical="center" wrapText="1"/>
    </xf>
    <xf numFmtId="0" fontId="15" fillId="16" borderId="50" xfId="0" applyFont="1" applyFill="1" applyBorder="1" applyAlignment="1">
      <alignment horizontal="center" vertical="center" wrapText="1"/>
    </xf>
    <xf numFmtId="0" fontId="15" fillId="16" borderId="24" xfId="0" applyFont="1" applyFill="1" applyBorder="1" applyAlignment="1">
      <alignment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164" fontId="16" fillId="16" borderId="24" xfId="0" applyNumberFormat="1" applyFont="1" applyFill="1" applyBorder="1" applyAlignment="1">
      <alignment horizontal="center" vertical="center" wrapText="1"/>
    </xf>
    <xf numFmtId="0" fontId="15" fillId="16" borderId="24" xfId="0" applyFont="1" applyFill="1" applyBorder="1" applyAlignment="1">
      <alignment horizontal="center" vertical="center" wrapText="1"/>
    </xf>
    <xf numFmtId="0" fontId="17" fillId="16" borderId="24" xfId="0" applyFont="1" applyFill="1" applyBorder="1" applyAlignment="1">
      <alignment horizontal="center" vertical="center" wrapText="1"/>
    </xf>
    <xf numFmtId="49" fontId="15" fillId="16" borderId="25" xfId="0" applyNumberFormat="1" applyFont="1" applyFill="1" applyBorder="1" applyAlignment="1">
      <alignment horizontal="center" vertical="center" wrapText="1"/>
    </xf>
    <xf numFmtId="20" fontId="15" fillId="16" borderId="25" xfId="0" applyNumberFormat="1" applyFont="1" applyFill="1" applyBorder="1" applyAlignment="1">
      <alignment horizontal="center" vertical="center" wrapText="1"/>
    </xf>
    <xf numFmtId="0" fontId="15" fillId="17" borderId="9" xfId="0" applyFont="1" applyFill="1" applyBorder="1" applyAlignment="1">
      <alignment horizontal="center" vertical="center" wrapText="1"/>
    </xf>
    <xf numFmtId="0" fontId="15" fillId="17" borderId="26" xfId="0" applyFont="1" applyFill="1" applyBorder="1" applyAlignment="1">
      <alignment horizontal="center" vertical="center" wrapText="1"/>
    </xf>
    <xf numFmtId="0" fontId="15" fillId="17" borderId="13" xfId="0" applyFont="1" applyFill="1" applyBorder="1" applyAlignment="1">
      <alignment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164" fontId="16" fillId="17" borderId="13" xfId="0" applyNumberFormat="1" applyFont="1" applyFill="1" applyBorder="1" applyAlignment="1">
      <alignment horizontal="center" vertical="center" wrapText="1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13" xfId="0" applyNumberFormat="1" applyFont="1" applyFill="1" applyBorder="1" applyAlignment="1">
      <alignment horizontal="left" vertical="center" wrapText="1"/>
    </xf>
    <xf numFmtId="0" fontId="17" fillId="17" borderId="13" xfId="0" applyFont="1" applyFill="1" applyBorder="1" applyAlignment="1">
      <alignment horizontal="center" vertical="center" wrapText="1"/>
    </xf>
    <xf numFmtId="49" fontId="15" fillId="17" borderId="14" xfId="0" applyNumberFormat="1" applyFont="1" applyFill="1" applyBorder="1" applyAlignment="1">
      <alignment horizontal="center" vertical="center" wrapText="1"/>
    </xf>
    <xf numFmtId="20" fontId="15" fillId="17" borderId="14" xfId="0" applyNumberFormat="1" applyFont="1" applyFill="1" applyBorder="1" applyAlignment="1">
      <alignment horizontal="center" vertical="center" wrapText="1"/>
    </xf>
    <xf numFmtId="0" fontId="15" fillId="16" borderId="9" xfId="0" applyFont="1" applyFill="1" applyBorder="1" applyAlignment="1">
      <alignment horizontal="center" vertical="center" wrapText="1"/>
    </xf>
    <xf numFmtId="0" fontId="15" fillId="16" borderId="26" xfId="0" applyFont="1" applyFill="1" applyBorder="1" applyAlignment="1">
      <alignment horizontal="center" vertical="center" wrapText="1"/>
    </xf>
    <xf numFmtId="0" fontId="15" fillId="16" borderId="13" xfId="0" applyFont="1" applyFill="1" applyBorder="1" applyAlignment="1">
      <alignment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164" fontId="16" fillId="16" borderId="13" xfId="0" applyNumberFormat="1" applyFont="1" applyFill="1" applyBorder="1" applyAlignment="1">
      <alignment horizontal="center" vertical="center" wrapText="1"/>
    </xf>
    <xf numFmtId="0" fontId="15" fillId="16" borderId="13" xfId="0" applyFont="1" applyFill="1" applyBorder="1" applyAlignment="1">
      <alignment horizontal="center" vertical="center" wrapText="1"/>
    </xf>
    <xf numFmtId="49" fontId="15" fillId="16" borderId="13" xfId="0" applyNumberFormat="1" applyFont="1" applyFill="1" applyBorder="1" applyAlignment="1">
      <alignment horizontal="left" vertical="center" wrapText="1"/>
    </xf>
    <xf numFmtId="0" fontId="17" fillId="16" borderId="13" xfId="0" applyFont="1" applyFill="1" applyBorder="1" applyAlignment="1">
      <alignment horizontal="center" vertical="center" wrapText="1"/>
    </xf>
    <xf numFmtId="49" fontId="15" fillId="16" borderId="14" xfId="0" applyNumberFormat="1" applyFont="1" applyFill="1" applyBorder="1" applyAlignment="1">
      <alignment horizontal="center" vertical="center" wrapText="1"/>
    </xf>
    <xf numFmtId="20" fontId="15" fillId="16" borderId="14" xfId="0" applyNumberFormat="1" applyFont="1" applyFill="1" applyBorder="1" applyAlignment="1">
      <alignment horizontal="center" vertical="center" wrapText="1"/>
    </xf>
    <xf numFmtId="0" fontId="15" fillId="16" borderId="34" xfId="0" applyFont="1" applyFill="1" applyBorder="1" applyAlignment="1">
      <alignment horizontal="center" vertical="center" wrapText="1"/>
    </xf>
    <xf numFmtId="0" fontId="15" fillId="16" borderId="16" xfId="0" applyFont="1" applyFill="1" applyBorder="1" applyAlignment="1">
      <alignment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164" fontId="16" fillId="16" borderId="16" xfId="0" applyNumberFormat="1" applyFont="1" applyFill="1" applyBorder="1" applyAlignment="1">
      <alignment horizontal="center" vertical="center" wrapText="1"/>
    </xf>
    <xf numFmtId="0" fontId="15" fillId="16" borderId="16" xfId="0" applyFont="1" applyFill="1" applyBorder="1" applyAlignment="1">
      <alignment horizontal="center" vertical="center" wrapText="1"/>
    </xf>
    <xf numFmtId="0" fontId="17" fillId="16" borderId="16" xfId="0" applyFont="1" applyFill="1" applyBorder="1" applyAlignment="1">
      <alignment horizontal="center" vertical="center" wrapText="1"/>
    </xf>
    <xf numFmtId="49" fontId="15" fillId="16" borderId="17" xfId="0" applyNumberFormat="1" applyFont="1" applyFill="1" applyBorder="1" applyAlignment="1">
      <alignment horizontal="center" vertical="center" wrapText="1"/>
    </xf>
    <xf numFmtId="20" fontId="15" fillId="16" borderId="17" xfId="0" applyNumberFormat="1" applyFont="1" applyFill="1" applyBorder="1" applyAlignment="1">
      <alignment horizontal="center" vertical="center" wrapText="1"/>
    </xf>
    <xf numFmtId="0" fontId="15" fillId="17" borderId="37" xfId="0" applyFont="1" applyFill="1" applyBorder="1" applyAlignment="1">
      <alignment horizontal="center" vertical="center" wrapText="1"/>
    </xf>
    <xf numFmtId="0" fontId="15" fillId="17" borderId="20" xfId="0" applyFont="1" applyFill="1" applyBorder="1" applyAlignment="1">
      <alignment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164" fontId="16" fillId="17" borderId="20" xfId="0" applyNumberFormat="1" applyFont="1" applyFill="1" applyBorder="1" applyAlignment="1">
      <alignment horizontal="center" vertical="center" wrapText="1"/>
    </xf>
    <xf numFmtId="0" fontId="15" fillId="17" borderId="20" xfId="0" applyFont="1" applyFill="1" applyBorder="1" applyAlignment="1">
      <alignment horizontal="center" vertical="center" wrapText="1"/>
    </xf>
    <xf numFmtId="49" fontId="15" fillId="17" borderId="20" xfId="0" applyNumberFormat="1" applyFont="1" applyFill="1" applyBorder="1" applyAlignment="1">
      <alignment horizontal="left" vertical="center" wrapText="1"/>
    </xf>
    <xf numFmtId="0" fontId="17" fillId="17" borderId="20" xfId="0" applyFont="1" applyFill="1" applyBorder="1" applyAlignment="1">
      <alignment horizontal="center" vertical="center" wrapText="1"/>
    </xf>
    <xf numFmtId="49" fontId="15" fillId="17" borderId="21" xfId="0" applyNumberFormat="1" applyFont="1" applyFill="1" applyBorder="1" applyAlignment="1">
      <alignment horizontal="center" vertical="center" wrapText="1"/>
    </xf>
    <xf numFmtId="20" fontId="15" fillId="17" borderId="21" xfId="0" applyNumberFormat="1" applyFont="1" applyFill="1" applyBorder="1" applyAlignment="1">
      <alignment horizontal="center" vertical="center" wrapText="1"/>
    </xf>
    <xf numFmtId="0" fontId="15" fillId="17" borderId="40" xfId="0" applyFont="1" applyFill="1" applyBorder="1" applyAlignment="1">
      <alignment horizontal="center" vertical="center" wrapText="1"/>
    </xf>
    <xf numFmtId="0" fontId="15" fillId="17" borderId="11" xfId="0" applyFont="1" applyFill="1" applyBorder="1" applyAlignment="1">
      <alignment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164" fontId="16" fillId="17" borderId="11" xfId="0" applyNumberFormat="1" applyFont="1" applyFill="1" applyBorder="1" applyAlignment="1">
      <alignment horizontal="center" vertical="center" wrapText="1"/>
    </xf>
    <xf numFmtId="0" fontId="15" fillId="17" borderId="11" xfId="0" applyFont="1" applyFill="1" applyBorder="1" applyAlignment="1">
      <alignment horizontal="center" vertical="center" wrapText="1"/>
    </xf>
    <xf numFmtId="49" fontId="15" fillId="17" borderId="11" xfId="0" applyNumberFormat="1" applyFont="1" applyFill="1" applyBorder="1" applyAlignment="1">
      <alignment horizontal="left" vertical="center" wrapText="1"/>
    </xf>
    <xf numFmtId="0" fontId="17" fillId="17" borderId="11" xfId="0" applyFont="1" applyFill="1" applyBorder="1" applyAlignment="1">
      <alignment horizontal="center" vertical="center" wrapText="1"/>
    </xf>
    <xf numFmtId="49" fontId="15" fillId="17" borderId="41" xfId="0" applyNumberFormat="1" applyFont="1" applyFill="1" applyBorder="1" applyAlignment="1">
      <alignment horizontal="center" vertical="center" wrapText="1"/>
    </xf>
    <xf numFmtId="20" fontId="15" fillId="17" borderId="41" xfId="0" applyNumberFormat="1" applyFont="1" applyFill="1" applyBorder="1" applyAlignment="1">
      <alignment horizontal="center" vertical="center" wrapText="1"/>
    </xf>
    <xf numFmtId="49" fontId="15" fillId="16" borderId="20" xfId="0" applyNumberFormat="1" applyFont="1" applyFill="1" applyBorder="1" applyAlignment="1">
      <alignment horizontal="left" vertical="center" wrapText="1"/>
    </xf>
    <xf numFmtId="49" fontId="15" fillId="16" borderId="11" xfId="0" applyNumberFormat="1" applyFont="1" applyFill="1" applyBorder="1" applyAlignment="1">
      <alignment horizontal="left" vertical="center" wrapText="1"/>
    </xf>
    <xf numFmtId="0" fontId="15" fillId="17" borderId="38" xfId="0" applyFont="1" applyFill="1" applyBorder="1" applyAlignment="1">
      <alignment horizontal="center" vertical="center" wrapText="1"/>
    </xf>
    <xf numFmtId="0" fontId="15" fillId="17" borderId="39" xfId="0" applyFont="1" applyFill="1" applyBorder="1" applyAlignment="1">
      <alignment horizontal="center" vertical="center" wrapText="1"/>
    </xf>
    <xf numFmtId="0" fontId="15" fillId="17" borderId="10" xfId="0" applyFont="1" applyFill="1" applyBorder="1" applyAlignment="1">
      <alignment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164" fontId="16" fillId="17" borderId="10" xfId="0" applyNumberFormat="1" applyFont="1" applyFill="1" applyBorder="1" applyAlignment="1">
      <alignment horizontal="center" vertical="center" wrapText="1"/>
    </xf>
    <xf numFmtId="0" fontId="15" fillId="17" borderId="10" xfId="0" applyFont="1" applyFill="1" applyBorder="1" applyAlignment="1">
      <alignment horizontal="center" vertical="center" wrapText="1"/>
    </xf>
    <xf numFmtId="49" fontId="15" fillId="17" borderId="10" xfId="0" applyNumberFormat="1" applyFont="1" applyFill="1" applyBorder="1" applyAlignment="1">
      <alignment horizontal="left" vertical="center" wrapText="1"/>
    </xf>
    <xf numFmtId="0" fontId="17" fillId="17" borderId="10" xfId="0" applyFont="1" applyFill="1" applyBorder="1" applyAlignment="1">
      <alignment horizontal="center" vertical="center" wrapText="1"/>
    </xf>
    <xf numFmtId="49" fontId="15" fillId="17" borderId="27" xfId="0" applyNumberFormat="1" applyFont="1" applyFill="1" applyBorder="1" applyAlignment="1">
      <alignment horizontal="center" vertical="center" wrapText="1"/>
    </xf>
    <xf numFmtId="20" fontId="15" fillId="17" borderId="27" xfId="0" applyNumberFormat="1" applyFont="1" applyFill="1" applyBorder="1" applyAlignment="1">
      <alignment horizontal="center" vertical="center" wrapText="1"/>
    </xf>
    <xf numFmtId="49" fontId="15" fillId="16" borderId="16" xfId="0" applyNumberFormat="1" applyFont="1" applyFill="1" applyBorder="1" applyAlignment="1">
      <alignment horizontal="left" vertical="center" wrapText="1"/>
    </xf>
    <xf numFmtId="49" fontId="15" fillId="16" borderId="24" xfId="0" applyNumberFormat="1" applyFont="1" applyFill="1" applyBorder="1" applyAlignment="1">
      <alignment horizontal="left" vertical="center" wrapText="1"/>
    </xf>
    <xf numFmtId="0" fontId="15" fillId="17" borderId="34" xfId="0" applyFont="1" applyFill="1" applyBorder="1" applyAlignment="1">
      <alignment horizontal="center" vertical="center" wrapText="1"/>
    </xf>
    <xf numFmtId="0" fontId="15" fillId="17" borderId="16" xfId="0" applyFont="1" applyFill="1" applyBorder="1" applyAlignment="1">
      <alignment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164" fontId="16" fillId="17" borderId="16" xfId="0" applyNumberFormat="1" applyFont="1" applyFill="1" applyBorder="1" applyAlignment="1">
      <alignment horizontal="center" vertical="center" wrapText="1"/>
    </xf>
    <xf numFmtId="0" fontId="15" fillId="17" borderId="16" xfId="0" applyFont="1" applyFill="1" applyBorder="1" applyAlignment="1">
      <alignment horizontal="center" vertical="center" wrapText="1"/>
    </xf>
    <xf numFmtId="49" fontId="15" fillId="17" borderId="16" xfId="0" applyNumberFormat="1" applyFont="1" applyFill="1" applyBorder="1" applyAlignment="1">
      <alignment horizontal="left" vertical="center" wrapText="1"/>
    </xf>
    <xf numFmtId="0" fontId="17" fillId="17" borderId="16" xfId="0" applyFont="1" applyFill="1" applyBorder="1" applyAlignment="1">
      <alignment horizontal="center" vertical="center" wrapText="1"/>
    </xf>
    <xf numFmtId="49" fontId="15" fillId="17" borderId="17" xfId="0" applyNumberFormat="1" applyFont="1" applyFill="1" applyBorder="1" applyAlignment="1">
      <alignment horizontal="center" vertical="center" wrapText="1"/>
    </xf>
    <xf numFmtId="20" fontId="15" fillId="17" borderId="17" xfId="0" applyNumberFormat="1" applyFont="1" applyFill="1" applyBorder="1" applyAlignment="1">
      <alignment horizontal="center" vertical="center" wrapText="1"/>
    </xf>
    <xf numFmtId="0" fontId="15" fillId="16" borderId="38" xfId="0" applyFont="1" applyFill="1" applyBorder="1" applyAlignment="1">
      <alignment horizontal="center" vertical="center" wrapText="1"/>
    </xf>
    <xf numFmtId="0" fontId="15" fillId="16" borderId="39" xfId="0" applyFont="1" applyFill="1" applyBorder="1" applyAlignment="1">
      <alignment horizontal="center" vertical="center" wrapText="1"/>
    </xf>
    <xf numFmtId="0" fontId="15" fillId="16" borderId="10" xfId="0" applyFont="1" applyFill="1" applyBorder="1" applyAlignment="1">
      <alignment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164" fontId="16" fillId="16" borderId="10" xfId="0" applyNumberFormat="1" applyFont="1" applyFill="1" applyBorder="1" applyAlignment="1">
      <alignment horizontal="center" vertical="center" wrapText="1"/>
    </xf>
    <xf numFmtId="0" fontId="15" fillId="16" borderId="10" xfId="0" applyFont="1" applyFill="1" applyBorder="1" applyAlignment="1">
      <alignment horizontal="center" vertical="center" wrapText="1"/>
    </xf>
    <xf numFmtId="49" fontId="15" fillId="16" borderId="10" xfId="0" applyNumberFormat="1" applyFont="1" applyFill="1" applyBorder="1" applyAlignment="1">
      <alignment horizontal="left" vertical="center" wrapText="1"/>
    </xf>
    <xf numFmtId="0" fontId="17" fillId="16" borderId="10" xfId="0" applyFont="1" applyFill="1" applyBorder="1" applyAlignment="1">
      <alignment horizontal="center" vertical="center" wrapText="1"/>
    </xf>
    <xf numFmtId="49" fontId="15" fillId="16" borderId="27" xfId="0" applyNumberFormat="1" applyFont="1" applyFill="1" applyBorder="1" applyAlignment="1">
      <alignment horizontal="center" vertical="center" wrapText="1"/>
    </xf>
    <xf numFmtId="20" fontId="15" fillId="16" borderId="27" xfId="0" applyNumberFormat="1" applyFont="1" applyFill="1" applyBorder="1" applyAlignment="1">
      <alignment horizontal="center" vertical="center" wrapText="1"/>
    </xf>
    <xf numFmtId="0" fontId="15" fillId="17" borderId="36" xfId="0" applyFont="1" applyFill="1" applyBorder="1" applyAlignment="1">
      <alignment horizontal="center" vertical="center" wrapText="1"/>
    </xf>
    <xf numFmtId="0" fontId="15" fillId="17" borderId="18" xfId="0" applyFont="1" applyFill="1" applyBorder="1" applyAlignment="1">
      <alignment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164" fontId="16" fillId="17" borderId="18" xfId="0" applyNumberFormat="1" applyFont="1" applyFill="1" applyBorder="1" applyAlignment="1">
      <alignment horizontal="center" vertical="center" wrapText="1"/>
    </xf>
    <xf numFmtId="0" fontId="15" fillId="17" borderId="18" xfId="0" applyFont="1" applyFill="1" applyBorder="1" applyAlignment="1">
      <alignment horizontal="center" vertical="center" wrapText="1"/>
    </xf>
    <xf numFmtId="0" fontId="17" fillId="17" borderId="18" xfId="0" applyFont="1" applyFill="1" applyBorder="1" applyAlignment="1">
      <alignment horizontal="center" vertical="center" wrapText="1"/>
    </xf>
    <xf numFmtId="49" fontId="15" fillId="17" borderId="19" xfId="0" applyNumberFormat="1" applyFont="1" applyFill="1" applyBorder="1" applyAlignment="1">
      <alignment horizontal="center" vertical="center" wrapText="1"/>
    </xf>
    <xf numFmtId="20" fontId="15" fillId="17" borderId="19" xfId="0" applyNumberFormat="1" applyFont="1" applyFill="1" applyBorder="1" applyAlignment="1">
      <alignment horizontal="center" vertical="center" wrapText="1"/>
    </xf>
    <xf numFmtId="0" fontId="15" fillId="17" borderId="50" xfId="0" applyFont="1" applyFill="1" applyBorder="1" applyAlignment="1">
      <alignment horizontal="center" vertical="center" wrapText="1"/>
    </xf>
    <xf numFmtId="0" fontId="15" fillId="17" borderId="24" xfId="0" applyFont="1" applyFill="1" applyBorder="1" applyAlignment="1">
      <alignment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164" fontId="16" fillId="17" borderId="24" xfId="0" applyNumberFormat="1" applyFont="1" applyFill="1" applyBorder="1" applyAlignment="1">
      <alignment horizontal="center" vertical="center" wrapText="1"/>
    </xf>
    <xf numFmtId="0" fontId="15" fillId="17" borderId="24" xfId="0" applyFont="1" applyFill="1" applyBorder="1" applyAlignment="1">
      <alignment horizontal="center" vertical="center" wrapText="1"/>
    </xf>
    <xf numFmtId="49" fontId="15" fillId="17" borderId="24" xfId="0" applyNumberFormat="1" applyFont="1" applyFill="1" applyBorder="1" applyAlignment="1">
      <alignment horizontal="left" vertical="center" wrapText="1"/>
    </xf>
    <xf numFmtId="0" fontId="17" fillId="17" borderId="24" xfId="0" applyFont="1" applyFill="1" applyBorder="1" applyAlignment="1">
      <alignment horizontal="center" vertical="center" wrapText="1"/>
    </xf>
    <xf numFmtId="49" fontId="15" fillId="17" borderId="25" xfId="0" applyNumberFormat="1" applyFont="1" applyFill="1" applyBorder="1" applyAlignment="1">
      <alignment horizontal="center" vertical="center" wrapText="1"/>
    </xf>
    <xf numFmtId="20" fontId="15" fillId="17" borderId="25" xfId="0" applyNumberFormat="1" applyFont="1" applyFill="1" applyBorder="1" applyAlignment="1">
      <alignment horizontal="center" vertical="center" wrapText="1"/>
    </xf>
    <xf numFmtId="164" fontId="20" fillId="17" borderId="10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6" fillId="16" borderId="16" xfId="0" applyNumberFormat="1" applyFont="1" applyFill="1" applyBorder="1" applyAlignment="1">
      <alignment horizontal="center" vertical="center" wrapText="1"/>
    </xf>
    <xf numFmtId="2" fontId="16" fillId="17" borderId="16" xfId="0" applyNumberFormat="1" applyFont="1" applyFill="1" applyBorder="1" applyAlignment="1">
      <alignment horizontal="center" vertical="center" wrapText="1"/>
    </xf>
    <xf numFmtId="0" fontId="15" fillId="16" borderId="48" xfId="0" applyFont="1" applyFill="1" applyBorder="1" applyAlignment="1">
      <alignment horizontal="center" vertical="center" wrapText="1"/>
    </xf>
    <xf numFmtId="0" fontId="15" fillId="16" borderId="1" xfId="0" applyFont="1" applyFill="1" applyBorder="1" applyAlignment="1">
      <alignment horizontal="center" vertical="center" wrapText="1"/>
    </xf>
    <xf numFmtId="0" fontId="15" fillId="16" borderId="1" xfId="0" applyFont="1" applyFill="1" applyBorder="1" applyAlignment="1">
      <alignment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164" fontId="16" fillId="16" borderId="1" xfId="0" applyNumberFormat="1" applyFont="1" applyFill="1" applyBorder="1" applyAlignment="1">
      <alignment horizontal="center" vertical="center" wrapText="1"/>
    </xf>
    <xf numFmtId="0" fontId="17" fillId="16" borderId="1" xfId="0" applyFont="1" applyFill="1" applyBorder="1" applyAlignment="1">
      <alignment horizontal="center" vertical="center" wrapText="1"/>
    </xf>
    <xf numFmtId="0" fontId="15" fillId="16" borderId="32" xfId="0" applyFont="1" applyFill="1" applyBorder="1" applyAlignment="1">
      <alignment horizontal="center" vertical="center" wrapText="1"/>
    </xf>
    <xf numFmtId="49" fontId="15" fillId="16" borderId="22" xfId="0" applyNumberFormat="1" applyFont="1" applyFill="1" applyBorder="1" applyAlignment="1">
      <alignment horizontal="center" vertical="center" wrapText="1"/>
    </xf>
    <xf numFmtId="0" fontId="15" fillId="16" borderId="15" xfId="0" applyFont="1" applyFill="1" applyBorder="1" applyAlignment="1">
      <alignment horizontal="center" vertical="center" wrapText="1"/>
    </xf>
    <xf numFmtId="20" fontId="15" fillId="16" borderId="22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2" fontId="16" fillId="16" borderId="11" xfId="0" applyNumberFormat="1" applyFont="1" applyFill="1" applyBorder="1" applyAlignment="1">
      <alignment horizontal="center" vertical="center" wrapText="1"/>
    </xf>
    <xf numFmtId="0" fontId="15" fillId="17" borderId="43" xfId="0" applyFont="1" applyFill="1" applyBorder="1" applyAlignment="1">
      <alignment horizontal="center" vertical="center" wrapText="1"/>
    </xf>
    <xf numFmtId="0" fontId="15" fillId="17" borderId="1" xfId="0" applyFont="1" applyFill="1" applyBorder="1" applyAlignment="1">
      <alignment horizontal="center" vertical="center" wrapText="1"/>
    </xf>
    <xf numFmtId="0" fontId="15" fillId="17" borderId="1" xfId="0" applyFont="1" applyFill="1" applyBorder="1" applyAlignment="1">
      <alignment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164" fontId="16" fillId="17" borderId="1" xfId="0" applyNumberFormat="1" applyFont="1" applyFill="1" applyBorder="1" applyAlignment="1">
      <alignment horizontal="center" vertical="center" wrapText="1"/>
    </xf>
    <xf numFmtId="49" fontId="15" fillId="17" borderId="1" xfId="0" applyNumberFormat="1" applyFont="1" applyFill="1" applyBorder="1" applyAlignment="1">
      <alignment horizontal="left" vertical="center" wrapText="1"/>
    </xf>
    <xf numFmtId="0" fontId="17" fillId="17" borderId="1" xfId="0" applyFont="1" applyFill="1" applyBorder="1" applyAlignment="1">
      <alignment horizontal="center" vertical="center" wrapText="1"/>
    </xf>
    <xf numFmtId="0" fontId="15" fillId="16" borderId="36" xfId="0" applyFont="1" applyFill="1" applyBorder="1" applyAlignment="1">
      <alignment horizontal="center" vertical="center" wrapText="1"/>
    </xf>
    <xf numFmtId="0" fontId="15" fillId="16" borderId="18" xfId="0" applyFont="1" applyFill="1" applyBorder="1" applyAlignment="1">
      <alignment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164" fontId="16" fillId="16" borderId="18" xfId="0" applyNumberFormat="1" applyFont="1" applyFill="1" applyBorder="1" applyAlignment="1">
      <alignment horizontal="center" vertical="center" wrapText="1"/>
    </xf>
    <xf numFmtId="0" fontId="15" fillId="16" borderId="18" xfId="0" applyFont="1" applyFill="1" applyBorder="1" applyAlignment="1">
      <alignment horizontal="center" vertical="center" wrapText="1"/>
    </xf>
    <xf numFmtId="49" fontId="15" fillId="16" borderId="18" xfId="0" applyNumberFormat="1" applyFont="1" applyFill="1" applyBorder="1" applyAlignment="1">
      <alignment horizontal="left" vertical="center" wrapText="1"/>
    </xf>
    <xf numFmtId="0" fontId="17" fillId="16" borderId="18" xfId="0" applyFont="1" applyFill="1" applyBorder="1" applyAlignment="1">
      <alignment horizontal="center" vertical="center" wrapText="1"/>
    </xf>
    <xf numFmtId="49" fontId="15" fillId="16" borderId="19" xfId="0" applyNumberFormat="1" applyFont="1" applyFill="1" applyBorder="1" applyAlignment="1">
      <alignment horizontal="center" vertical="center" wrapText="1"/>
    </xf>
    <xf numFmtId="20" fontId="15" fillId="16" borderId="19" xfId="0" applyNumberFormat="1" applyFont="1" applyFill="1" applyBorder="1" applyAlignment="1">
      <alignment horizontal="center" vertical="center" wrapText="1"/>
    </xf>
    <xf numFmtId="0" fontId="15" fillId="17" borderId="35" xfId="0" applyFont="1" applyFill="1" applyBorder="1" applyAlignment="1">
      <alignment horizontal="center" vertical="center" wrapText="1"/>
    </xf>
    <xf numFmtId="49" fontId="15" fillId="17" borderId="22" xfId="0" applyNumberFormat="1" applyFont="1" applyFill="1" applyBorder="1" applyAlignment="1">
      <alignment horizontal="center" vertical="center" wrapText="1"/>
    </xf>
    <xf numFmtId="20" fontId="15" fillId="17" borderId="22" xfId="0" applyNumberFormat="1" applyFont="1" applyFill="1" applyBorder="1" applyAlignment="1">
      <alignment horizontal="center" vertical="center" wrapText="1"/>
    </xf>
    <xf numFmtId="49" fontId="15" fillId="17" borderId="18" xfId="0" applyNumberFormat="1" applyFont="1" applyFill="1" applyBorder="1" applyAlignment="1">
      <alignment horizontal="left" vertical="center" wrapText="1"/>
    </xf>
    <xf numFmtId="0" fontId="15" fillId="17" borderId="68" xfId="0" applyFont="1" applyFill="1" applyBorder="1" applyAlignment="1">
      <alignment horizontal="center" vertical="center" wrapText="1"/>
    </xf>
    <xf numFmtId="0" fontId="15" fillId="17" borderId="69" xfId="0" applyFont="1" applyFill="1" applyBorder="1" applyAlignment="1">
      <alignment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164" fontId="16" fillId="17" borderId="69" xfId="0" applyNumberFormat="1" applyFont="1" applyFill="1" applyBorder="1" applyAlignment="1">
      <alignment horizontal="center" vertical="center" wrapText="1"/>
    </xf>
    <xf numFmtId="0" fontId="15" fillId="17" borderId="69" xfId="0" applyFont="1" applyFill="1" applyBorder="1" applyAlignment="1">
      <alignment horizontal="center" vertical="center" wrapText="1"/>
    </xf>
    <xf numFmtId="49" fontId="15" fillId="17" borderId="69" xfId="0" applyNumberFormat="1" applyFont="1" applyFill="1" applyBorder="1" applyAlignment="1">
      <alignment horizontal="left" vertical="center" wrapText="1"/>
    </xf>
    <xf numFmtId="0" fontId="17" fillId="17" borderId="69" xfId="0" applyFont="1" applyFill="1" applyBorder="1" applyAlignment="1">
      <alignment horizontal="center" vertical="center" wrapText="1"/>
    </xf>
    <xf numFmtId="49" fontId="15" fillId="17" borderId="70" xfId="0" applyNumberFormat="1" applyFont="1" applyFill="1" applyBorder="1" applyAlignment="1">
      <alignment horizontal="center" vertical="center" wrapText="1"/>
    </xf>
    <xf numFmtId="20" fontId="15" fillId="17" borderId="70" xfId="0" applyNumberFormat="1" applyFont="1" applyFill="1" applyBorder="1" applyAlignment="1">
      <alignment horizontal="center" vertical="center" wrapText="1"/>
    </xf>
    <xf numFmtId="0" fontId="15" fillId="16" borderId="68" xfId="0" applyFont="1" applyFill="1" applyBorder="1" applyAlignment="1">
      <alignment horizontal="center" vertical="center" wrapText="1"/>
    </xf>
    <xf numFmtId="0" fontId="15" fillId="16" borderId="69" xfId="0" applyFont="1" applyFill="1" applyBorder="1" applyAlignment="1">
      <alignment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164" fontId="16" fillId="16" borderId="69" xfId="0" applyNumberFormat="1" applyFont="1" applyFill="1" applyBorder="1" applyAlignment="1">
      <alignment horizontal="center" vertical="center" wrapText="1"/>
    </xf>
    <xf numFmtId="0" fontId="15" fillId="16" borderId="69" xfId="0" applyFont="1" applyFill="1" applyBorder="1" applyAlignment="1">
      <alignment horizontal="center" vertical="center" wrapText="1"/>
    </xf>
    <xf numFmtId="49" fontId="15" fillId="16" borderId="69" xfId="0" applyNumberFormat="1" applyFont="1" applyFill="1" applyBorder="1" applyAlignment="1">
      <alignment horizontal="left" vertical="center" wrapText="1"/>
    </xf>
    <xf numFmtId="0" fontId="17" fillId="16" borderId="69" xfId="0" applyFont="1" applyFill="1" applyBorder="1" applyAlignment="1">
      <alignment horizontal="center" vertical="center" wrapText="1"/>
    </xf>
    <xf numFmtId="49" fontId="15" fillId="16" borderId="70" xfId="0" applyNumberFormat="1" applyFont="1" applyFill="1" applyBorder="1" applyAlignment="1">
      <alignment horizontal="center" vertical="center" wrapText="1"/>
    </xf>
    <xf numFmtId="20" fontId="15" fillId="16" borderId="70" xfId="0" applyNumberFormat="1" applyFont="1" applyFill="1" applyBorder="1" applyAlignment="1">
      <alignment horizontal="center" vertical="center" wrapText="1"/>
    </xf>
    <xf numFmtId="0" fontId="15" fillId="17" borderId="26" xfId="0" applyFont="1" applyFill="1" applyBorder="1" applyAlignment="1">
      <alignment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6" fillId="17" borderId="69" xfId="0" applyNumberFormat="1" applyFont="1" applyFill="1" applyBorder="1" applyAlignment="1">
      <alignment horizontal="center" vertical="center" wrapText="1"/>
    </xf>
    <xf numFmtId="2" fontId="16" fillId="16" borderId="69" xfId="0" applyNumberFormat="1" applyFont="1" applyFill="1" applyBorder="1" applyAlignment="1">
      <alignment horizontal="center" vertical="center" wrapText="1"/>
    </xf>
    <xf numFmtId="0" fontId="15" fillId="17" borderId="25" xfId="0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165" fontId="16" fillId="16" borderId="69" xfId="0" applyNumberFormat="1" applyFont="1" applyFill="1" applyBorder="1" applyAlignment="1">
      <alignment horizontal="center" vertical="center" wrapText="1"/>
    </xf>
    <xf numFmtId="0" fontId="15" fillId="40" borderId="9" xfId="0" applyFont="1" applyFill="1" applyBorder="1" applyAlignment="1">
      <alignment horizontal="center" vertical="center" wrapText="1"/>
    </xf>
    <xf numFmtId="0" fontId="15" fillId="40" borderId="26" xfId="0" applyFont="1" applyFill="1" applyBorder="1" applyAlignment="1">
      <alignment horizontal="center" vertical="center" wrapText="1"/>
    </xf>
    <xf numFmtId="0" fontId="15" fillId="40" borderId="13" xfId="0" applyFont="1" applyFill="1" applyBorder="1" applyAlignment="1">
      <alignment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164" fontId="16" fillId="40" borderId="13" xfId="0" applyNumberFormat="1" applyFont="1" applyFill="1" applyBorder="1" applyAlignment="1">
      <alignment horizontal="center" vertical="center" wrapText="1"/>
    </xf>
    <xf numFmtId="0" fontId="15" fillId="40" borderId="13" xfId="0" applyFont="1" applyFill="1" applyBorder="1" applyAlignment="1">
      <alignment horizontal="center" vertical="center" wrapText="1"/>
    </xf>
    <xf numFmtId="49" fontId="15" fillId="40" borderId="13" xfId="0" applyNumberFormat="1" applyFont="1" applyFill="1" applyBorder="1" applyAlignment="1">
      <alignment horizontal="left" vertical="center" wrapText="1"/>
    </xf>
    <xf numFmtId="0" fontId="17" fillId="40" borderId="13" xfId="0" applyFont="1" applyFill="1" applyBorder="1" applyAlignment="1">
      <alignment horizontal="center" vertical="center" wrapText="1"/>
    </xf>
    <xf numFmtId="49" fontId="15" fillId="40" borderId="14" xfId="0" applyNumberFormat="1" applyFont="1" applyFill="1" applyBorder="1" applyAlignment="1">
      <alignment horizontal="center" vertical="center" wrapText="1"/>
    </xf>
    <xf numFmtId="20" fontId="15" fillId="40" borderId="14" xfId="0" applyNumberFormat="1" applyFont="1" applyFill="1" applyBorder="1" applyAlignment="1">
      <alignment horizontal="center" vertical="center" wrapText="1"/>
    </xf>
    <xf numFmtId="0" fontId="15" fillId="16" borderId="49" xfId="0" applyFont="1" applyFill="1" applyBorder="1" applyAlignment="1">
      <alignment horizontal="center" vertical="center" wrapText="1"/>
    </xf>
    <xf numFmtId="49" fontId="15" fillId="16" borderId="69" xfId="0" applyNumberFormat="1" applyFont="1" applyFill="1" applyBorder="1" applyAlignment="1">
      <alignment horizontal="center" vertical="center" wrapText="1"/>
    </xf>
    <xf numFmtId="49" fontId="15" fillId="16" borderId="13" xfId="0" applyNumberFormat="1" applyFont="1" applyFill="1" applyBorder="1" applyAlignment="1">
      <alignment horizontal="center" vertical="center" wrapText="1"/>
    </xf>
    <xf numFmtId="0" fontId="15" fillId="16" borderId="67" xfId="0" applyFont="1" applyFill="1" applyBorder="1" applyAlignment="1">
      <alignment horizontal="center" vertical="center" wrapText="1"/>
    </xf>
    <xf numFmtId="0" fontId="15" fillId="0" borderId="16" xfId="0" applyFont="1" applyBorder="1" applyAlignment="1">
      <alignment horizontal="center" vertical="center" wrapText="1"/>
    </xf>
    <xf numFmtId="49" fontId="15" fillId="17" borderId="17" xfId="0" applyNumberFormat="1" applyFont="1" applyFill="1" applyBorder="1" applyAlignment="1">
      <alignment horizontal="left" vertical="center" wrapText="1"/>
    </xf>
    <xf numFmtId="0" fontId="15" fillId="41" borderId="16" xfId="0" applyFont="1" applyFill="1" applyBorder="1" applyAlignment="1">
      <alignment horizontal="center" vertical="center" wrapText="1"/>
    </xf>
    <xf numFmtId="0" fontId="15" fillId="41" borderId="16" xfId="0" applyFont="1" applyFill="1" applyBorder="1" applyAlignment="1">
      <alignment vertical="center" wrapText="1"/>
    </xf>
    <xf numFmtId="164" fontId="15" fillId="41" borderId="16" xfId="0" applyNumberFormat="1" applyFont="1" applyFill="1" applyBorder="1" applyAlignment="1">
      <alignment horizontal="center" vertical="center" wrapText="1"/>
    </xf>
    <xf numFmtId="164" fontId="16" fillId="41" borderId="16" xfId="0" applyNumberFormat="1" applyFont="1" applyFill="1" applyBorder="1" applyAlignment="1">
      <alignment horizontal="center" vertical="center" wrapText="1"/>
    </xf>
    <xf numFmtId="49" fontId="15" fillId="41" borderId="16" xfId="0" applyNumberFormat="1" applyFont="1" applyFill="1" applyBorder="1" applyAlignment="1">
      <alignment horizontal="left" vertical="center" wrapText="1"/>
    </xf>
    <xf numFmtId="0" fontId="17" fillId="41" borderId="16" xfId="0" applyFont="1" applyFill="1" applyBorder="1" applyAlignment="1">
      <alignment horizontal="center" vertical="center" wrapText="1"/>
    </xf>
    <xf numFmtId="49" fontId="15" fillId="41" borderId="16" xfId="0" applyNumberFormat="1" applyFont="1" applyFill="1" applyBorder="1" applyAlignment="1">
      <alignment horizontal="center" vertical="center" wrapText="1"/>
    </xf>
    <xf numFmtId="17" fontId="15" fillId="41" borderId="16" xfId="0" applyNumberFormat="1" applyFont="1" applyFill="1" applyBorder="1" applyAlignment="1">
      <alignment horizontal="center" vertical="center" wrapText="1"/>
    </xf>
    <xf numFmtId="49" fontId="15" fillId="16" borderId="16" xfId="0" applyNumberFormat="1" applyFont="1" applyFill="1" applyBorder="1" applyAlignment="1">
      <alignment horizontal="center" vertical="center" wrapText="1"/>
    </xf>
    <xf numFmtId="0" fontId="15" fillId="42" borderId="16" xfId="0" applyFont="1" applyFill="1" applyBorder="1" applyAlignment="1">
      <alignment horizontal="center" vertical="center" wrapText="1"/>
    </xf>
    <xf numFmtId="0" fontId="15" fillId="42" borderId="16" xfId="0" applyFont="1" applyFill="1" applyBorder="1" applyAlignment="1">
      <alignment vertical="center" wrapText="1"/>
    </xf>
    <xf numFmtId="164" fontId="15" fillId="42" borderId="16" xfId="0" applyNumberFormat="1" applyFont="1" applyFill="1" applyBorder="1" applyAlignment="1">
      <alignment horizontal="center" vertical="center" wrapText="1"/>
    </xf>
    <xf numFmtId="164" fontId="16" fillId="42" borderId="16" xfId="0" applyNumberFormat="1" applyFont="1" applyFill="1" applyBorder="1" applyAlignment="1">
      <alignment horizontal="center" vertical="center" wrapText="1"/>
    </xf>
    <xf numFmtId="49" fontId="15" fillId="42" borderId="16" xfId="0" applyNumberFormat="1" applyFont="1" applyFill="1" applyBorder="1" applyAlignment="1">
      <alignment horizontal="left" vertical="center" wrapText="1"/>
    </xf>
    <xf numFmtId="0" fontId="17" fillId="42" borderId="16" xfId="0" applyFont="1" applyFill="1" applyBorder="1" applyAlignment="1">
      <alignment horizontal="center" vertical="center" wrapText="1"/>
    </xf>
    <xf numFmtId="49" fontId="15" fillId="42" borderId="16" xfId="0" applyNumberFormat="1" applyFont="1" applyFill="1" applyBorder="1" applyAlignment="1">
      <alignment horizontal="center" vertical="center" wrapText="1"/>
    </xf>
    <xf numFmtId="17" fontId="15" fillId="0" borderId="16" xfId="0" applyNumberFormat="1" applyFont="1" applyBorder="1" applyAlignment="1">
      <alignment horizontal="center" vertical="center" wrapText="1"/>
    </xf>
    <xf numFmtId="0" fontId="15" fillId="43" borderId="16" xfId="0" applyFont="1" applyFill="1" applyBorder="1" applyAlignment="1">
      <alignment horizontal="center" vertical="center" wrapText="1"/>
    </xf>
    <xf numFmtId="0" fontId="40" fillId="43" borderId="16" xfId="0" applyFont="1" applyFill="1" applyBorder="1" applyAlignment="1">
      <alignment horizontal="center" vertical="center" wrapText="1"/>
    </xf>
    <xf numFmtId="0" fontId="41" fillId="0" borderId="16" xfId="0" applyFont="1" applyBorder="1" applyAlignment="1">
      <alignment horizontal="center" vertical="center" wrapText="1"/>
    </xf>
    <xf numFmtId="0" fontId="41" fillId="0" borderId="16" xfId="0" applyFont="1" applyBorder="1" applyAlignment="1">
      <alignment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left" vertical="center" wrapText="1"/>
    </xf>
    <xf numFmtId="0" fontId="42" fillId="0" borderId="16" xfId="0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 wrapText="1"/>
    </xf>
    <xf numFmtId="0" fontId="40" fillId="0" borderId="16" xfId="0" applyFont="1" applyBorder="1" applyAlignment="1">
      <alignment vertical="center" wrapText="1"/>
    </xf>
    <xf numFmtId="164" fontId="40" fillId="0" borderId="16" xfId="0" applyNumberFormat="1" applyFont="1" applyBorder="1" applyAlignment="1">
      <alignment horizontal="center" vertical="center" wrapText="1"/>
    </xf>
    <xf numFmtId="164" fontId="43" fillId="0" borderId="16" xfId="0" applyNumberFormat="1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left" vertical="center" wrapText="1"/>
    </xf>
    <xf numFmtId="0" fontId="43" fillId="0" borderId="16" xfId="0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center" vertical="center" wrapText="1"/>
    </xf>
    <xf numFmtId="0" fontId="15" fillId="41" borderId="24" xfId="0" applyFont="1" applyFill="1" applyBorder="1" applyAlignment="1">
      <alignment horizontal="center" vertical="center" wrapText="1"/>
    </xf>
    <xf numFmtId="0" fontId="15" fillId="41" borderId="24" xfId="0" applyFont="1" applyFill="1" applyBorder="1" applyAlignment="1">
      <alignment vertical="center" wrapText="1"/>
    </xf>
    <xf numFmtId="164" fontId="15" fillId="41" borderId="24" xfId="0" applyNumberFormat="1" applyFont="1" applyFill="1" applyBorder="1" applyAlignment="1">
      <alignment horizontal="center" vertical="center" wrapText="1"/>
    </xf>
    <xf numFmtId="164" fontId="16" fillId="41" borderId="24" xfId="0" applyNumberFormat="1" applyFont="1" applyFill="1" applyBorder="1" applyAlignment="1">
      <alignment horizontal="center" vertical="center" wrapText="1"/>
    </xf>
    <xf numFmtId="49" fontId="15" fillId="41" borderId="24" xfId="0" applyNumberFormat="1" applyFont="1" applyFill="1" applyBorder="1" applyAlignment="1">
      <alignment horizontal="left" vertical="center" wrapText="1"/>
    </xf>
    <xf numFmtId="0" fontId="17" fillId="41" borderId="24" xfId="0" applyFont="1" applyFill="1" applyBorder="1" applyAlignment="1">
      <alignment horizontal="center" vertical="center" wrapText="1"/>
    </xf>
    <xf numFmtId="49" fontId="15" fillId="41" borderId="24" xfId="0" applyNumberFormat="1" applyFont="1" applyFill="1" applyBorder="1" applyAlignment="1">
      <alignment horizontal="center" vertical="center" wrapText="1"/>
    </xf>
    <xf numFmtId="0" fontId="15" fillId="41" borderId="9" xfId="0" applyFont="1" applyFill="1" applyBorder="1" applyAlignment="1">
      <alignment horizontal="center" vertical="center" wrapText="1"/>
    </xf>
    <xf numFmtId="0" fontId="15" fillId="41" borderId="26" xfId="0" applyFont="1" applyFill="1" applyBorder="1" applyAlignment="1">
      <alignment horizontal="center" vertical="center" wrapText="1"/>
    </xf>
    <xf numFmtId="0" fontId="15" fillId="41" borderId="13" xfId="0" applyFont="1" applyFill="1" applyBorder="1" applyAlignment="1">
      <alignment vertical="center" wrapText="1"/>
    </xf>
    <xf numFmtId="164" fontId="15" fillId="41" borderId="13" xfId="0" applyNumberFormat="1" applyFont="1" applyFill="1" applyBorder="1" applyAlignment="1">
      <alignment horizontal="center" vertical="center" wrapText="1"/>
    </xf>
    <xf numFmtId="164" fontId="16" fillId="41" borderId="13" xfId="0" applyNumberFormat="1" applyFont="1" applyFill="1" applyBorder="1" applyAlignment="1">
      <alignment horizontal="center" vertical="center" wrapText="1"/>
    </xf>
    <xf numFmtId="0" fontId="15" fillId="41" borderId="13" xfId="0" applyFont="1" applyFill="1" applyBorder="1" applyAlignment="1">
      <alignment horizontal="center" vertical="center" wrapText="1"/>
    </xf>
    <xf numFmtId="49" fontId="15" fillId="41" borderId="13" xfId="0" applyNumberFormat="1" applyFont="1" applyFill="1" applyBorder="1" applyAlignment="1">
      <alignment horizontal="left" vertical="center" wrapText="1"/>
    </xf>
    <xf numFmtId="0" fontId="17" fillId="41" borderId="13" xfId="0" applyFont="1" applyFill="1" applyBorder="1" applyAlignment="1">
      <alignment horizontal="center" vertical="center" wrapText="1"/>
    </xf>
    <xf numFmtId="49" fontId="15" fillId="41" borderId="14" xfId="0" applyNumberFormat="1" applyFont="1" applyFill="1" applyBorder="1" applyAlignment="1">
      <alignment horizontal="center" vertical="center" wrapText="1"/>
    </xf>
    <xf numFmtId="20" fontId="15" fillId="41" borderId="14" xfId="0" applyNumberFormat="1" applyFont="1" applyFill="1" applyBorder="1" applyAlignment="1">
      <alignment horizontal="center" vertical="center" wrapText="1"/>
    </xf>
    <xf numFmtId="0" fontId="15" fillId="41" borderId="37" xfId="0" applyFont="1" applyFill="1" applyBorder="1" applyAlignment="1">
      <alignment horizontal="center" vertical="center" wrapText="1"/>
    </xf>
    <xf numFmtId="0" fontId="15" fillId="41" borderId="20" xfId="0" applyFont="1" applyFill="1" applyBorder="1" applyAlignment="1">
      <alignment vertical="center" wrapText="1"/>
    </xf>
    <xf numFmtId="164" fontId="15" fillId="41" borderId="20" xfId="0" applyNumberFormat="1" applyFont="1" applyFill="1" applyBorder="1" applyAlignment="1">
      <alignment horizontal="center" vertical="center" wrapText="1"/>
    </xf>
    <xf numFmtId="164" fontId="16" fillId="41" borderId="20" xfId="0" applyNumberFormat="1" applyFont="1" applyFill="1" applyBorder="1" applyAlignment="1">
      <alignment horizontal="center" vertical="center" wrapText="1"/>
    </xf>
    <xf numFmtId="0" fontId="15" fillId="41" borderId="20" xfId="0" applyFont="1" applyFill="1" applyBorder="1" applyAlignment="1">
      <alignment horizontal="center" vertical="center" wrapText="1"/>
    </xf>
    <xf numFmtId="49" fontId="15" fillId="41" borderId="20" xfId="0" applyNumberFormat="1" applyFont="1" applyFill="1" applyBorder="1" applyAlignment="1">
      <alignment horizontal="left" vertical="center" wrapText="1"/>
    </xf>
    <xf numFmtId="0" fontId="17" fillId="41" borderId="20" xfId="0" applyFont="1" applyFill="1" applyBorder="1" applyAlignment="1">
      <alignment horizontal="center" vertical="center" wrapText="1"/>
    </xf>
    <xf numFmtId="49" fontId="15" fillId="41" borderId="21" xfId="0" applyNumberFormat="1" applyFont="1" applyFill="1" applyBorder="1" applyAlignment="1">
      <alignment horizontal="center" vertical="center" wrapText="1"/>
    </xf>
    <xf numFmtId="20" fontId="15" fillId="41" borderId="21" xfId="0" applyNumberFormat="1" applyFont="1" applyFill="1" applyBorder="1" applyAlignment="1">
      <alignment horizontal="center" vertical="center" wrapText="1"/>
    </xf>
    <xf numFmtId="0" fontId="15" fillId="41" borderId="34" xfId="0" applyFont="1" applyFill="1" applyBorder="1" applyAlignment="1">
      <alignment horizontal="center" vertical="center" wrapText="1"/>
    </xf>
    <xf numFmtId="49" fontId="15" fillId="41" borderId="17" xfId="0" applyNumberFormat="1" applyFont="1" applyFill="1" applyBorder="1" applyAlignment="1">
      <alignment horizontal="center" vertical="center" wrapText="1"/>
    </xf>
    <xf numFmtId="20" fontId="15" fillId="41" borderId="17" xfId="0" applyNumberFormat="1" applyFont="1" applyFill="1" applyBorder="1" applyAlignment="1">
      <alignment horizontal="center" vertical="center" wrapText="1"/>
    </xf>
    <xf numFmtId="0" fontId="15" fillId="41" borderId="68" xfId="0" applyFont="1" applyFill="1" applyBorder="1" applyAlignment="1">
      <alignment horizontal="center" vertical="center" wrapText="1"/>
    </xf>
    <xf numFmtId="0" fontId="15" fillId="41" borderId="69" xfId="0" applyFont="1" applyFill="1" applyBorder="1" applyAlignment="1">
      <alignment vertical="center" wrapText="1"/>
    </xf>
    <xf numFmtId="164" fontId="15" fillId="41" borderId="69" xfId="0" applyNumberFormat="1" applyFont="1" applyFill="1" applyBorder="1" applyAlignment="1">
      <alignment horizontal="center" vertical="center" wrapText="1"/>
    </xf>
    <xf numFmtId="164" fontId="16" fillId="41" borderId="69" xfId="0" applyNumberFormat="1" applyFont="1" applyFill="1" applyBorder="1" applyAlignment="1">
      <alignment horizontal="center" vertical="center" wrapText="1"/>
    </xf>
    <xf numFmtId="0" fontId="15" fillId="41" borderId="69" xfId="0" applyFont="1" applyFill="1" applyBorder="1" applyAlignment="1">
      <alignment horizontal="center" vertical="center" wrapText="1"/>
    </xf>
    <xf numFmtId="49" fontId="15" fillId="41" borderId="69" xfId="0" applyNumberFormat="1" applyFont="1" applyFill="1" applyBorder="1" applyAlignment="1">
      <alignment horizontal="left" vertical="center" wrapText="1"/>
    </xf>
    <xf numFmtId="0" fontId="17" fillId="41" borderId="69" xfId="0" applyFont="1" applyFill="1" applyBorder="1" applyAlignment="1">
      <alignment horizontal="center" vertical="center" wrapText="1"/>
    </xf>
    <xf numFmtId="49" fontId="15" fillId="41" borderId="70" xfId="0" applyNumberFormat="1" applyFont="1" applyFill="1" applyBorder="1" applyAlignment="1">
      <alignment horizontal="center" vertical="center" wrapText="1"/>
    </xf>
    <xf numFmtId="20" fontId="15" fillId="41" borderId="70" xfId="0" applyNumberFormat="1" applyFont="1" applyFill="1" applyBorder="1" applyAlignment="1">
      <alignment horizontal="center" vertical="center" wrapText="1"/>
    </xf>
    <xf numFmtId="0" fontId="15" fillId="17" borderId="67" xfId="0" applyFont="1" applyFill="1" applyBorder="1" applyAlignment="1">
      <alignment horizontal="center" vertical="center" wrapText="1"/>
    </xf>
    <xf numFmtId="0" fontId="15" fillId="40" borderId="37" xfId="0" applyFont="1" applyFill="1" applyBorder="1" applyAlignment="1">
      <alignment horizontal="center" vertical="center" wrapText="1"/>
    </xf>
    <xf numFmtId="0" fontId="15" fillId="40" borderId="20" xfId="0" applyFont="1" applyFill="1" applyBorder="1" applyAlignment="1">
      <alignment vertical="center" wrapText="1"/>
    </xf>
    <xf numFmtId="164" fontId="15" fillId="40" borderId="20" xfId="0" applyNumberFormat="1" applyFont="1" applyFill="1" applyBorder="1" applyAlignment="1">
      <alignment horizontal="center" vertical="center" wrapText="1"/>
    </xf>
    <xf numFmtId="164" fontId="16" fillId="40" borderId="20" xfId="0" applyNumberFormat="1" applyFont="1" applyFill="1" applyBorder="1" applyAlignment="1">
      <alignment horizontal="center" vertical="center" wrapText="1"/>
    </xf>
    <xf numFmtId="0" fontId="15" fillId="40" borderId="20" xfId="0" applyFont="1" applyFill="1" applyBorder="1" applyAlignment="1">
      <alignment horizontal="center" vertical="center" wrapText="1"/>
    </xf>
    <xf numFmtId="49" fontId="15" fillId="40" borderId="21" xfId="0" applyNumberFormat="1" applyFont="1" applyFill="1" applyBorder="1" applyAlignment="1">
      <alignment horizontal="center" vertical="center" wrapText="1"/>
    </xf>
    <xf numFmtId="20" fontId="15" fillId="40" borderId="21" xfId="0" applyNumberFormat="1" applyFont="1" applyFill="1" applyBorder="1" applyAlignment="1">
      <alignment horizontal="center" vertical="center" wrapText="1"/>
    </xf>
    <xf numFmtId="49" fontId="15" fillId="40" borderId="10" xfId="0" applyNumberFormat="1" applyFont="1" applyFill="1" applyBorder="1" applyAlignment="1">
      <alignment horizontal="left" vertical="center" wrapText="1"/>
    </xf>
    <xf numFmtId="0" fontId="44" fillId="0" borderId="0" xfId="0" applyFont="1" applyAlignment="1">
      <alignment vertical="center" wrapText="1"/>
    </xf>
    <xf numFmtId="0" fontId="15" fillId="17" borderId="32" xfId="0" applyFont="1" applyFill="1" applyBorder="1" applyAlignment="1">
      <alignment horizontal="center" vertical="center" wrapText="1"/>
    </xf>
    <xf numFmtId="0" fontId="15" fillId="17" borderId="47" xfId="0" applyFont="1" applyFill="1" applyBorder="1" applyAlignment="1">
      <alignment horizontal="center" vertical="center" wrapText="1"/>
    </xf>
    <xf numFmtId="0" fontId="15" fillId="17" borderId="17" xfId="0" applyFont="1" applyFill="1" applyBorder="1" applyAlignment="1">
      <alignment horizontal="center" vertical="center" wrapText="1"/>
    </xf>
    <xf numFmtId="0" fontId="15" fillId="17" borderId="23" xfId="0" applyFont="1" applyFill="1" applyBorder="1" applyAlignment="1">
      <alignment horizontal="center" vertical="center" wrapText="1"/>
    </xf>
    <xf numFmtId="0" fontId="15" fillId="16" borderId="71" xfId="0" applyFont="1" applyFill="1" applyBorder="1" applyAlignment="1">
      <alignment horizontal="center" vertical="center" wrapText="1"/>
    </xf>
    <xf numFmtId="0" fontId="15" fillId="16" borderId="71" xfId="0" applyFont="1" applyFill="1" applyBorder="1" applyAlignment="1">
      <alignment vertical="center" wrapText="1"/>
    </xf>
    <xf numFmtId="164" fontId="15" fillId="16" borderId="71" xfId="0" applyNumberFormat="1" applyFont="1" applyFill="1" applyBorder="1" applyAlignment="1">
      <alignment horizontal="center" vertical="center" wrapText="1"/>
    </xf>
    <xf numFmtId="164" fontId="16" fillId="16" borderId="71" xfId="0" applyNumberFormat="1" applyFont="1" applyFill="1" applyBorder="1" applyAlignment="1">
      <alignment horizontal="center" vertical="center" wrapText="1"/>
    </xf>
    <xf numFmtId="49" fontId="15" fillId="16" borderId="71" xfId="0" applyNumberFormat="1" applyFont="1" applyFill="1" applyBorder="1" applyAlignment="1">
      <alignment horizontal="left" vertical="center" wrapText="1"/>
    </xf>
    <xf numFmtId="0" fontId="17" fillId="16" borderId="71" xfId="0" applyFont="1" applyFill="1" applyBorder="1" applyAlignment="1">
      <alignment horizontal="center" vertical="center" wrapText="1"/>
    </xf>
    <xf numFmtId="0" fontId="15" fillId="16" borderId="77" xfId="0" applyFont="1" applyFill="1" applyBorder="1" applyAlignment="1">
      <alignment horizontal="center" vertical="center" wrapText="1"/>
    </xf>
    <xf numFmtId="20" fontId="15" fillId="16" borderId="78" xfId="0" applyNumberFormat="1" applyFont="1" applyFill="1" applyBorder="1" applyAlignment="1">
      <alignment horizontal="center" vertical="center" wrapText="1"/>
    </xf>
    <xf numFmtId="0" fontId="15" fillId="16" borderId="79" xfId="0" applyFont="1" applyFill="1" applyBorder="1" applyAlignment="1">
      <alignment horizontal="center" vertical="center" wrapText="1"/>
    </xf>
    <xf numFmtId="0" fontId="15" fillId="16" borderId="72" xfId="0" applyFont="1" applyFill="1" applyBorder="1" applyAlignment="1">
      <alignment vertical="center" wrapText="1"/>
    </xf>
    <xf numFmtId="164" fontId="15" fillId="16" borderId="72" xfId="0" applyNumberFormat="1" applyFont="1" applyFill="1" applyBorder="1" applyAlignment="1">
      <alignment horizontal="center" vertical="center" wrapText="1"/>
    </xf>
    <xf numFmtId="164" fontId="16" fillId="16" borderId="72" xfId="0" applyNumberFormat="1" applyFont="1" applyFill="1" applyBorder="1" applyAlignment="1">
      <alignment horizontal="center" vertical="center" wrapText="1"/>
    </xf>
    <xf numFmtId="0" fontId="15" fillId="16" borderId="72" xfId="0" applyFont="1" applyFill="1" applyBorder="1" applyAlignment="1">
      <alignment horizontal="center" vertical="center" wrapText="1"/>
    </xf>
    <xf numFmtId="49" fontId="15" fillId="16" borderId="72" xfId="0" applyNumberFormat="1" applyFont="1" applyFill="1" applyBorder="1" applyAlignment="1">
      <alignment horizontal="left" vertical="center" wrapText="1"/>
    </xf>
    <xf numFmtId="0" fontId="17" fillId="16" borderId="72" xfId="0" applyFont="1" applyFill="1" applyBorder="1" applyAlignment="1">
      <alignment horizontal="center" vertical="center" wrapText="1"/>
    </xf>
    <xf numFmtId="20" fontId="15" fillId="16" borderId="80" xfId="0" applyNumberFormat="1" applyFont="1" applyFill="1" applyBorder="1" applyAlignment="1">
      <alignment horizontal="center" vertical="center" wrapText="1"/>
    </xf>
    <xf numFmtId="49" fontId="15" fillId="16" borderId="78" xfId="0" applyNumberFormat="1" applyFont="1" applyFill="1" applyBorder="1" applyAlignment="1">
      <alignment horizontal="center" vertical="center" wrapText="1"/>
    </xf>
    <xf numFmtId="49" fontId="15" fillId="16" borderId="80" xfId="0" applyNumberFormat="1" applyFont="1" applyFill="1" applyBorder="1" applyAlignment="1">
      <alignment horizontal="center" vertical="center" wrapText="1"/>
    </xf>
    <xf numFmtId="0" fontId="15" fillId="17" borderId="16" xfId="0" applyFont="1" applyFill="1" applyBorder="1" applyAlignment="1">
      <alignment horizontal="left" vertical="center" wrapText="1"/>
    </xf>
    <xf numFmtId="0" fontId="17" fillId="17" borderId="71" xfId="0" applyFont="1" applyFill="1" applyBorder="1" applyAlignment="1">
      <alignment horizontal="center" vertical="center" wrapText="1"/>
    </xf>
    <xf numFmtId="0" fontId="44" fillId="43" borderId="0" xfId="0" applyFont="1" applyFill="1" applyAlignment="1">
      <alignment vertical="center" wrapText="1"/>
    </xf>
    <xf numFmtId="20" fontId="15" fillId="17" borderId="80" xfId="0" applyNumberFormat="1" applyFont="1" applyFill="1" applyBorder="1" applyAlignment="1">
      <alignment horizontal="center" vertical="center" wrapText="1"/>
    </xf>
    <xf numFmtId="0" fontId="45" fillId="17" borderId="79" xfId="0" applyFont="1" applyFill="1" applyBorder="1" applyAlignment="1">
      <alignment horizontal="center" vertical="center" wrapText="1"/>
    </xf>
    <xf numFmtId="0" fontId="45" fillId="17" borderId="72" xfId="0" applyFont="1" applyFill="1" applyBorder="1" applyAlignment="1">
      <alignment vertical="center" wrapText="1"/>
    </xf>
    <xf numFmtId="164" fontId="45" fillId="17" borderId="72" xfId="0" applyNumberFormat="1" applyFont="1" applyFill="1" applyBorder="1" applyAlignment="1">
      <alignment horizontal="center" vertical="center" wrapText="1"/>
    </xf>
    <xf numFmtId="0" fontId="45" fillId="17" borderId="72" xfId="0" applyFont="1" applyFill="1" applyBorder="1" applyAlignment="1">
      <alignment horizontal="center" vertical="center" wrapText="1"/>
    </xf>
    <xf numFmtId="49" fontId="45" fillId="17" borderId="72" xfId="0" applyNumberFormat="1" applyFont="1" applyFill="1" applyBorder="1" applyAlignment="1">
      <alignment horizontal="left" vertical="center" wrapText="1"/>
    </xf>
    <xf numFmtId="49" fontId="45" fillId="17" borderId="80" xfId="0" applyNumberFormat="1" applyFont="1" applyFill="1" applyBorder="1" applyAlignment="1">
      <alignment horizontal="center" vertical="center" wrapText="1"/>
    </xf>
    <xf numFmtId="0" fontId="15" fillId="16" borderId="83" xfId="0" applyFont="1" applyFill="1" applyBorder="1" applyAlignment="1">
      <alignment horizontal="center" vertical="center" wrapText="1"/>
    </xf>
    <xf numFmtId="0" fontId="45" fillId="16" borderId="23" xfId="0" applyFont="1" applyFill="1" applyBorder="1" applyAlignment="1">
      <alignment horizontal="center" vertical="center" wrapText="1"/>
    </xf>
    <xf numFmtId="0" fontId="45" fillId="16" borderId="24" xfId="0" applyFont="1" applyFill="1" applyBorder="1" applyAlignment="1">
      <alignment vertical="center" wrapText="1"/>
    </xf>
    <xf numFmtId="164" fontId="45" fillId="16" borderId="24" xfId="0" applyNumberFormat="1" applyFont="1" applyFill="1" applyBorder="1" applyAlignment="1">
      <alignment horizontal="center" vertical="center" wrapText="1"/>
    </xf>
    <xf numFmtId="0" fontId="45" fillId="16" borderId="24" xfId="0" applyFont="1" applyFill="1" applyBorder="1" applyAlignment="1">
      <alignment horizontal="center" vertical="center" wrapText="1"/>
    </xf>
    <xf numFmtId="49" fontId="45" fillId="16" borderId="24" xfId="0" applyNumberFormat="1" applyFont="1" applyFill="1" applyBorder="1" applyAlignment="1">
      <alignment horizontal="left" vertical="center" wrapText="1"/>
    </xf>
    <xf numFmtId="49" fontId="45" fillId="16" borderId="25" xfId="0" applyNumberFormat="1" applyFont="1" applyFill="1" applyBorder="1" applyAlignment="1">
      <alignment horizontal="center" vertical="center" wrapText="1"/>
    </xf>
    <xf numFmtId="0" fontId="45" fillId="17" borderId="85" xfId="0" applyFont="1" applyFill="1" applyBorder="1" applyAlignment="1">
      <alignment horizontal="center" vertical="center" wrapText="1"/>
    </xf>
    <xf numFmtId="0" fontId="45" fillId="17" borderId="86" xfId="0" applyFont="1" applyFill="1" applyBorder="1" applyAlignment="1">
      <alignment vertical="center" wrapText="1"/>
    </xf>
    <xf numFmtId="164" fontId="45" fillId="17" borderId="86" xfId="0" applyNumberFormat="1" applyFont="1" applyFill="1" applyBorder="1" applyAlignment="1">
      <alignment horizontal="center" vertical="center" wrapText="1"/>
    </xf>
    <xf numFmtId="0" fontId="45" fillId="17" borderId="86" xfId="0" applyFont="1" applyFill="1" applyBorder="1" applyAlignment="1">
      <alignment horizontal="center" vertical="center" wrapText="1"/>
    </xf>
    <xf numFmtId="49" fontId="45" fillId="17" borderId="86" xfId="0" applyNumberFormat="1" applyFont="1" applyFill="1" applyBorder="1" applyAlignment="1">
      <alignment horizontal="left" vertical="center" wrapText="1"/>
    </xf>
    <xf numFmtId="49" fontId="45" fillId="17" borderId="87" xfId="0" applyNumberFormat="1" applyFont="1" applyFill="1" applyBorder="1" applyAlignment="1">
      <alignment horizontal="center" vertical="center" wrapText="1"/>
    </xf>
    <xf numFmtId="20" fontId="15" fillId="17" borderId="87" xfId="0" applyNumberFormat="1" applyFont="1" applyFill="1" applyBorder="1" applyAlignment="1">
      <alignment horizontal="center" vertical="center" wrapText="1"/>
    </xf>
    <xf numFmtId="0" fontId="45" fillId="16" borderId="79" xfId="0" applyFont="1" applyFill="1" applyBorder="1" applyAlignment="1">
      <alignment horizontal="center" vertical="center" wrapText="1"/>
    </xf>
    <xf numFmtId="0" fontId="45" fillId="16" borderId="72" xfId="0" applyFont="1" applyFill="1" applyBorder="1" applyAlignment="1">
      <alignment vertical="center" wrapText="1"/>
    </xf>
    <xf numFmtId="164" fontId="45" fillId="16" borderId="72" xfId="0" applyNumberFormat="1" applyFont="1" applyFill="1" applyBorder="1" applyAlignment="1">
      <alignment horizontal="center" vertical="center" wrapText="1"/>
    </xf>
    <xf numFmtId="0" fontId="45" fillId="16" borderId="72" xfId="0" applyFont="1" applyFill="1" applyBorder="1" applyAlignment="1">
      <alignment horizontal="center" vertical="center" wrapText="1"/>
    </xf>
    <xf numFmtId="49" fontId="45" fillId="16" borderId="72" xfId="0" applyNumberFormat="1" applyFont="1" applyFill="1" applyBorder="1" applyAlignment="1">
      <alignment horizontal="left" vertical="center" wrapText="1"/>
    </xf>
    <xf numFmtId="49" fontId="45" fillId="16" borderId="80" xfId="0" applyNumberFormat="1" applyFont="1" applyFill="1" applyBorder="1" applyAlignment="1">
      <alignment horizontal="center" vertical="center" wrapText="1"/>
    </xf>
    <xf numFmtId="20" fontId="15" fillId="17" borderId="78" xfId="0" applyNumberFormat="1" applyFont="1" applyFill="1" applyBorder="1" applyAlignment="1">
      <alignment horizontal="center" vertical="center" wrapText="1"/>
    </xf>
    <xf numFmtId="0" fontId="15" fillId="17" borderId="88" xfId="0" applyFont="1" applyFill="1" applyBorder="1" applyAlignment="1">
      <alignment horizontal="center" vertical="center" wrapText="1"/>
    </xf>
    <xf numFmtId="0" fontId="45" fillId="17" borderId="77" xfId="0" applyFont="1" applyFill="1" applyBorder="1" applyAlignment="1">
      <alignment horizontal="center" vertical="center" wrapText="1"/>
    </xf>
    <xf numFmtId="0" fontId="45" fillId="17" borderId="71" xfId="0" applyFont="1" applyFill="1" applyBorder="1" applyAlignment="1">
      <alignment vertical="center" wrapText="1"/>
    </xf>
    <xf numFmtId="164" fontId="45" fillId="17" borderId="71" xfId="0" applyNumberFormat="1" applyFont="1" applyFill="1" applyBorder="1" applyAlignment="1">
      <alignment horizontal="center" vertical="center" wrapText="1"/>
    </xf>
    <xf numFmtId="0" fontId="45" fillId="17" borderId="71" xfId="0" applyFont="1" applyFill="1" applyBorder="1" applyAlignment="1">
      <alignment horizontal="center" vertical="center" wrapText="1"/>
    </xf>
    <xf numFmtId="49" fontId="45" fillId="17" borderId="71" xfId="0" applyNumberFormat="1" applyFont="1" applyFill="1" applyBorder="1" applyAlignment="1">
      <alignment horizontal="left" vertical="center" wrapText="1"/>
    </xf>
    <xf numFmtId="49" fontId="45" fillId="17" borderId="78" xfId="0" applyNumberFormat="1" applyFont="1" applyFill="1" applyBorder="1" applyAlignment="1">
      <alignment horizontal="center" vertical="center" wrapText="1"/>
    </xf>
    <xf numFmtId="0" fontId="15" fillId="17" borderId="71" xfId="0" applyFont="1" applyFill="1" applyBorder="1" applyAlignment="1">
      <alignment horizontal="center" vertical="center" wrapText="1"/>
    </xf>
    <xf numFmtId="0" fontId="15" fillId="17" borderId="71" xfId="0" applyFont="1" applyFill="1" applyBorder="1" applyAlignment="1">
      <alignment vertical="center" wrapText="1"/>
    </xf>
    <xf numFmtId="164" fontId="15" fillId="17" borderId="71" xfId="0" applyNumberFormat="1" applyFont="1" applyFill="1" applyBorder="1" applyAlignment="1">
      <alignment horizontal="center" vertical="center" wrapText="1"/>
    </xf>
    <xf numFmtId="164" fontId="16" fillId="17" borderId="71" xfId="0" applyNumberFormat="1" applyFont="1" applyFill="1" applyBorder="1" applyAlignment="1">
      <alignment horizontal="center" vertical="center" wrapText="1"/>
    </xf>
    <xf numFmtId="49" fontId="15" fillId="17" borderId="71" xfId="0" applyNumberFormat="1" applyFont="1" applyFill="1" applyBorder="1" applyAlignment="1">
      <alignment horizontal="left" vertical="center" wrapText="1"/>
    </xf>
    <xf numFmtId="0" fontId="15" fillId="17" borderId="77" xfId="0" applyFont="1" applyFill="1" applyBorder="1" applyAlignment="1">
      <alignment horizontal="center" vertical="center" wrapText="1"/>
    </xf>
    <xf numFmtId="49" fontId="15" fillId="17" borderId="78" xfId="0" applyNumberFormat="1" applyFont="1" applyFill="1" applyBorder="1" applyAlignment="1">
      <alignment horizontal="center" vertical="center" wrapText="1"/>
    </xf>
    <xf numFmtId="0" fontId="45" fillId="17" borderId="88" xfId="0" applyFont="1" applyFill="1" applyBorder="1" applyAlignment="1">
      <alignment horizontal="center" vertical="center" wrapText="1"/>
    </xf>
    <xf numFmtId="0" fontId="45" fillId="17" borderId="69" xfId="0" applyFont="1" applyFill="1" applyBorder="1" applyAlignment="1">
      <alignment vertical="center" wrapText="1"/>
    </xf>
    <xf numFmtId="164" fontId="45" fillId="17" borderId="69" xfId="0" applyNumberFormat="1" applyFont="1" applyFill="1" applyBorder="1" applyAlignment="1">
      <alignment horizontal="center" vertical="center" wrapText="1"/>
    </xf>
    <xf numFmtId="0" fontId="45" fillId="17" borderId="69" xfId="0" applyFont="1" applyFill="1" applyBorder="1" applyAlignment="1">
      <alignment horizontal="center" vertical="center" wrapText="1"/>
    </xf>
    <xf numFmtId="49" fontId="45" fillId="17" borderId="69" xfId="0" applyNumberFormat="1" applyFont="1" applyFill="1" applyBorder="1" applyAlignment="1">
      <alignment horizontal="left" vertical="center" wrapText="1"/>
    </xf>
    <xf numFmtId="49" fontId="45" fillId="17" borderId="70" xfId="0" applyNumberFormat="1" applyFont="1" applyFill="1" applyBorder="1" applyAlignment="1">
      <alignment horizontal="center" vertical="center" wrapText="1"/>
    </xf>
    <xf numFmtId="0" fontId="45" fillId="17" borderId="68" xfId="0" applyFont="1" applyFill="1" applyBorder="1" applyAlignment="1">
      <alignment horizontal="center" vertical="center" wrapText="1"/>
    </xf>
    <xf numFmtId="0" fontId="15" fillId="0" borderId="0" xfId="0" applyFont="1" applyAlignment="1">
      <alignment vertical="center"/>
    </xf>
    <xf numFmtId="0" fontId="44" fillId="0" borderId="0" xfId="0" applyFont="1" applyAlignment="1">
      <alignment horizontal="left" vertical="center"/>
    </xf>
    <xf numFmtId="166" fontId="44" fillId="0" borderId="0" xfId="0" applyNumberFormat="1" applyFont="1" applyAlignment="1">
      <alignment horizontal="right" vertical="center"/>
    </xf>
    <xf numFmtId="0" fontId="45" fillId="17" borderId="50" xfId="0" applyFont="1" applyFill="1" applyBorder="1" applyAlignment="1">
      <alignment horizontal="center" vertical="center" wrapText="1"/>
    </xf>
    <xf numFmtId="0" fontId="45" fillId="17" borderId="24" xfId="0" applyFont="1" applyFill="1" applyBorder="1" applyAlignment="1">
      <alignment vertical="center" wrapText="1"/>
    </xf>
    <xf numFmtId="164" fontId="45" fillId="17" borderId="24" xfId="0" applyNumberFormat="1" applyFont="1" applyFill="1" applyBorder="1" applyAlignment="1">
      <alignment horizontal="center" vertical="center" wrapText="1"/>
    </xf>
    <xf numFmtId="0" fontId="45" fillId="17" borderId="24" xfId="0" applyFont="1" applyFill="1" applyBorder="1" applyAlignment="1">
      <alignment horizontal="center" vertical="center" wrapText="1"/>
    </xf>
    <xf numFmtId="49" fontId="45" fillId="17" borderId="25" xfId="0" applyNumberFormat="1" applyFont="1" applyFill="1" applyBorder="1" applyAlignment="1">
      <alignment horizontal="center" vertical="center" wrapText="1"/>
    </xf>
    <xf numFmtId="0" fontId="45" fillId="16" borderId="85" xfId="0" applyFont="1" applyFill="1" applyBorder="1" applyAlignment="1">
      <alignment horizontal="center" vertical="center" wrapText="1"/>
    </xf>
    <xf numFmtId="0" fontId="45" fillId="16" borderId="86" xfId="0" applyFont="1" applyFill="1" applyBorder="1" applyAlignment="1">
      <alignment vertical="center" wrapText="1"/>
    </xf>
    <xf numFmtId="164" fontId="45" fillId="16" borderId="86" xfId="0" applyNumberFormat="1" applyFont="1" applyFill="1" applyBorder="1" applyAlignment="1">
      <alignment horizontal="center" vertical="center" wrapText="1"/>
    </xf>
    <xf numFmtId="0" fontId="45" fillId="16" borderId="86" xfId="0" applyFont="1" applyFill="1" applyBorder="1" applyAlignment="1">
      <alignment horizontal="center" vertical="center" wrapText="1"/>
    </xf>
    <xf numFmtId="49" fontId="45" fillId="16" borderId="87" xfId="0" applyNumberFormat="1" applyFont="1" applyFill="1" applyBorder="1" applyAlignment="1">
      <alignment horizontal="center" vertical="center" wrapText="1"/>
    </xf>
    <xf numFmtId="20" fontId="15" fillId="16" borderId="87" xfId="0" applyNumberFormat="1" applyFont="1" applyFill="1" applyBorder="1" applyAlignment="1">
      <alignment horizontal="center" vertical="center" wrapText="1"/>
    </xf>
    <xf numFmtId="166" fontId="44" fillId="0" borderId="0" xfId="0" applyNumberFormat="1" applyFont="1" applyAlignment="1">
      <alignment horizontal="left" vertical="center"/>
    </xf>
    <xf numFmtId="0" fontId="45" fillId="17" borderId="42" xfId="0" applyFont="1" applyFill="1" applyBorder="1" applyAlignment="1">
      <alignment horizontal="center" vertical="center" wrapText="1"/>
    </xf>
    <xf numFmtId="0" fontId="15" fillId="17" borderId="83" xfId="0" applyFont="1" applyFill="1" applyBorder="1" applyAlignment="1">
      <alignment horizontal="center" vertical="center" wrapText="1"/>
    </xf>
    <xf numFmtId="49" fontId="45" fillId="17" borderId="24" xfId="0" applyNumberFormat="1" applyFont="1" applyFill="1" applyBorder="1" applyAlignment="1">
      <alignment horizontal="left" vertical="center" wrapText="1"/>
    </xf>
    <xf numFmtId="49" fontId="45" fillId="16" borderId="86" xfId="0" applyNumberFormat="1" applyFont="1" applyFill="1" applyBorder="1" applyAlignment="1">
      <alignment horizontal="left" vertical="center" wrapText="1"/>
    </xf>
    <xf numFmtId="0" fontId="45" fillId="17" borderId="23" xfId="0" applyFont="1" applyFill="1" applyBorder="1" applyAlignment="1">
      <alignment horizontal="center" vertical="center" wrapText="1"/>
    </xf>
    <xf numFmtId="0" fontId="45" fillId="16" borderId="88" xfId="0" applyFont="1" applyFill="1" applyBorder="1" applyAlignment="1">
      <alignment horizontal="center" vertical="center" wrapText="1"/>
    </xf>
    <xf numFmtId="0" fontId="45" fillId="16" borderId="69" xfId="0" applyFont="1" applyFill="1" applyBorder="1" applyAlignment="1">
      <alignment vertical="center" wrapText="1"/>
    </xf>
    <xf numFmtId="164" fontId="45" fillId="16" borderId="69" xfId="0" applyNumberFormat="1" applyFont="1" applyFill="1" applyBorder="1" applyAlignment="1">
      <alignment horizontal="center" vertical="center" wrapText="1"/>
    </xf>
    <xf numFmtId="0" fontId="45" fillId="16" borderId="69" xfId="0" applyFont="1" applyFill="1" applyBorder="1" applyAlignment="1">
      <alignment horizontal="center" vertical="center" wrapText="1"/>
    </xf>
    <xf numFmtId="49" fontId="45" fillId="16" borderId="69" xfId="0" applyNumberFormat="1" applyFont="1" applyFill="1" applyBorder="1" applyAlignment="1">
      <alignment horizontal="left" vertical="center" wrapText="1"/>
    </xf>
    <xf numFmtId="49" fontId="45" fillId="16" borderId="70" xfId="0" applyNumberFormat="1" applyFont="1" applyFill="1" applyBorder="1" applyAlignment="1">
      <alignment horizontal="center" vertical="center" wrapText="1"/>
    </xf>
    <xf numFmtId="0" fontId="45" fillId="16" borderId="68" xfId="0" applyFont="1" applyFill="1" applyBorder="1" applyAlignment="1">
      <alignment horizontal="center" vertical="center" wrapText="1"/>
    </xf>
    <xf numFmtId="0" fontId="45" fillId="16" borderId="71" xfId="0" applyFont="1" applyFill="1" applyBorder="1" applyAlignment="1">
      <alignment horizontal="center" vertical="center" wrapText="1"/>
    </xf>
    <xf numFmtId="0" fontId="45" fillId="16" borderId="71" xfId="0" applyFont="1" applyFill="1" applyBorder="1" applyAlignment="1">
      <alignment vertical="center" wrapText="1"/>
    </xf>
    <xf numFmtId="164" fontId="45" fillId="16" borderId="71" xfId="0" applyNumberFormat="1" applyFont="1" applyFill="1" applyBorder="1" applyAlignment="1">
      <alignment horizontal="center" vertical="center" wrapText="1"/>
    </xf>
    <xf numFmtId="49" fontId="45" fillId="16" borderId="71" xfId="0" applyNumberFormat="1" applyFont="1" applyFill="1" applyBorder="1" applyAlignment="1">
      <alignment horizontal="left" vertical="center" wrapText="1"/>
    </xf>
    <xf numFmtId="0" fontId="45" fillId="16" borderId="77" xfId="0" applyFont="1" applyFill="1" applyBorder="1" applyAlignment="1">
      <alignment horizontal="center" vertical="center" wrapText="1"/>
    </xf>
    <xf numFmtId="49" fontId="45" fillId="16" borderId="78" xfId="0" applyNumberFormat="1" applyFont="1" applyFill="1" applyBorder="1" applyAlignment="1">
      <alignment horizontal="center" vertical="center" wrapText="1"/>
    </xf>
    <xf numFmtId="0" fontId="15" fillId="16" borderId="47" xfId="0" applyFont="1" applyFill="1" applyBorder="1" applyAlignment="1">
      <alignment horizontal="center" vertical="center" wrapText="1"/>
    </xf>
    <xf numFmtId="0" fontId="44" fillId="0" borderId="0" xfId="0" applyFont="1" applyAlignment="1">
      <alignment horizontal="left" vertical="center" wrapText="1"/>
    </xf>
    <xf numFmtId="49" fontId="15" fillId="16" borderId="14" xfId="0" applyNumberFormat="1" applyFont="1" applyFill="1" applyBorder="1" applyAlignment="1">
      <alignment horizontal="left" vertical="center" wrapText="1"/>
    </xf>
    <xf numFmtId="0" fontId="15" fillId="17" borderId="81" xfId="0" applyFont="1" applyFill="1" applyBorder="1" applyAlignment="1">
      <alignment horizontal="center" vertical="center" wrapText="1"/>
    </xf>
    <xf numFmtId="0" fontId="15" fillId="17" borderId="72" xfId="0" applyFont="1" applyFill="1" applyBorder="1" applyAlignment="1">
      <alignment vertical="center" wrapText="1"/>
    </xf>
    <xf numFmtId="164" fontId="15" fillId="17" borderId="72" xfId="0" applyNumberFormat="1" applyFont="1" applyFill="1" applyBorder="1" applyAlignment="1">
      <alignment horizontal="center" vertical="center" wrapText="1"/>
    </xf>
    <xf numFmtId="164" fontId="16" fillId="17" borderId="72" xfId="0" applyNumberFormat="1" applyFont="1" applyFill="1" applyBorder="1" applyAlignment="1">
      <alignment horizontal="center" vertical="center" wrapText="1"/>
    </xf>
    <xf numFmtId="0" fontId="15" fillId="17" borderId="72" xfId="0" applyFont="1" applyFill="1" applyBorder="1" applyAlignment="1">
      <alignment horizontal="center" vertical="center" wrapText="1"/>
    </xf>
    <xf numFmtId="49" fontId="15" fillId="17" borderId="72" xfId="0" applyNumberFormat="1" applyFont="1" applyFill="1" applyBorder="1" applyAlignment="1">
      <alignment horizontal="left" vertical="center" wrapText="1"/>
    </xf>
    <xf numFmtId="0" fontId="17" fillId="17" borderId="72" xfId="0" applyFont="1" applyFill="1" applyBorder="1" applyAlignment="1">
      <alignment horizontal="center" vertical="center" wrapText="1"/>
    </xf>
    <xf numFmtId="49" fontId="15" fillId="17" borderId="80" xfId="0" applyNumberFormat="1" applyFont="1" applyFill="1" applyBorder="1" applyAlignment="1">
      <alignment horizontal="center" vertical="center" wrapText="1"/>
    </xf>
    <xf numFmtId="0" fontId="45" fillId="17" borderId="81" xfId="0" applyFont="1" applyFill="1" applyBorder="1" applyAlignment="1">
      <alignment horizontal="center" vertical="center" wrapText="1"/>
    </xf>
    <xf numFmtId="0" fontId="15" fillId="16" borderId="42" xfId="0" applyFont="1" applyFill="1" applyBorder="1" applyAlignment="1">
      <alignment horizontal="center" vertical="center" wrapText="1"/>
    </xf>
    <xf numFmtId="0" fontId="15" fillId="16" borderId="86" xfId="0" applyFont="1" applyFill="1" applyBorder="1" applyAlignment="1">
      <alignment vertical="center" wrapText="1"/>
    </xf>
    <xf numFmtId="164" fontId="15" fillId="16" borderId="86" xfId="0" applyNumberFormat="1" applyFont="1" applyFill="1" applyBorder="1" applyAlignment="1">
      <alignment horizontal="center" vertical="center" wrapText="1"/>
    </xf>
    <xf numFmtId="164" fontId="16" fillId="16" borderId="86" xfId="0" applyNumberFormat="1" applyFont="1" applyFill="1" applyBorder="1" applyAlignment="1">
      <alignment horizontal="center" vertical="center" wrapText="1"/>
    </xf>
    <xf numFmtId="0" fontId="15" fillId="16" borderId="86" xfId="0" applyFont="1" applyFill="1" applyBorder="1" applyAlignment="1">
      <alignment horizontal="center" vertical="center" wrapText="1"/>
    </xf>
    <xf numFmtId="49" fontId="15" fillId="16" borderId="86" xfId="0" applyNumberFormat="1" applyFont="1" applyFill="1" applyBorder="1" applyAlignment="1">
      <alignment horizontal="left" vertical="center" wrapText="1"/>
    </xf>
    <xf numFmtId="0" fontId="17" fillId="16" borderId="86" xfId="0" applyFont="1" applyFill="1" applyBorder="1" applyAlignment="1">
      <alignment horizontal="center" vertical="center" wrapText="1"/>
    </xf>
    <xf numFmtId="49" fontId="15" fillId="16" borderId="87" xfId="0" applyNumberFormat="1" applyFont="1" applyFill="1" applyBorder="1" applyAlignment="1">
      <alignment horizontal="center" vertical="center" wrapText="1"/>
    </xf>
    <xf numFmtId="0" fontId="45" fillId="16" borderId="42" xfId="0" applyFont="1" applyFill="1" applyBorder="1" applyAlignment="1">
      <alignment horizontal="center" vertical="center" wrapText="1"/>
    </xf>
    <xf numFmtId="0" fontId="45" fillId="16" borderId="81" xfId="0" applyFont="1" applyFill="1" applyBorder="1" applyAlignment="1">
      <alignment horizontal="center" vertical="center" wrapText="1"/>
    </xf>
    <xf numFmtId="0" fontId="15" fillId="17" borderId="85" xfId="0" applyFont="1" applyFill="1" applyBorder="1" applyAlignment="1">
      <alignment horizontal="center" vertical="center" wrapText="1"/>
    </xf>
    <xf numFmtId="0" fontId="15" fillId="17" borderId="86" xfId="0" applyFont="1" applyFill="1" applyBorder="1" applyAlignment="1">
      <alignment vertical="center" wrapText="1"/>
    </xf>
    <xf numFmtId="164" fontId="15" fillId="17" borderId="86" xfId="0" applyNumberFormat="1" applyFont="1" applyFill="1" applyBorder="1" applyAlignment="1">
      <alignment horizontal="center" vertical="center" wrapText="1"/>
    </xf>
    <xf numFmtId="164" fontId="16" fillId="17" borderId="86" xfId="0" applyNumberFormat="1" applyFont="1" applyFill="1" applyBorder="1" applyAlignment="1">
      <alignment horizontal="center" vertical="center" wrapText="1"/>
    </xf>
    <xf numFmtId="0" fontId="15" fillId="17" borderId="86" xfId="0" applyFont="1" applyFill="1" applyBorder="1" applyAlignment="1">
      <alignment horizontal="center" vertical="center" wrapText="1"/>
    </xf>
    <xf numFmtId="0" fontId="17" fillId="17" borderId="86" xfId="0" applyFont="1" applyFill="1" applyBorder="1" applyAlignment="1">
      <alignment horizontal="center" vertical="center" wrapText="1"/>
    </xf>
    <xf numFmtId="49" fontId="15" fillId="17" borderId="87" xfId="0" applyNumberFormat="1" applyFont="1" applyFill="1" applyBorder="1" applyAlignment="1">
      <alignment horizontal="center" vertical="center" wrapText="1"/>
    </xf>
    <xf numFmtId="166" fontId="45" fillId="0" borderId="0" xfId="0" applyNumberFormat="1" applyFont="1" applyAlignment="1">
      <alignment vertical="center"/>
    </xf>
    <xf numFmtId="0" fontId="18" fillId="5" borderId="14" xfId="0" applyFont="1" applyFill="1" applyBorder="1" applyAlignment="1">
      <alignment horizontal="left" vertical="center" wrapText="1"/>
    </xf>
    <xf numFmtId="0" fontId="15" fillId="0" borderId="0" xfId="0" applyFont="1" applyAlignment="1">
      <alignment horizontal="left" vertical="center" wrapText="1"/>
    </xf>
    <xf numFmtId="49" fontId="15" fillId="17" borderId="20" xfId="0" applyNumberFormat="1" applyFont="1" applyFill="1" applyBorder="1" applyAlignment="1">
      <alignment vertical="center" wrapText="1"/>
    </xf>
    <xf numFmtId="49" fontId="15" fillId="16" borderId="20" xfId="0" applyNumberFormat="1" applyFont="1" applyFill="1" applyBorder="1" applyAlignment="1">
      <alignment vertical="center" wrapText="1"/>
    </xf>
    <xf numFmtId="167" fontId="44" fillId="0" borderId="0" xfId="0" applyNumberFormat="1" applyFont="1" applyAlignment="1">
      <alignment horizontal="left" vertical="center"/>
    </xf>
    <xf numFmtId="49" fontId="45" fillId="17" borderId="72" xfId="0" applyNumberFormat="1" applyFont="1" applyFill="1" applyBorder="1" applyAlignment="1">
      <alignment vertical="center" wrapText="1"/>
    </xf>
    <xf numFmtId="49" fontId="45" fillId="16" borderId="69" xfId="0" applyNumberFormat="1" applyFont="1" applyFill="1" applyBorder="1" applyAlignment="1">
      <alignment vertical="center" wrapText="1"/>
    </xf>
    <xf numFmtId="49" fontId="45" fillId="16" borderId="71" xfId="0" applyNumberFormat="1" applyFont="1" applyFill="1" applyBorder="1" applyAlignment="1">
      <alignment vertical="center" wrapText="1"/>
    </xf>
    <xf numFmtId="49" fontId="45" fillId="16" borderId="24" xfId="0" applyNumberFormat="1" applyFont="1" applyFill="1" applyBorder="1" applyAlignment="1">
      <alignment vertical="center" wrapText="1"/>
    </xf>
    <xf numFmtId="0" fontId="45" fillId="17" borderId="34" xfId="0" applyFont="1" applyFill="1" applyBorder="1" applyAlignment="1">
      <alignment horizontal="center" vertical="center" wrapText="1"/>
    </xf>
    <xf numFmtId="0" fontId="45" fillId="17" borderId="16" xfId="0" applyFont="1" applyFill="1" applyBorder="1" applyAlignment="1">
      <alignment vertical="center" wrapText="1"/>
    </xf>
    <xf numFmtId="164" fontId="45" fillId="17" borderId="16" xfId="0" applyNumberFormat="1" applyFont="1" applyFill="1" applyBorder="1" applyAlignment="1">
      <alignment horizontal="center" vertical="center" wrapText="1"/>
    </xf>
    <xf numFmtId="0" fontId="45" fillId="17" borderId="16" xfId="0" applyFont="1" applyFill="1" applyBorder="1" applyAlignment="1">
      <alignment horizontal="center" vertical="center" wrapText="1"/>
    </xf>
    <xf numFmtId="49" fontId="45" fillId="17" borderId="16" xfId="0" applyNumberFormat="1" applyFont="1" applyFill="1" applyBorder="1" applyAlignment="1">
      <alignment horizontal="left" vertical="center" wrapText="1"/>
    </xf>
    <xf numFmtId="49" fontId="45" fillId="17" borderId="17" xfId="0" applyNumberFormat="1" applyFont="1" applyFill="1" applyBorder="1" applyAlignment="1">
      <alignment horizontal="center" vertical="center" wrapText="1"/>
    </xf>
    <xf numFmtId="0" fontId="15" fillId="40" borderId="34" xfId="0" applyFont="1" applyFill="1" applyBorder="1" applyAlignment="1">
      <alignment horizontal="center" vertical="center" wrapText="1"/>
    </xf>
    <xf numFmtId="0" fontId="15" fillId="40" borderId="16" xfId="0" applyFont="1" applyFill="1" applyBorder="1" applyAlignment="1">
      <alignment vertical="center" wrapText="1"/>
    </xf>
    <xf numFmtId="164" fontId="15" fillId="40" borderId="16" xfId="0" applyNumberFormat="1" applyFont="1" applyFill="1" applyBorder="1" applyAlignment="1">
      <alignment horizontal="center" vertical="center" wrapText="1"/>
    </xf>
    <xf numFmtId="164" fontId="16" fillId="40" borderId="16" xfId="0" applyNumberFormat="1" applyFont="1" applyFill="1" applyBorder="1" applyAlignment="1">
      <alignment horizontal="center" vertical="center" wrapText="1"/>
    </xf>
    <xf numFmtId="0" fontId="15" fillId="40" borderId="16" xfId="0" applyFont="1" applyFill="1" applyBorder="1" applyAlignment="1">
      <alignment horizontal="center" vertical="center" wrapText="1"/>
    </xf>
    <xf numFmtId="49" fontId="15" fillId="40" borderId="16" xfId="0" applyNumberFormat="1" applyFont="1" applyFill="1" applyBorder="1" applyAlignment="1">
      <alignment horizontal="left" vertical="center" wrapText="1"/>
    </xf>
    <xf numFmtId="0" fontId="17" fillId="40" borderId="16" xfId="0" applyFont="1" applyFill="1" applyBorder="1" applyAlignment="1">
      <alignment horizontal="center" vertical="center" wrapText="1"/>
    </xf>
    <xf numFmtId="49" fontId="15" fillId="40" borderId="17" xfId="0" applyNumberFormat="1" applyFont="1" applyFill="1" applyBorder="1" applyAlignment="1">
      <alignment horizontal="center" vertical="center" wrapText="1"/>
    </xf>
    <xf numFmtId="20" fontId="15" fillId="40" borderId="17" xfId="0" applyNumberFormat="1" applyFont="1" applyFill="1" applyBorder="1" applyAlignment="1">
      <alignment horizontal="center" vertical="center" wrapText="1"/>
    </xf>
    <xf numFmtId="0" fontId="15" fillId="40" borderId="0" xfId="0" applyFont="1" applyFill="1" applyAlignment="1">
      <alignment horizontal="left" vertical="center" wrapText="1"/>
    </xf>
    <xf numFmtId="0" fontId="44" fillId="40" borderId="0" xfId="0" applyFont="1" applyFill="1" applyAlignment="1">
      <alignment horizontal="left" vertical="center" wrapText="1"/>
    </xf>
    <xf numFmtId="0" fontId="15" fillId="40" borderId="38" xfId="0" applyFont="1" applyFill="1" applyBorder="1" applyAlignment="1">
      <alignment horizontal="center" vertical="center" wrapText="1"/>
    </xf>
    <xf numFmtId="0" fontId="15" fillId="40" borderId="39" xfId="0" applyFont="1" applyFill="1" applyBorder="1" applyAlignment="1">
      <alignment horizontal="center" vertical="center" wrapText="1"/>
    </xf>
    <xf numFmtId="0" fontId="15" fillId="40" borderId="10" xfId="0" applyFont="1" applyFill="1" applyBorder="1" applyAlignment="1">
      <alignment vertical="center" wrapText="1"/>
    </xf>
    <xf numFmtId="164" fontId="15" fillId="40" borderId="10" xfId="0" applyNumberFormat="1" applyFont="1" applyFill="1" applyBorder="1" applyAlignment="1">
      <alignment horizontal="center" vertical="center" wrapText="1"/>
    </xf>
    <xf numFmtId="164" fontId="16" fillId="40" borderId="10" xfId="0" applyNumberFormat="1" applyFont="1" applyFill="1" applyBorder="1" applyAlignment="1">
      <alignment horizontal="center" vertical="center" wrapText="1"/>
    </xf>
    <xf numFmtId="0" fontId="15" fillId="40" borderId="10" xfId="0" applyFont="1" applyFill="1" applyBorder="1" applyAlignment="1">
      <alignment horizontal="center" vertical="center" wrapText="1"/>
    </xf>
    <xf numFmtId="0" fontId="17" fillId="40" borderId="10" xfId="0" applyFont="1" applyFill="1" applyBorder="1" applyAlignment="1">
      <alignment horizontal="center" vertical="center" wrapText="1"/>
    </xf>
    <xf numFmtId="49" fontId="15" fillId="40" borderId="27" xfId="0" applyNumberFormat="1" applyFont="1" applyFill="1" applyBorder="1" applyAlignment="1">
      <alignment horizontal="center" vertical="center" wrapText="1"/>
    </xf>
    <xf numFmtId="20" fontId="15" fillId="40" borderId="27" xfId="0" applyNumberFormat="1" applyFont="1" applyFill="1" applyBorder="1" applyAlignment="1">
      <alignment horizontal="center" vertical="center" wrapText="1"/>
    </xf>
    <xf numFmtId="49" fontId="15" fillId="40" borderId="20" xfId="0" applyNumberFormat="1" applyFont="1" applyFill="1" applyBorder="1" applyAlignment="1">
      <alignment horizontal="left" vertical="center" wrapText="1"/>
    </xf>
    <xf numFmtId="0" fontId="17" fillId="40" borderId="20" xfId="0" applyFont="1" applyFill="1" applyBorder="1" applyAlignment="1">
      <alignment horizontal="center" vertical="center" wrapText="1"/>
    </xf>
    <xf numFmtId="0" fontId="15" fillId="40" borderId="68" xfId="0" applyFont="1" applyFill="1" applyBorder="1" applyAlignment="1">
      <alignment horizontal="center" vertical="center" wrapText="1"/>
    </xf>
    <xf numFmtId="0" fontId="15" fillId="40" borderId="69" xfId="0" applyFont="1" applyFill="1" applyBorder="1" applyAlignment="1">
      <alignment vertical="center" wrapText="1"/>
    </xf>
    <xf numFmtId="164" fontId="15" fillId="40" borderId="69" xfId="0" applyNumberFormat="1" applyFont="1" applyFill="1" applyBorder="1" applyAlignment="1">
      <alignment horizontal="center" vertical="center" wrapText="1"/>
    </xf>
    <xf numFmtId="164" fontId="16" fillId="40" borderId="69" xfId="0" applyNumberFormat="1" applyFont="1" applyFill="1" applyBorder="1" applyAlignment="1">
      <alignment horizontal="center" vertical="center" wrapText="1"/>
    </xf>
    <xf numFmtId="0" fontId="15" fillId="40" borderId="69" xfId="0" applyFont="1" applyFill="1" applyBorder="1" applyAlignment="1">
      <alignment horizontal="center" vertical="center" wrapText="1"/>
    </xf>
    <xf numFmtId="49" fontId="15" fillId="40" borderId="69" xfId="0" applyNumberFormat="1" applyFont="1" applyFill="1" applyBorder="1" applyAlignment="1">
      <alignment horizontal="left" vertical="center" wrapText="1"/>
    </xf>
    <xf numFmtId="0" fontId="17" fillId="40" borderId="69" xfId="0" applyFont="1" applyFill="1" applyBorder="1" applyAlignment="1">
      <alignment horizontal="center" vertical="center" wrapText="1"/>
    </xf>
    <xf numFmtId="49" fontId="15" fillId="40" borderId="70" xfId="0" applyNumberFormat="1" applyFont="1" applyFill="1" applyBorder="1" applyAlignment="1">
      <alignment horizontal="center" vertical="center" wrapText="1"/>
    </xf>
    <xf numFmtId="20" fontId="15" fillId="40" borderId="70" xfId="0" applyNumberFormat="1" applyFont="1" applyFill="1" applyBorder="1" applyAlignment="1">
      <alignment horizontal="center" vertical="center" wrapText="1"/>
    </xf>
    <xf numFmtId="49" fontId="45" fillId="17" borderId="86" xfId="0" applyNumberFormat="1" applyFont="1" applyFill="1" applyBorder="1" applyAlignment="1">
      <alignment vertical="center" wrapText="1"/>
    </xf>
    <xf numFmtId="166" fontId="15" fillId="0" borderId="0" xfId="0" applyNumberFormat="1" applyFont="1" applyAlignment="1">
      <alignment vertical="center"/>
    </xf>
    <xf numFmtId="0" fontId="45" fillId="16" borderId="50" xfId="0" applyFont="1" applyFill="1" applyBorder="1" applyAlignment="1">
      <alignment horizontal="center" vertical="center" wrapText="1"/>
    </xf>
    <xf numFmtId="0" fontId="45" fillId="16" borderId="34" xfId="0" applyFont="1" applyFill="1" applyBorder="1" applyAlignment="1">
      <alignment horizontal="center" vertical="center" wrapText="1"/>
    </xf>
    <xf numFmtId="0" fontId="45" fillId="16" borderId="16" xfId="0" applyFont="1" applyFill="1" applyBorder="1" applyAlignment="1">
      <alignment vertical="center" wrapText="1"/>
    </xf>
    <xf numFmtId="164" fontId="45" fillId="16" borderId="16" xfId="0" applyNumberFormat="1" applyFont="1" applyFill="1" applyBorder="1" applyAlignment="1">
      <alignment horizontal="center" vertical="center" wrapText="1"/>
    </xf>
    <xf numFmtId="0" fontId="45" fillId="16" borderId="16" xfId="0" applyFont="1" applyFill="1" applyBorder="1" applyAlignment="1">
      <alignment horizontal="center" vertical="center" wrapText="1"/>
    </xf>
    <xf numFmtId="49" fontId="45" fillId="16" borderId="16" xfId="0" applyNumberFormat="1" applyFont="1" applyFill="1" applyBorder="1" applyAlignment="1">
      <alignment horizontal="left" vertical="center" wrapText="1"/>
    </xf>
    <xf numFmtId="49" fontId="45" fillId="16" borderId="17" xfId="0" applyNumberFormat="1" applyFont="1" applyFill="1" applyBorder="1" applyAlignment="1">
      <alignment horizontal="center" vertical="center" wrapText="1"/>
    </xf>
    <xf numFmtId="49" fontId="45" fillId="17" borderId="24" xfId="0" applyNumberFormat="1" applyFont="1" applyFill="1" applyBorder="1" applyAlignment="1">
      <alignment vertical="center" wrapText="1"/>
    </xf>
    <xf numFmtId="0" fontId="45" fillId="16" borderId="83" xfId="0" applyFont="1" applyFill="1" applyBorder="1" applyAlignment="1">
      <alignment horizontal="center" vertical="center" wrapText="1"/>
    </xf>
    <xf numFmtId="0" fontId="15" fillId="17" borderId="79" xfId="0" applyFont="1" applyFill="1" applyBorder="1" applyAlignment="1">
      <alignment horizontal="center" vertical="center" wrapText="1"/>
    </xf>
    <xf numFmtId="0" fontId="15" fillId="16" borderId="38" xfId="0" applyFont="1" applyFill="1" applyBorder="1" applyAlignment="1">
      <alignment horizontal="center" vertical="center" wrapText="1"/>
    </xf>
    <xf numFmtId="0" fontId="15" fillId="16" borderId="49" xfId="0" applyFont="1" applyFill="1" applyBorder="1" applyAlignment="1">
      <alignment horizontal="center" vertical="center" wrapText="1"/>
    </xf>
    <xf numFmtId="0" fontId="15" fillId="16" borderId="67" xfId="0" applyFont="1" applyFill="1" applyBorder="1" applyAlignment="1">
      <alignment horizontal="center" vertical="center" wrapText="1"/>
    </xf>
    <xf numFmtId="0" fontId="15" fillId="17" borderId="38" xfId="0" applyFont="1" applyFill="1" applyBorder="1" applyAlignment="1">
      <alignment horizontal="center" vertical="center" wrapText="1"/>
    </xf>
    <xf numFmtId="0" fontId="15" fillId="17" borderId="49" xfId="0" applyFont="1" applyFill="1" applyBorder="1" applyAlignment="1">
      <alignment horizontal="center" vertical="center" wrapText="1"/>
    </xf>
    <xf numFmtId="0" fontId="15" fillId="17" borderId="84" xfId="0" applyFont="1" applyFill="1" applyBorder="1" applyAlignment="1">
      <alignment horizontal="center" vertical="center" wrapText="1"/>
    </xf>
    <xf numFmtId="0" fontId="15" fillId="17" borderId="82" xfId="0" applyFont="1" applyFill="1" applyBorder="1" applyAlignment="1">
      <alignment horizontal="center" vertical="center" wrapText="1"/>
    </xf>
    <xf numFmtId="0" fontId="15" fillId="17" borderId="67" xfId="0" applyFont="1" applyFill="1" applyBorder="1" applyAlignment="1">
      <alignment horizontal="center" vertical="center" wrapText="1"/>
    </xf>
    <xf numFmtId="0" fontId="15" fillId="16" borderId="74" xfId="0" applyFont="1" applyFill="1" applyBorder="1" applyAlignment="1">
      <alignment horizontal="center" vertical="center" wrapText="1"/>
    </xf>
    <xf numFmtId="0" fontId="15" fillId="16" borderId="75" xfId="0" applyFont="1" applyFill="1" applyBorder="1" applyAlignment="1">
      <alignment horizontal="center" vertical="center" wrapText="1"/>
    </xf>
    <xf numFmtId="0" fontId="15" fillId="16" borderId="76" xfId="0" applyFont="1" applyFill="1" applyBorder="1" applyAlignment="1">
      <alignment horizontal="center" vertical="center" wrapText="1"/>
    </xf>
    <xf numFmtId="0" fontId="15" fillId="16" borderId="51" xfId="0" applyFont="1" applyFill="1" applyBorder="1" applyAlignment="1">
      <alignment horizontal="center" vertical="center" wrapText="1"/>
    </xf>
    <xf numFmtId="0" fontId="15" fillId="16" borderId="73" xfId="0" applyFont="1" applyFill="1" applyBorder="1" applyAlignment="1">
      <alignment horizontal="center" vertical="center" wrapText="1"/>
    </xf>
    <xf numFmtId="49" fontId="15" fillId="16" borderId="10" xfId="0" applyNumberFormat="1" applyFont="1" applyFill="1" applyBorder="1" applyAlignment="1">
      <alignment horizontal="center" vertical="center" wrapText="1"/>
    </xf>
    <xf numFmtId="49" fontId="15" fillId="16" borderId="69" xfId="0" applyNumberFormat="1" applyFont="1" applyFill="1" applyBorder="1" applyAlignment="1">
      <alignment horizontal="center" vertical="center" wrapText="1"/>
    </xf>
    <xf numFmtId="49" fontId="15" fillId="16" borderId="24" xfId="0" applyNumberFormat="1" applyFont="1" applyFill="1" applyBorder="1" applyAlignment="1">
      <alignment horizontal="center" vertical="center" wrapText="1"/>
    </xf>
    <xf numFmtId="49" fontId="15" fillId="17" borderId="10" xfId="0" applyNumberFormat="1" applyFont="1" applyFill="1" applyBorder="1" applyAlignment="1">
      <alignment horizontal="center" vertical="center" wrapText="1"/>
    </xf>
    <xf numFmtId="49" fontId="15" fillId="17" borderId="69" xfId="0" applyNumberFormat="1" applyFont="1" applyFill="1" applyBorder="1" applyAlignment="1">
      <alignment horizontal="center" vertical="center" wrapText="1"/>
    </xf>
    <xf numFmtId="0" fontId="15" fillId="17" borderId="75" xfId="0" applyFont="1" applyFill="1" applyBorder="1" applyAlignment="1">
      <alignment horizontal="center" vertical="center" wrapText="1"/>
    </xf>
    <xf numFmtId="49" fontId="15" fillId="17" borderId="24" xfId="0" applyNumberFormat="1" applyFont="1" applyFill="1" applyBorder="1" applyAlignment="1">
      <alignment horizontal="center" vertical="center" wrapText="1"/>
    </xf>
    <xf numFmtId="49" fontId="15" fillId="17" borderId="10" xfId="0" applyNumberFormat="1" applyFont="1" applyFill="1" applyBorder="1" applyAlignment="1">
      <alignment horizontal="left" vertical="center" wrapText="1"/>
    </xf>
    <xf numFmtId="49" fontId="15" fillId="17" borderId="69" xfId="0" applyNumberFormat="1" applyFont="1" applyFill="1" applyBorder="1" applyAlignment="1">
      <alignment horizontal="left" vertical="center" wrapText="1"/>
    </xf>
    <xf numFmtId="49" fontId="15" fillId="16" borderId="16" xfId="0" applyNumberFormat="1" applyFont="1" applyFill="1" applyBorder="1" applyAlignment="1">
      <alignment horizontal="center" vertical="center" wrapText="1"/>
    </xf>
    <xf numFmtId="49" fontId="15" fillId="16" borderId="11" xfId="0" applyNumberFormat="1" applyFont="1" applyFill="1" applyBorder="1" applyAlignment="1">
      <alignment horizontal="center" vertical="center" wrapText="1"/>
    </xf>
    <xf numFmtId="0" fontId="15" fillId="16" borderId="43" xfId="0" applyFont="1" applyFill="1" applyBorder="1" applyAlignment="1">
      <alignment horizontal="center" vertical="center" wrapText="1"/>
    </xf>
    <xf numFmtId="0" fontId="15" fillId="17" borderId="43" xfId="0" applyFont="1" applyFill="1" applyBorder="1" applyAlignment="1">
      <alignment horizontal="center" vertical="center" wrapText="1"/>
    </xf>
    <xf numFmtId="49" fontId="15" fillId="17" borderId="11" xfId="0" applyNumberFormat="1" applyFont="1" applyFill="1" applyBorder="1" applyAlignment="1">
      <alignment horizontal="center" vertical="center" wrapText="1"/>
    </xf>
    <xf numFmtId="0" fontId="15" fillId="17" borderId="51" xfId="0" applyFont="1" applyFill="1" applyBorder="1" applyAlignment="1">
      <alignment horizontal="center" vertical="center" wrapText="1"/>
    </xf>
    <xf numFmtId="0" fontId="15" fillId="17" borderId="53" xfId="0" applyFont="1" applyFill="1" applyBorder="1" applyAlignment="1">
      <alignment horizontal="center" vertical="center" wrapText="1"/>
    </xf>
    <xf numFmtId="0" fontId="15" fillId="17" borderId="54" xfId="0" applyFont="1" applyFill="1" applyBorder="1" applyAlignment="1">
      <alignment horizontal="center" vertical="center" wrapText="1"/>
    </xf>
    <xf numFmtId="0" fontId="15" fillId="7" borderId="9" xfId="0" applyFont="1" applyFill="1" applyBorder="1" applyAlignment="1">
      <alignment horizontal="center" vertical="center" wrapText="1"/>
    </xf>
    <xf numFmtId="0" fontId="15" fillId="6" borderId="9" xfId="0" applyFont="1" applyFill="1" applyBorder="1" applyAlignment="1">
      <alignment horizontal="center" vertical="center" wrapText="1"/>
    </xf>
    <xf numFmtId="0" fontId="15" fillId="7" borderId="38" xfId="0" applyFont="1" applyFill="1" applyBorder="1" applyAlignment="1">
      <alignment horizontal="center" vertical="center" wrapText="1"/>
    </xf>
    <xf numFmtId="49" fontId="15" fillId="7" borderId="13" xfId="0" applyNumberFormat="1" applyFont="1" applyFill="1" applyBorder="1" applyAlignment="1">
      <alignment horizontal="center" vertical="center" wrapText="1"/>
    </xf>
    <xf numFmtId="0" fontId="15" fillId="6" borderId="38" xfId="0" applyFont="1" applyFill="1" applyBorder="1" applyAlignment="1">
      <alignment horizontal="center" vertical="center" wrapText="1"/>
    </xf>
    <xf numFmtId="49" fontId="15" fillId="6" borderId="10" xfId="0" applyNumberFormat="1" applyFont="1" applyFill="1" applyBorder="1" applyAlignment="1">
      <alignment horizontal="center" vertical="center" wrapText="1"/>
    </xf>
    <xf numFmtId="49" fontId="15" fillId="6" borderId="13" xfId="0" applyNumberFormat="1" applyFont="1" applyFill="1" applyBorder="1" applyAlignment="1">
      <alignment horizontal="center" vertical="center" wrapText="1"/>
    </xf>
    <xf numFmtId="49" fontId="15" fillId="7" borderId="10" xfId="0" applyNumberFormat="1" applyFont="1" applyFill="1" applyBorder="1" applyAlignment="1">
      <alignment horizontal="center" vertical="center" wrapText="1"/>
    </xf>
    <xf numFmtId="0" fontId="15" fillId="7" borderId="31" xfId="0" applyFont="1" applyFill="1" applyBorder="1" applyAlignment="1">
      <alignment horizontal="center" vertical="center" wrapText="1"/>
    </xf>
    <xf numFmtId="0" fontId="15" fillId="9" borderId="38" xfId="0" applyFont="1" applyFill="1" applyBorder="1" applyAlignment="1">
      <alignment horizontal="center" vertical="center" wrapText="1"/>
    </xf>
    <xf numFmtId="49" fontId="15" fillId="9" borderId="10" xfId="0" applyNumberFormat="1" applyFont="1" applyFill="1" applyBorder="1" applyAlignment="1">
      <alignment horizontal="center" vertical="center" wrapText="1"/>
    </xf>
    <xf numFmtId="49" fontId="15" fillId="6" borderId="14" xfId="0" applyNumberFormat="1" applyFont="1" applyFill="1" applyBorder="1" applyAlignment="1">
      <alignment horizontal="center" vertical="center" wrapText="1"/>
    </xf>
    <xf numFmtId="49" fontId="15" fillId="7" borderId="14" xfId="0" applyNumberFormat="1" applyFont="1" applyFill="1" applyBorder="1" applyAlignment="1">
      <alignment horizontal="center" vertical="center" wrapText="1"/>
    </xf>
    <xf numFmtId="0" fontId="15" fillId="15" borderId="9" xfId="0" applyFont="1" applyFill="1" applyBorder="1" applyAlignment="1">
      <alignment horizontal="center" vertical="center" wrapText="1"/>
    </xf>
    <xf numFmtId="49" fontId="15" fillId="15" borderId="13" xfId="0" applyNumberFormat="1" applyFont="1" applyFill="1" applyBorder="1" applyAlignment="1">
      <alignment horizontal="center" vertical="center" wrapText="1"/>
    </xf>
    <xf numFmtId="49" fontId="15" fillId="15" borderId="14" xfId="0" applyNumberFormat="1" applyFont="1" applyFill="1" applyBorder="1" applyAlignment="1">
      <alignment horizontal="center" vertical="center" wrapText="1"/>
    </xf>
    <xf numFmtId="49" fontId="15" fillId="10" borderId="9" xfId="0" applyNumberFormat="1" applyFont="1" applyFill="1" applyBorder="1" applyAlignment="1">
      <alignment horizontal="center" vertical="center" wrapText="1"/>
    </xf>
    <xf numFmtId="49" fontId="15" fillId="7" borderId="21" xfId="0" applyNumberFormat="1" applyFont="1" applyFill="1" applyBorder="1" applyAlignment="1">
      <alignment horizontal="center" vertical="center" wrapText="1"/>
    </xf>
    <xf numFmtId="49" fontId="15" fillId="6" borderId="22" xfId="0" applyNumberFormat="1" applyFont="1" applyFill="1" applyBorder="1" applyAlignment="1">
      <alignment horizontal="center" vertical="center" wrapText="1"/>
    </xf>
    <xf numFmtId="0" fontId="15" fillId="7" borderId="49" xfId="0" applyFont="1" applyFill="1" applyBorder="1" applyAlignment="1">
      <alignment horizontal="center" vertical="center" wrapText="1"/>
    </xf>
    <xf numFmtId="0" fontId="19" fillId="8" borderId="14" xfId="0" applyFont="1" applyFill="1" applyBorder="1" applyAlignment="1">
      <alignment horizontal="center" vertical="center" wrapText="1"/>
    </xf>
    <xf numFmtId="49" fontId="15" fillId="7" borderId="13" xfId="0" applyNumberFormat="1" applyFont="1" applyFill="1" applyBorder="1" applyAlignment="1">
      <alignment horizontal="left" vertical="center" wrapText="1"/>
    </xf>
    <xf numFmtId="0" fontId="15" fillId="7" borderId="28" xfId="0" applyFont="1" applyFill="1" applyBorder="1" applyAlignment="1">
      <alignment horizontal="center" vertical="center" wrapText="1"/>
    </xf>
    <xf numFmtId="49" fontId="15" fillId="6" borderId="13" xfId="0" applyNumberFormat="1" applyFont="1" applyFill="1" applyBorder="1" applyAlignment="1">
      <alignment horizontal="left" vertical="center" wrapText="1"/>
    </xf>
    <xf numFmtId="0" fontId="18" fillId="5" borderId="9" xfId="0" applyFont="1" applyFill="1" applyBorder="1" applyAlignment="1">
      <alignment horizontal="center" vertical="center" wrapText="1"/>
    </xf>
    <xf numFmtId="0" fontId="15" fillId="6" borderId="15" xfId="0" applyFont="1" applyFill="1" applyBorder="1" applyAlignment="1">
      <alignment horizontal="center" vertical="center" wrapText="1"/>
    </xf>
    <xf numFmtId="0" fontId="15" fillId="6" borderId="12" xfId="0" applyFont="1" applyFill="1" applyBorder="1" applyAlignment="1">
      <alignment horizontal="center" vertical="center" wrapText="1"/>
    </xf>
    <xf numFmtId="0" fontId="15" fillId="7" borderId="12" xfId="0" applyFont="1" applyFill="1" applyBorder="1" applyAlignment="1">
      <alignment horizontal="center" vertical="center" wrapText="1"/>
    </xf>
    <xf numFmtId="0" fontId="15" fillId="7" borderId="26" xfId="0" applyFont="1" applyFill="1" applyBorder="1" applyAlignment="1">
      <alignment horizontal="center" vertical="center" wrapText="1"/>
    </xf>
    <xf numFmtId="0" fontId="15" fillId="6" borderId="31" xfId="0" applyFont="1" applyFill="1" applyBorder="1" applyAlignment="1">
      <alignment horizontal="center" vertical="center" wrapText="1"/>
    </xf>
    <xf numFmtId="0" fontId="15" fillId="6" borderId="49" xfId="0" applyFont="1" applyFill="1" applyBorder="1" applyAlignment="1">
      <alignment horizontal="center" vertical="center" wrapText="1"/>
    </xf>
    <xf numFmtId="0" fontId="15" fillId="7" borderId="43" xfId="0" applyFont="1" applyFill="1" applyBorder="1" applyAlignment="1">
      <alignment horizontal="center" vertical="center" wrapText="1"/>
    </xf>
    <xf numFmtId="0" fontId="15" fillId="6" borderId="43" xfId="0" applyFont="1" applyFill="1" applyBorder="1" applyAlignment="1">
      <alignment horizontal="center" vertical="center" wrapText="1"/>
    </xf>
    <xf numFmtId="49" fontId="20" fillId="6" borderId="13" xfId="0" applyNumberFormat="1" applyFont="1" applyFill="1" applyBorder="1" applyAlignment="1">
      <alignment horizontal="center" vertical="center" wrapText="1"/>
    </xf>
    <xf numFmtId="0" fontId="15" fillId="16" borderId="82" xfId="0" applyFont="1" applyFill="1" applyBorder="1" applyAlignment="1">
      <alignment horizontal="center" vertical="center" wrapText="1"/>
    </xf>
    <xf numFmtId="0" fontId="15" fillId="41" borderId="38" xfId="0" applyFont="1" applyFill="1" applyBorder="1" applyAlignment="1">
      <alignment horizontal="center" vertical="center" wrapText="1"/>
    </xf>
    <xf numFmtId="0" fontId="15" fillId="41" borderId="49" xfId="0" applyFont="1" applyFill="1" applyBorder="1" applyAlignment="1">
      <alignment horizontal="center" vertical="center" wrapText="1"/>
    </xf>
    <xf numFmtId="0" fontId="15" fillId="41" borderId="67" xfId="0" applyFont="1" applyFill="1" applyBorder="1" applyAlignment="1">
      <alignment horizontal="center" vertical="center" wrapText="1"/>
    </xf>
    <xf numFmtId="0" fontId="15" fillId="16" borderId="84" xfId="0" applyFont="1" applyFill="1" applyBorder="1" applyAlignment="1">
      <alignment horizontal="center" vertical="center" wrapText="1"/>
    </xf>
    <xf numFmtId="0" fontId="15" fillId="17" borderId="89" xfId="0" applyFont="1" applyFill="1" applyBorder="1" applyAlignment="1">
      <alignment horizontal="center" vertical="center" wrapText="1"/>
    </xf>
    <xf numFmtId="0" fontId="15" fillId="40" borderId="38" xfId="0" applyFont="1" applyFill="1" applyBorder="1" applyAlignment="1">
      <alignment horizontal="center" vertical="center" wrapText="1"/>
    </xf>
    <xf numFmtId="0" fontId="15" fillId="40" borderId="67" xfId="0" applyFont="1" applyFill="1" applyBorder="1" applyAlignment="1">
      <alignment horizontal="center" vertical="center" wrapText="1"/>
    </xf>
    <xf numFmtId="49" fontId="15" fillId="0" borderId="29" xfId="0" applyNumberFormat="1" applyFont="1" applyBorder="1" applyAlignment="1">
      <alignment horizontal="center" vertical="center" wrapText="1"/>
    </xf>
    <xf numFmtId="49" fontId="15" fillId="0" borderId="16" xfId="0" applyNumberFormat="1" applyFont="1" applyBorder="1" applyAlignment="1">
      <alignment horizontal="center" vertical="center" wrapText="1"/>
    </xf>
    <xf numFmtId="0" fontId="15" fillId="17" borderId="73" xfId="0" applyFont="1" applyFill="1" applyBorder="1" applyAlignment="1">
      <alignment horizontal="center" vertical="center" wrapText="1"/>
    </xf>
    <xf numFmtId="49" fontId="15" fillId="41" borderId="71" xfId="0" applyNumberFormat="1" applyFont="1" applyFill="1" applyBorder="1" applyAlignment="1">
      <alignment horizontal="center" vertical="center" wrapText="1"/>
    </xf>
    <xf numFmtId="49" fontId="15" fillId="41" borderId="72" xfId="0" applyNumberFormat="1" applyFont="1" applyFill="1" applyBorder="1" applyAlignment="1">
      <alignment horizontal="center" vertical="center" wrapText="1"/>
    </xf>
    <xf numFmtId="49" fontId="15" fillId="16" borderId="20" xfId="0" applyNumberFormat="1" applyFont="1" applyFill="1" applyBorder="1" applyAlignment="1">
      <alignment horizontal="left" vertical="center" wrapText="1"/>
    </xf>
    <xf numFmtId="49" fontId="15" fillId="16" borderId="71" xfId="0" applyNumberFormat="1" applyFont="1" applyFill="1" applyBorder="1" applyAlignment="1">
      <alignment horizontal="left" vertical="center" wrapText="1"/>
    </xf>
    <xf numFmtId="49" fontId="15" fillId="16" borderId="72" xfId="0" applyNumberFormat="1" applyFont="1" applyFill="1" applyBorder="1" applyAlignment="1">
      <alignment horizontal="left" vertical="center" wrapText="1"/>
    </xf>
    <xf numFmtId="49" fontId="15" fillId="16" borderId="86" xfId="0" applyNumberFormat="1" applyFont="1" applyFill="1" applyBorder="1" applyAlignment="1">
      <alignment horizontal="left" vertical="center" wrapText="1"/>
    </xf>
  </cellXfs>
  <cellStyles count="146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2 4" xfId="144" xr:uid="{AB1310C2-EE7E-4EDF-A7F2-36AEA64BCCE0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3 4" xfId="145" xr:uid="{408A3835-B4D5-419D-9013-D1621E74915D}"/>
    <cellStyle name="Обычный 3 4" xfId="82" xr:uid="{00000000-0005-0000-0000-000077000000}"/>
    <cellStyle name="Обычный 3 5" xfId="133" xr:uid="{00000000-0005-0000-0000-000078000000}"/>
    <cellStyle name="Обычный 3 6" xfId="143" xr:uid="{C794D6E2-6D29-4051-BD7E-C4D3C64547C2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3" xfId="91" xr:uid="{00000000-0005-0000-0000-000084000000}"/>
    <cellStyle name="Примечание 2 4" xfId="138" xr:uid="{00000000-0005-0000-0000-000085000000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7079"/>
  <sheetViews>
    <sheetView tabSelected="1" zoomScale="80" zoomScaleNormal="80" workbookViewId="0">
      <pane ySplit="2" topLeftCell="A7028" activePane="bottomLeft" state="frozen"/>
      <selection pane="bottomLeft" activeCell="P7045" sqref="P7045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6.42578125" style="6" customWidth="1"/>
    <col min="10" max="10" width="17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19.28515625" style="897" customWidth="1"/>
    <col min="16" max="16" width="75.28515625" style="867" customWidth="1"/>
    <col min="17" max="17" width="17.42578125" style="847" customWidth="1"/>
    <col min="18" max="18" width="17.42578125" style="833" customWidth="1"/>
    <col min="19" max="1021" width="9.140625" style="2"/>
  </cols>
  <sheetData>
    <row r="1" spans="1:18" ht="19.5" customHeight="1" thickBot="1" x14ac:dyDescent="0.3">
      <c r="A1" s="1008" t="s">
        <v>0</v>
      </c>
      <c r="B1" s="1008"/>
      <c r="C1" s="1008"/>
      <c r="D1" s="1008"/>
      <c r="E1" s="1008"/>
      <c r="F1" s="1008"/>
      <c r="G1" s="1008"/>
      <c r="H1" s="1008"/>
      <c r="I1" s="1008"/>
      <c r="J1" s="1008"/>
      <c r="K1" s="8"/>
      <c r="L1" s="9"/>
      <c r="M1" s="9"/>
      <c r="N1" s="9"/>
      <c r="O1" s="896"/>
      <c r="P1" s="9"/>
      <c r="Q1" s="18"/>
      <c r="R1" s="18"/>
    </row>
    <row r="2" spans="1:18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  <c r="O2" s="896" t="s">
        <v>1863</v>
      </c>
      <c r="P2" s="18" t="s">
        <v>1862</v>
      </c>
      <c r="Q2" s="18" t="s">
        <v>1862</v>
      </c>
      <c r="R2" s="18" t="s">
        <v>1862</v>
      </c>
    </row>
    <row r="3" spans="1:18" ht="19.5" hidden="1" customHeight="1" thickBot="1" x14ac:dyDescent="0.3">
      <c r="A3" s="1009">
        <v>1</v>
      </c>
      <c r="B3" s="1009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  <c r="R3" s="2"/>
    </row>
    <row r="4" spans="1:18" ht="19.5" hidden="1" thickBot="1" x14ac:dyDescent="0.3">
      <c r="A4" s="1009"/>
      <c r="B4" s="1009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  <c r="R4" s="2"/>
    </row>
    <row r="5" spans="1:18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  <c r="R5" s="2"/>
    </row>
    <row r="6" spans="1:18" ht="19.5" hidden="1" customHeight="1" thickBot="1" x14ac:dyDescent="0.3">
      <c r="A6" s="1010">
        <v>3</v>
      </c>
      <c r="B6" s="1010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  <c r="R6" s="2"/>
    </row>
    <row r="7" spans="1:18" ht="19.5" hidden="1" thickBot="1" x14ac:dyDescent="0.3">
      <c r="A7" s="1010"/>
      <c r="B7" s="1010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  <c r="R7" s="2"/>
    </row>
    <row r="8" spans="1:18" ht="19.5" hidden="1" thickBot="1" x14ac:dyDescent="0.3">
      <c r="A8" s="1010"/>
      <c r="B8" s="1010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  <c r="R8" s="2"/>
    </row>
    <row r="9" spans="1:18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  <c r="R9" s="2"/>
    </row>
    <row r="10" spans="1:18" ht="19.5" hidden="1" customHeight="1" thickBot="1" x14ac:dyDescent="0.3">
      <c r="A10" s="1010">
        <v>5</v>
      </c>
      <c r="B10" s="1010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  <c r="R10" s="2"/>
    </row>
    <row r="11" spans="1:18" ht="19.5" hidden="1" thickBot="1" x14ac:dyDescent="0.3">
      <c r="A11" s="1010"/>
      <c r="B11" s="1010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  <c r="R11" s="2"/>
    </row>
    <row r="12" spans="1:18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  <c r="R12" s="2"/>
    </row>
    <row r="13" spans="1:18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  <c r="R13" s="2"/>
    </row>
    <row r="14" spans="1:18" ht="19.5" hidden="1" customHeight="1" thickBot="1" x14ac:dyDescent="0.3">
      <c r="A14" s="1011">
        <v>8</v>
      </c>
      <c r="B14" s="1011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  <c r="R14" s="2"/>
    </row>
    <row r="15" spans="1:18" ht="19.5" hidden="1" thickBot="1" x14ac:dyDescent="0.3">
      <c r="A15" s="1011"/>
      <c r="B15" s="1011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  <c r="R15" s="2"/>
    </row>
    <row r="16" spans="1:18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  <c r="R16" s="2"/>
    </row>
    <row r="17" spans="1:18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  <c r="R17" s="2"/>
    </row>
    <row r="18" spans="1:18" ht="19.5" hidden="1" customHeight="1" thickBot="1" x14ac:dyDescent="0.3">
      <c r="A18" s="1010">
        <v>11</v>
      </c>
      <c r="B18" s="1010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  <c r="R18" s="2"/>
    </row>
    <row r="19" spans="1:18" ht="19.5" hidden="1" thickBot="1" x14ac:dyDescent="0.3">
      <c r="A19" s="1010"/>
      <c r="B19" s="1010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  <c r="R19" s="2"/>
    </row>
    <row r="20" spans="1:18" ht="19.5" hidden="1" thickBot="1" x14ac:dyDescent="0.3">
      <c r="A20" s="1010"/>
      <c r="B20" s="1010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  <c r="R20" s="2"/>
    </row>
    <row r="21" spans="1:18" ht="19.5" hidden="1" thickBot="1" x14ac:dyDescent="0.3">
      <c r="A21" s="1010"/>
      <c r="B21" s="1010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  <c r="R21" s="2"/>
    </row>
    <row r="22" spans="1:18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  <c r="R22" s="2"/>
    </row>
    <row r="23" spans="1:18" ht="19.5" hidden="1" customHeight="1" thickBot="1" x14ac:dyDescent="0.3">
      <c r="A23" s="1010">
        <v>13</v>
      </c>
      <c r="B23" s="1010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  <c r="R23" s="2"/>
    </row>
    <row r="24" spans="1:18" ht="19.5" hidden="1" thickBot="1" x14ac:dyDescent="0.3">
      <c r="A24" s="1010"/>
      <c r="B24" s="1010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  <c r="R24" s="2"/>
    </row>
    <row r="25" spans="1:18" ht="19.5" hidden="1" customHeight="1" thickBot="1" x14ac:dyDescent="0.3">
      <c r="A25" s="1011">
        <v>14</v>
      </c>
      <c r="B25" s="1011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  <c r="R25" s="2"/>
    </row>
    <row r="26" spans="1:18" ht="19.5" hidden="1" thickBot="1" x14ac:dyDescent="0.3">
      <c r="A26" s="1011"/>
      <c r="B26" s="1011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  <c r="R26" s="2"/>
    </row>
    <row r="27" spans="1:18" ht="19.5" hidden="1" customHeight="1" thickBot="1" x14ac:dyDescent="0.3">
      <c r="A27" s="1010">
        <v>15</v>
      </c>
      <c r="B27" s="1010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  <c r="R27" s="2"/>
    </row>
    <row r="28" spans="1:18" ht="19.5" hidden="1" thickBot="1" x14ac:dyDescent="0.3">
      <c r="A28" s="1010"/>
      <c r="B28" s="1010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  <c r="R28" s="2"/>
    </row>
    <row r="29" spans="1:18" ht="19.5" hidden="1" thickBot="1" x14ac:dyDescent="0.3">
      <c r="A29" s="1010"/>
      <c r="B29" s="1010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  <c r="R29" s="2"/>
    </row>
    <row r="30" spans="1:18" ht="19.5" hidden="1" thickBot="1" x14ac:dyDescent="0.3">
      <c r="A30" s="1010"/>
      <c r="B30" s="1010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  <c r="R30" s="2"/>
    </row>
    <row r="31" spans="1:18" ht="19.5" hidden="1" customHeight="1" thickBot="1" x14ac:dyDescent="0.3">
      <c r="A31" s="1011">
        <v>16</v>
      </c>
      <c r="B31" s="1011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  <c r="R31" s="2"/>
    </row>
    <row r="32" spans="1:18" ht="19.5" hidden="1" thickBot="1" x14ac:dyDescent="0.3">
      <c r="A32" s="1011"/>
      <c r="B32" s="1011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  <c r="R32" s="2"/>
    </row>
    <row r="33" spans="1:18" ht="19.5" hidden="1" thickBot="1" x14ac:dyDescent="0.3">
      <c r="A33" s="1011"/>
      <c r="B33" s="1011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  <c r="R33" s="2"/>
    </row>
    <row r="34" spans="1:18" ht="19.5" hidden="1" thickBot="1" x14ac:dyDescent="0.3">
      <c r="A34" s="1011"/>
      <c r="B34" s="1011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  <c r="R34" s="2"/>
    </row>
    <row r="35" spans="1:18" ht="19.5" hidden="1" customHeight="1" thickBot="1" x14ac:dyDescent="0.3">
      <c r="A35" s="1010">
        <v>17</v>
      </c>
      <c r="B35" s="1010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  <c r="R35" s="2"/>
    </row>
    <row r="36" spans="1:18" ht="19.5" hidden="1" thickBot="1" x14ac:dyDescent="0.3">
      <c r="A36" s="1010"/>
      <c r="B36" s="1010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  <c r="R36" s="2"/>
    </row>
    <row r="37" spans="1:18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  <c r="R37" s="2"/>
    </row>
    <row r="38" spans="1:18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  <c r="R38" s="2"/>
    </row>
    <row r="39" spans="1:18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  <c r="R39" s="2"/>
    </row>
    <row r="40" spans="1:18" ht="19.5" hidden="1" customHeight="1" thickBot="1" x14ac:dyDescent="0.3">
      <c r="A40" s="1010">
        <v>21</v>
      </c>
      <c r="B40" s="1010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  <c r="R40" s="2"/>
    </row>
    <row r="41" spans="1:18" ht="19.5" hidden="1" thickBot="1" x14ac:dyDescent="0.3">
      <c r="A41" s="1010"/>
      <c r="B41" s="1010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  <c r="R41" s="2"/>
    </row>
    <row r="42" spans="1:18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  <c r="R42" s="2"/>
    </row>
    <row r="43" spans="1:18" ht="19.5" hidden="1" customHeight="1" thickBot="1" x14ac:dyDescent="0.3">
      <c r="A43" s="1010">
        <v>23</v>
      </c>
      <c r="B43" s="1010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  <c r="R43" s="2"/>
    </row>
    <row r="44" spans="1:18" ht="19.5" hidden="1" thickBot="1" x14ac:dyDescent="0.3">
      <c r="A44" s="1010"/>
      <c r="B44" s="1010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  <c r="R44" s="2"/>
    </row>
    <row r="45" spans="1:18" ht="19.5" hidden="1" thickBot="1" x14ac:dyDescent="0.3">
      <c r="A45" s="1010"/>
      <c r="B45" s="1010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  <c r="R45" s="2"/>
    </row>
    <row r="46" spans="1:18" ht="19.5" hidden="1" customHeight="1" thickBot="1" x14ac:dyDescent="0.3">
      <c r="A46" s="1011">
        <v>24</v>
      </c>
      <c r="B46" s="1011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  <c r="R46" s="2"/>
    </row>
    <row r="47" spans="1:18" ht="19.5" hidden="1" thickBot="1" x14ac:dyDescent="0.3">
      <c r="A47" s="1011"/>
      <c r="B47" s="1011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  <c r="R47" s="2"/>
    </row>
    <row r="48" spans="1:18" ht="19.5" hidden="1" customHeight="1" thickBot="1" x14ac:dyDescent="0.3">
      <c r="A48" s="1010">
        <v>25</v>
      </c>
      <c r="B48" s="1010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  <c r="R48" s="2"/>
    </row>
    <row r="49" spans="1:18" ht="19.5" hidden="1" thickBot="1" x14ac:dyDescent="0.3">
      <c r="A49" s="1010"/>
      <c r="B49" s="1010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  <c r="R49" s="2"/>
    </row>
    <row r="50" spans="1:18" ht="19.5" hidden="1" thickBot="1" x14ac:dyDescent="0.3">
      <c r="A50" s="1010"/>
      <c r="B50" s="1010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  <c r="R50" s="2"/>
    </row>
    <row r="51" spans="1:18" ht="19.5" hidden="1" customHeight="1" thickBot="1" x14ac:dyDescent="0.3">
      <c r="A51" s="1011">
        <v>26</v>
      </c>
      <c r="B51" s="1011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  <c r="R51" s="2"/>
    </row>
    <row r="52" spans="1:18" ht="19.5" hidden="1" thickBot="1" x14ac:dyDescent="0.3">
      <c r="A52" s="1011"/>
      <c r="B52" s="1011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  <c r="R52" s="2"/>
    </row>
    <row r="53" spans="1:18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  <c r="R53" s="2"/>
    </row>
    <row r="54" spans="1:18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  <c r="R54" s="2"/>
    </row>
    <row r="55" spans="1:18" ht="19.5" hidden="1" customHeight="1" thickBot="1" x14ac:dyDescent="0.3">
      <c r="A55" s="1010">
        <v>29</v>
      </c>
      <c r="B55" s="1010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  <c r="R55" s="2"/>
    </row>
    <row r="56" spans="1:18" ht="19.5" hidden="1" thickBot="1" x14ac:dyDescent="0.3">
      <c r="A56" s="1010"/>
      <c r="B56" s="1010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  <c r="R56" s="2"/>
    </row>
    <row r="57" spans="1:18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  <c r="R57" s="2"/>
    </row>
    <row r="58" spans="1:18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  <c r="R58" s="2"/>
    </row>
    <row r="59" spans="1:18" ht="19.5" hidden="1" customHeight="1" thickBot="1" x14ac:dyDescent="0.3">
      <c r="A59" s="1011">
        <v>32</v>
      </c>
      <c r="B59" s="1011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  <c r="R59" s="2"/>
    </row>
    <row r="60" spans="1:18" ht="19.5" hidden="1" thickBot="1" x14ac:dyDescent="0.3">
      <c r="A60" s="1011"/>
      <c r="B60" s="1011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  <c r="R60" s="2"/>
    </row>
    <row r="61" spans="1:18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  <c r="R61" s="2"/>
    </row>
    <row r="62" spans="1:18" ht="19.5" hidden="1" customHeight="1" thickBot="1" x14ac:dyDescent="0.3">
      <c r="A62" s="1011">
        <v>34</v>
      </c>
      <c r="B62" s="1011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  <c r="R62" s="2"/>
    </row>
    <row r="63" spans="1:18" ht="19.5" hidden="1" thickBot="1" x14ac:dyDescent="0.3">
      <c r="A63" s="1011"/>
      <c r="B63" s="1011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  <c r="R63" s="2"/>
    </row>
    <row r="64" spans="1:18" ht="19.5" hidden="1" thickBot="1" x14ac:dyDescent="0.3">
      <c r="A64" s="1011"/>
      <c r="B64" s="1011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  <c r="R64" s="2"/>
    </row>
    <row r="65" spans="1:18" ht="19.5" hidden="1" thickBot="1" x14ac:dyDescent="0.3">
      <c r="A65" s="1011"/>
      <c r="B65" s="1011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  <c r="R65" s="2"/>
    </row>
    <row r="66" spans="1:18" ht="19.5" hidden="1" thickBot="1" x14ac:dyDescent="0.3">
      <c r="A66" s="1011"/>
      <c r="B66" s="1011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  <c r="R66" s="2"/>
    </row>
    <row r="67" spans="1:18" ht="19.5" hidden="1" customHeight="1" thickBot="1" x14ac:dyDescent="0.3">
      <c r="A67" s="1010">
        <v>35</v>
      </c>
      <c r="B67" s="1010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  <c r="R67" s="2"/>
    </row>
    <row r="68" spans="1:18" ht="19.5" hidden="1" thickBot="1" x14ac:dyDescent="0.3">
      <c r="A68" s="1010"/>
      <c r="B68" s="1010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  <c r="R68" s="2"/>
    </row>
    <row r="69" spans="1:18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  <c r="R69" s="2"/>
    </row>
    <row r="70" spans="1:18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  <c r="R70" s="2"/>
    </row>
    <row r="71" spans="1:18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  <c r="R71" s="2"/>
    </row>
    <row r="72" spans="1:18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  <c r="R72" s="2"/>
    </row>
    <row r="73" spans="1:18" ht="19.5" hidden="1" customHeight="1" thickBot="1" x14ac:dyDescent="0.3">
      <c r="A73" s="984">
        <v>40</v>
      </c>
      <c r="B73" s="1011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  <c r="R73" s="2"/>
    </row>
    <row r="74" spans="1:18" ht="19.5" hidden="1" thickBot="1" x14ac:dyDescent="0.3">
      <c r="A74" s="984"/>
      <c r="B74" s="1011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  <c r="R74" s="2"/>
    </row>
    <row r="75" spans="1:18" ht="19.5" hidden="1" customHeight="1" thickBot="1" x14ac:dyDescent="0.3">
      <c r="A75" s="985">
        <v>41</v>
      </c>
      <c r="B75" s="1010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  <c r="R75" s="2"/>
    </row>
    <row r="76" spans="1:18" ht="19.5" hidden="1" thickBot="1" x14ac:dyDescent="0.3">
      <c r="A76" s="985"/>
      <c r="B76" s="1010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  <c r="R76" s="2"/>
    </row>
    <row r="77" spans="1:18" ht="19.5" hidden="1" thickBot="1" x14ac:dyDescent="0.3">
      <c r="A77" s="985"/>
      <c r="B77" s="1010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  <c r="R77" s="2"/>
    </row>
    <row r="78" spans="1:18" ht="19.5" hidden="1" customHeight="1" thickBot="1" x14ac:dyDescent="0.3">
      <c r="A78" s="984">
        <v>42</v>
      </c>
      <c r="B78" s="1011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  <c r="R78" s="2"/>
    </row>
    <row r="79" spans="1:18" ht="19.5" hidden="1" thickBot="1" x14ac:dyDescent="0.3">
      <c r="A79" s="984"/>
      <c r="B79" s="1011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  <c r="R79" s="2"/>
    </row>
    <row r="80" spans="1:18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  <c r="R80" s="2"/>
    </row>
    <row r="81" spans="1:18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  <c r="R81" s="2"/>
    </row>
    <row r="82" spans="1:18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  <c r="R82" s="2"/>
    </row>
    <row r="83" spans="1:18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  <c r="R83" s="2"/>
    </row>
    <row r="84" spans="1:18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  <c r="R84" s="2"/>
    </row>
    <row r="85" spans="1:18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  <c r="R85" s="2"/>
    </row>
    <row r="86" spans="1:18" ht="19.5" hidden="1" customHeight="1" thickBot="1" x14ac:dyDescent="0.3">
      <c r="A86" s="985">
        <v>49</v>
      </c>
      <c r="B86" s="1010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  <c r="R86" s="2"/>
    </row>
    <row r="87" spans="1:18" ht="19.5" hidden="1" thickBot="1" x14ac:dyDescent="0.3">
      <c r="A87" s="985"/>
      <c r="B87" s="1010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  <c r="R87" s="2"/>
    </row>
    <row r="88" spans="1:18" ht="19.5" hidden="1" thickBot="1" x14ac:dyDescent="0.3">
      <c r="A88" s="985"/>
      <c r="B88" s="1010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  <c r="R88" s="2"/>
    </row>
    <row r="89" spans="1:18" ht="19.5" hidden="1" customHeight="1" thickBot="1" x14ac:dyDescent="0.3">
      <c r="A89" s="984">
        <v>50</v>
      </c>
      <c r="B89" s="1011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  <c r="R89" s="2"/>
    </row>
    <row r="90" spans="1:18" ht="19.5" hidden="1" thickBot="1" x14ac:dyDescent="0.3">
      <c r="A90" s="984"/>
      <c r="B90" s="1011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  <c r="R90" s="2"/>
    </row>
    <row r="91" spans="1:18" ht="19.5" hidden="1" customHeight="1" thickBot="1" x14ac:dyDescent="0.3">
      <c r="A91" s="985">
        <v>51</v>
      </c>
      <c r="B91" s="1010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  <c r="R91" s="2"/>
    </row>
    <row r="92" spans="1:18" ht="19.5" hidden="1" thickBot="1" x14ac:dyDescent="0.3">
      <c r="A92" s="985"/>
      <c r="B92" s="1010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  <c r="R92" s="2"/>
    </row>
    <row r="93" spans="1:18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  <c r="R93" s="2"/>
    </row>
    <row r="94" spans="1:18" ht="19.5" hidden="1" customHeight="1" thickBot="1" x14ac:dyDescent="0.3">
      <c r="A94" s="985">
        <v>53</v>
      </c>
      <c r="B94" s="1010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  <c r="R94" s="2"/>
    </row>
    <row r="95" spans="1:18" ht="19.5" hidden="1" thickBot="1" x14ac:dyDescent="0.3">
      <c r="A95" s="985"/>
      <c r="B95" s="1010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  <c r="R95" s="2"/>
    </row>
    <row r="96" spans="1:18" ht="19.5" hidden="1" customHeight="1" thickBot="1" x14ac:dyDescent="0.3">
      <c r="A96" s="984">
        <v>54</v>
      </c>
      <c r="B96" s="1011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  <c r="R96" s="2"/>
    </row>
    <row r="97" spans="1:18" ht="19.5" hidden="1" thickBot="1" x14ac:dyDescent="0.3">
      <c r="A97" s="984"/>
      <c r="B97" s="1011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  <c r="R97" s="2"/>
    </row>
    <row r="98" spans="1:18" ht="19.5" hidden="1" thickBot="1" x14ac:dyDescent="0.3">
      <c r="A98" s="984"/>
      <c r="B98" s="1011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  <c r="R98" s="2"/>
    </row>
    <row r="99" spans="1:18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  <c r="R99" s="2"/>
    </row>
    <row r="100" spans="1:18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  <c r="R100" s="2"/>
    </row>
    <row r="101" spans="1:18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  <c r="R101" s="2"/>
    </row>
    <row r="102" spans="1:18" ht="19.5" hidden="1" customHeight="1" thickBot="1" x14ac:dyDescent="0.3">
      <c r="A102" s="984">
        <v>58</v>
      </c>
      <c r="B102" s="1011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  <c r="R102" s="2"/>
    </row>
    <row r="103" spans="1:18" ht="19.5" hidden="1" thickBot="1" x14ac:dyDescent="0.3">
      <c r="A103" s="984"/>
      <c r="B103" s="1011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  <c r="R103" s="2"/>
    </row>
    <row r="104" spans="1:18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  <c r="R104" s="2"/>
    </row>
    <row r="105" spans="1:18" ht="19.5" hidden="1" customHeight="1" thickBot="1" x14ac:dyDescent="0.3">
      <c r="A105" s="984">
        <v>60</v>
      </c>
      <c r="B105" s="1011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  <c r="R105" s="2"/>
    </row>
    <row r="106" spans="1:18" ht="19.5" hidden="1" thickBot="1" x14ac:dyDescent="0.3">
      <c r="A106" s="984"/>
      <c r="B106" s="1011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  <c r="R106" s="2"/>
    </row>
    <row r="107" spans="1:18" ht="19.5" hidden="1" thickBot="1" x14ac:dyDescent="0.3">
      <c r="A107" s="984"/>
      <c r="B107" s="1011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  <c r="R107" s="2"/>
    </row>
    <row r="108" spans="1:18" ht="19.5" hidden="1" customHeight="1" thickBot="1" x14ac:dyDescent="0.3">
      <c r="A108" s="985">
        <v>61</v>
      </c>
      <c r="B108" s="1010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  <c r="R108" s="2"/>
    </row>
    <row r="109" spans="1:18" ht="19.5" hidden="1" thickBot="1" x14ac:dyDescent="0.3">
      <c r="A109" s="985"/>
      <c r="B109" s="1010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  <c r="R109" s="2"/>
    </row>
    <row r="110" spans="1:18" ht="19.5" hidden="1" thickBot="1" x14ac:dyDescent="0.3">
      <c r="A110" s="985"/>
      <c r="B110" s="1010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  <c r="R110" s="2"/>
    </row>
    <row r="111" spans="1:18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  <c r="R111" s="2"/>
    </row>
    <row r="112" spans="1:18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  <c r="R112" s="2"/>
    </row>
    <row r="113" spans="1:18" ht="19.5" hidden="1" customHeight="1" thickBot="1" x14ac:dyDescent="0.3">
      <c r="A113" s="984">
        <v>64</v>
      </c>
      <c r="B113" s="1011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  <c r="R113" s="2"/>
    </row>
    <row r="114" spans="1:18" ht="19.5" hidden="1" thickBot="1" x14ac:dyDescent="0.3">
      <c r="A114" s="984"/>
      <c r="B114" s="1011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  <c r="R114" s="2"/>
    </row>
    <row r="115" spans="1:18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  <c r="R115" s="2"/>
    </row>
    <row r="116" spans="1:18" ht="19.5" hidden="1" customHeight="1" thickBot="1" x14ac:dyDescent="0.3">
      <c r="A116" s="984">
        <v>66</v>
      </c>
      <c r="B116" s="1011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  <c r="R116" s="2"/>
    </row>
    <row r="117" spans="1:18" ht="19.5" hidden="1" thickBot="1" x14ac:dyDescent="0.3">
      <c r="A117" s="984"/>
      <c r="B117" s="1011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  <c r="R117" s="2"/>
    </row>
    <row r="118" spans="1:18" ht="19.5" hidden="1" customHeight="1" thickBot="1" x14ac:dyDescent="0.3">
      <c r="A118" s="985">
        <v>67</v>
      </c>
      <c r="B118" s="1010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  <c r="R118" s="2"/>
    </row>
    <row r="119" spans="1:18" ht="19.5" hidden="1" thickBot="1" x14ac:dyDescent="0.3">
      <c r="A119" s="985"/>
      <c r="B119" s="1010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  <c r="R119" s="2"/>
    </row>
    <row r="120" spans="1:18" ht="19.5" hidden="1" thickBot="1" x14ac:dyDescent="0.3">
      <c r="A120" s="985"/>
      <c r="B120" s="1010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  <c r="R120" s="2"/>
    </row>
    <row r="121" spans="1:18" ht="19.5" hidden="1" customHeight="1" thickBot="1" x14ac:dyDescent="0.3">
      <c r="A121" s="984">
        <v>68</v>
      </c>
      <c r="B121" s="1011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  <c r="R121" s="2"/>
    </row>
    <row r="122" spans="1:18" ht="19.5" hidden="1" thickBot="1" x14ac:dyDescent="0.3">
      <c r="A122" s="984"/>
      <c r="B122" s="1011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  <c r="R122" s="2"/>
    </row>
    <row r="123" spans="1:18" ht="19.5" hidden="1" customHeight="1" thickBot="1" x14ac:dyDescent="0.3">
      <c r="A123" s="985">
        <v>69</v>
      </c>
      <c r="B123" s="1010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  <c r="R123" s="2"/>
    </row>
    <row r="124" spans="1:18" ht="19.5" hidden="1" thickBot="1" x14ac:dyDescent="0.3">
      <c r="A124" s="985"/>
      <c r="B124" s="1010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  <c r="R124" s="2"/>
    </row>
    <row r="125" spans="1:18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  <c r="R125" s="2"/>
    </row>
    <row r="126" spans="1:18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  <c r="R126" s="2"/>
    </row>
    <row r="127" spans="1:18" ht="19.5" hidden="1" customHeight="1" thickBot="1" x14ac:dyDescent="0.3">
      <c r="A127" s="984">
        <v>72</v>
      </c>
      <c r="B127" s="1011" t="s">
        <v>65</v>
      </c>
      <c r="C127" s="119" t="s">
        <v>26</v>
      </c>
      <c r="D127" s="120">
        <v>3.3</v>
      </c>
      <c r="E127" s="121"/>
      <c r="F127" s="122" t="s">
        <v>30</v>
      </c>
      <c r="G127" s="1005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  <c r="R127" s="2"/>
    </row>
    <row r="128" spans="1:18" ht="19.5" hidden="1" thickBot="1" x14ac:dyDescent="0.3">
      <c r="A128" s="984"/>
      <c r="B128" s="1011"/>
      <c r="C128" s="103" t="s">
        <v>26</v>
      </c>
      <c r="D128" s="88">
        <v>12.9</v>
      </c>
      <c r="E128" s="106"/>
      <c r="F128" s="107" t="s">
        <v>16</v>
      </c>
      <c r="G128" s="1005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  <c r="R128" s="2"/>
    </row>
    <row r="129" spans="1:18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  <c r="R129" s="2"/>
    </row>
    <row r="130" spans="1:18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  <c r="R130" s="2"/>
    </row>
    <row r="131" spans="1:18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  <c r="R131" s="2"/>
    </row>
    <row r="132" spans="1:18" ht="19.5" hidden="1" customHeight="1" thickBot="1" x14ac:dyDescent="0.3">
      <c r="A132" s="984">
        <v>76</v>
      </c>
      <c r="B132" s="1012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  <c r="R132" s="2"/>
    </row>
    <row r="133" spans="1:18" ht="19.5" hidden="1" thickBot="1" x14ac:dyDescent="0.3">
      <c r="A133" s="984"/>
      <c r="B133" s="1012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  <c r="R133" s="2"/>
    </row>
    <row r="134" spans="1:18" ht="19.5" hidden="1" thickBot="1" x14ac:dyDescent="0.3">
      <c r="A134" s="984"/>
      <c r="B134" s="1012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  <c r="R134" s="2"/>
    </row>
    <row r="135" spans="1:18" ht="19.5" hidden="1" thickBot="1" x14ac:dyDescent="0.3">
      <c r="A135" s="984"/>
      <c r="B135" s="1012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  <c r="R135" s="2"/>
    </row>
    <row r="136" spans="1:18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  <c r="R136" s="2"/>
    </row>
    <row r="137" spans="1:18" ht="19.5" hidden="1" customHeight="1" thickBot="1" x14ac:dyDescent="0.3">
      <c r="A137" s="984">
        <v>78</v>
      </c>
      <c r="B137" s="1006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  <c r="R137" s="2"/>
    </row>
    <row r="138" spans="1:18" ht="19.5" hidden="1" thickBot="1" x14ac:dyDescent="0.3">
      <c r="A138" s="984"/>
      <c r="B138" s="1006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  <c r="R138" s="2"/>
    </row>
    <row r="139" spans="1:18" ht="19.5" hidden="1" thickBot="1" x14ac:dyDescent="0.3">
      <c r="A139" s="1013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  <c r="R139" s="2"/>
    </row>
    <row r="140" spans="1:18" ht="19.5" hidden="1" thickBot="1" x14ac:dyDescent="0.3">
      <c r="A140" s="1013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  <c r="R140" s="2"/>
    </row>
    <row r="141" spans="1:18" ht="19.5" hidden="1" thickBot="1" x14ac:dyDescent="0.3">
      <c r="A141" s="984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  <c r="R141" s="2"/>
    </row>
    <row r="142" spans="1:18" ht="19.5" hidden="1" thickBot="1" x14ac:dyDescent="0.3">
      <c r="A142" s="984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  <c r="R142" s="2"/>
    </row>
    <row r="143" spans="1:18" ht="19.5" hidden="1" thickBot="1" x14ac:dyDescent="0.3">
      <c r="A143" s="984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  <c r="R143" s="2"/>
    </row>
    <row r="144" spans="1:18" ht="19.5" hidden="1" thickBot="1" x14ac:dyDescent="0.3">
      <c r="A144" s="985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  <c r="R144" s="2"/>
    </row>
    <row r="145" spans="1:18" ht="19.5" hidden="1" thickBot="1" x14ac:dyDescent="0.3">
      <c r="A145" s="985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  <c r="R145" s="2"/>
    </row>
    <row r="146" spans="1:18" ht="19.5" hidden="1" thickBot="1" x14ac:dyDescent="0.3">
      <c r="A146" s="984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  <c r="R146" s="2"/>
    </row>
    <row r="147" spans="1:18" ht="19.5" hidden="1" thickBot="1" x14ac:dyDescent="0.3">
      <c r="A147" s="984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  <c r="R147" s="2"/>
    </row>
    <row r="148" spans="1:18" ht="19.5" hidden="1" thickBot="1" x14ac:dyDescent="0.3">
      <c r="A148" s="985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  <c r="R148" s="2"/>
    </row>
    <row r="149" spans="1:18" ht="19.5" hidden="1" thickBot="1" x14ac:dyDescent="0.3">
      <c r="A149" s="985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  <c r="R149" s="2"/>
    </row>
    <row r="150" spans="1:18" ht="19.5" hidden="1" thickBot="1" x14ac:dyDescent="0.3">
      <c r="A150" s="985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  <c r="R150" s="2"/>
    </row>
    <row r="151" spans="1:18" ht="19.5" hidden="1" thickBot="1" x14ac:dyDescent="0.3">
      <c r="A151" s="985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  <c r="R151" s="2"/>
    </row>
    <row r="152" spans="1:18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  <c r="R152" s="2"/>
    </row>
    <row r="153" spans="1:18" ht="19.5" hidden="1" thickBot="1" x14ac:dyDescent="0.3">
      <c r="A153" s="985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  <c r="R153" s="2"/>
    </row>
    <row r="154" spans="1:18" ht="19.5" hidden="1" thickBot="1" x14ac:dyDescent="0.3">
      <c r="A154" s="985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  <c r="R154" s="2"/>
    </row>
    <row r="155" spans="1:18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  <c r="R155" s="2"/>
    </row>
    <row r="156" spans="1:18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  <c r="R156" s="2"/>
    </row>
    <row r="157" spans="1:18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  <c r="R157" s="2"/>
    </row>
    <row r="158" spans="1:18" ht="19.5" hidden="1" thickBot="1" x14ac:dyDescent="0.3">
      <c r="A158" s="985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  <c r="R158" s="2"/>
    </row>
    <row r="159" spans="1:18" ht="19.5" hidden="1" thickBot="1" x14ac:dyDescent="0.3">
      <c r="A159" s="985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  <c r="R159" s="2"/>
    </row>
    <row r="160" spans="1:18" ht="19.5" hidden="1" thickBot="1" x14ac:dyDescent="0.3">
      <c r="A160" s="984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  <c r="R160" s="2"/>
    </row>
    <row r="161" spans="1:18" ht="19.5" hidden="1" thickBot="1" x14ac:dyDescent="0.3">
      <c r="A161" s="984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  <c r="R161" s="2"/>
    </row>
    <row r="162" spans="1:18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  <c r="R162" s="2"/>
    </row>
    <row r="163" spans="1:18" ht="19.5" hidden="1" thickBot="1" x14ac:dyDescent="0.3">
      <c r="A163" s="984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  <c r="R163" s="2"/>
    </row>
    <row r="164" spans="1:18" ht="19.5" hidden="1" thickBot="1" x14ac:dyDescent="0.3">
      <c r="A164" s="984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  <c r="R164" s="2"/>
    </row>
    <row r="165" spans="1:18" ht="19.5" hidden="1" thickBot="1" x14ac:dyDescent="0.3">
      <c r="A165" s="984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  <c r="R165" s="2"/>
    </row>
    <row r="166" spans="1:18" ht="19.5" hidden="1" thickBot="1" x14ac:dyDescent="0.3">
      <c r="A166" s="984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  <c r="R166" s="2"/>
    </row>
    <row r="167" spans="1:18" ht="19.5" hidden="1" customHeight="1" thickBot="1" x14ac:dyDescent="0.3">
      <c r="A167" s="985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1007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  <c r="R167" s="2"/>
    </row>
    <row r="168" spans="1:18" ht="19.5" hidden="1" thickBot="1" x14ac:dyDescent="0.3">
      <c r="A168" s="985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1007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  <c r="R168" s="2"/>
    </row>
    <row r="169" spans="1:18" ht="19.5" hidden="1" thickBot="1" x14ac:dyDescent="0.3">
      <c r="A169" s="984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  <c r="R169" s="2"/>
    </row>
    <row r="170" spans="1:18" ht="19.5" hidden="1" thickBot="1" x14ac:dyDescent="0.3">
      <c r="A170" s="984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  <c r="R170" s="2"/>
    </row>
    <row r="171" spans="1:18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  <c r="R171" s="2"/>
    </row>
    <row r="172" spans="1:18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  <c r="R172" s="2"/>
    </row>
    <row r="173" spans="1:18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  <c r="R173" s="2"/>
    </row>
    <row r="174" spans="1:18" ht="19.5" hidden="1" thickBot="1" x14ac:dyDescent="0.3">
      <c r="A174" s="984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  <c r="R174" s="2"/>
    </row>
    <row r="175" spans="1:18" ht="19.5" hidden="1" thickBot="1" x14ac:dyDescent="0.3">
      <c r="A175" s="984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  <c r="R175" s="2"/>
    </row>
    <row r="176" spans="1:18" ht="19.5" hidden="1" thickBot="1" x14ac:dyDescent="0.3">
      <c r="A176" s="984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  <c r="R176" s="2"/>
    </row>
    <row r="177" spans="1:18" ht="19.5" hidden="1" thickBot="1" x14ac:dyDescent="0.3">
      <c r="A177" s="984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  <c r="R177" s="2"/>
    </row>
    <row r="178" spans="1:18" ht="19.5" hidden="1" thickBot="1" x14ac:dyDescent="0.3">
      <c r="A178" s="984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  <c r="R178" s="2"/>
    </row>
    <row r="179" spans="1:18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  <c r="R179" s="2"/>
    </row>
    <row r="180" spans="1:18" ht="19.5" hidden="1" thickBot="1" x14ac:dyDescent="0.3">
      <c r="A180" s="984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  <c r="R180" s="2"/>
    </row>
    <row r="181" spans="1:18" ht="19.5" hidden="1" thickBot="1" x14ac:dyDescent="0.3">
      <c r="A181" s="984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  <c r="R181" s="2"/>
    </row>
    <row r="182" spans="1:18" ht="19.5" hidden="1" thickBot="1" x14ac:dyDescent="0.3">
      <c r="A182" s="985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  <c r="R182" s="2"/>
    </row>
    <row r="183" spans="1:18" ht="19.5" hidden="1" thickBot="1" x14ac:dyDescent="0.3">
      <c r="A183" s="985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  <c r="R183" s="2"/>
    </row>
    <row r="184" spans="1:18" ht="19.5" hidden="1" thickBot="1" x14ac:dyDescent="0.3">
      <c r="A184" s="984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  <c r="R184" s="2"/>
    </row>
    <row r="185" spans="1:18" ht="19.5" hidden="1" thickBot="1" x14ac:dyDescent="0.3">
      <c r="A185" s="984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  <c r="R185" s="2"/>
    </row>
    <row r="186" spans="1:18" ht="19.5" hidden="1" thickBot="1" x14ac:dyDescent="0.3">
      <c r="A186" s="985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  <c r="R186" s="2"/>
    </row>
    <row r="187" spans="1:18" ht="19.5" hidden="1" thickBot="1" x14ac:dyDescent="0.3">
      <c r="A187" s="985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  <c r="R187" s="2"/>
    </row>
    <row r="188" spans="1:18" ht="19.5" hidden="1" thickBot="1" x14ac:dyDescent="0.3">
      <c r="A188" s="984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  <c r="R188" s="2"/>
    </row>
    <row r="189" spans="1:18" ht="19.5" hidden="1" thickBot="1" x14ac:dyDescent="0.3">
      <c r="A189" s="984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  <c r="R189" s="2"/>
    </row>
    <row r="190" spans="1:18" ht="19.5" hidden="1" thickBot="1" x14ac:dyDescent="0.3">
      <c r="A190" s="985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  <c r="R190" s="2"/>
    </row>
    <row r="191" spans="1:18" ht="19.5" hidden="1" thickBot="1" x14ac:dyDescent="0.3">
      <c r="A191" s="985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  <c r="R191" s="2"/>
    </row>
    <row r="192" spans="1:18" ht="19.5" hidden="1" thickBot="1" x14ac:dyDescent="0.3">
      <c r="A192" s="985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  <c r="R192" s="2"/>
    </row>
    <row r="193" spans="1:18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  <c r="R193" s="2"/>
    </row>
    <row r="194" spans="1:18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  <c r="R194" s="2"/>
    </row>
    <row r="195" spans="1:18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  <c r="R195" s="2"/>
    </row>
    <row r="196" spans="1:18" ht="19.5" hidden="1" thickBot="1" x14ac:dyDescent="0.3">
      <c r="A196" s="985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  <c r="R196" s="2"/>
    </row>
    <row r="197" spans="1:18" ht="19.5" hidden="1" thickBot="1" x14ac:dyDescent="0.3">
      <c r="A197" s="985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  <c r="R197" s="2"/>
    </row>
    <row r="198" spans="1:18" ht="19.5" hidden="1" thickBot="1" x14ac:dyDescent="0.3">
      <c r="A198" s="984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  <c r="R198" s="2"/>
    </row>
    <row r="199" spans="1:18" ht="19.5" hidden="1" thickBot="1" x14ac:dyDescent="0.3">
      <c r="A199" s="984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  <c r="R199" s="2"/>
    </row>
    <row r="200" spans="1:18" ht="19.5" hidden="1" thickBot="1" x14ac:dyDescent="0.3">
      <c r="A200" s="985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  <c r="R200" s="2"/>
    </row>
    <row r="201" spans="1:18" ht="19.5" hidden="1" thickBot="1" x14ac:dyDescent="0.3">
      <c r="A201" s="985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  <c r="R201" s="2"/>
    </row>
    <row r="202" spans="1:18" ht="19.5" hidden="1" thickBot="1" x14ac:dyDescent="0.3">
      <c r="A202" s="985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  <c r="R202" s="2"/>
    </row>
    <row r="203" spans="1:18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  <c r="R203" s="2"/>
    </row>
    <row r="204" spans="1:18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  <c r="R204" s="2"/>
    </row>
    <row r="205" spans="1:18" ht="19.5" hidden="1" thickBot="1" x14ac:dyDescent="0.3">
      <c r="A205" s="984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  <c r="R205" s="2"/>
    </row>
    <row r="206" spans="1:18" ht="19.5" hidden="1" thickBot="1" x14ac:dyDescent="0.3">
      <c r="A206" s="984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  <c r="R206" s="2"/>
    </row>
    <row r="207" spans="1:18" ht="19.5" hidden="1" thickBot="1" x14ac:dyDescent="0.3">
      <c r="A207" s="985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  <c r="R207" s="2"/>
    </row>
    <row r="208" spans="1:18" ht="19.5" hidden="1" thickBot="1" x14ac:dyDescent="0.3">
      <c r="A208" s="985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  <c r="R208" s="2"/>
    </row>
    <row r="209" spans="1:18" ht="19.5" hidden="1" thickBot="1" x14ac:dyDescent="0.3">
      <c r="A209" s="984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  <c r="R209" s="2"/>
    </row>
    <row r="210" spans="1:18" ht="19.5" hidden="1" thickBot="1" x14ac:dyDescent="0.3">
      <c r="A210" s="984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  <c r="R210" s="2"/>
    </row>
    <row r="211" spans="1:18" ht="19.5" hidden="1" thickBot="1" x14ac:dyDescent="0.3">
      <c r="A211" s="985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  <c r="R211" s="2"/>
    </row>
    <row r="212" spans="1:18" ht="19.5" hidden="1" thickBot="1" x14ac:dyDescent="0.3">
      <c r="A212" s="985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  <c r="R212" s="2"/>
    </row>
    <row r="213" spans="1:18" ht="19.5" hidden="1" thickBot="1" x14ac:dyDescent="0.3">
      <c r="A213" s="984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  <c r="R213" s="2"/>
    </row>
    <row r="214" spans="1:18" ht="19.5" hidden="1" thickBot="1" x14ac:dyDescent="0.3">
      <c r="A214" s="984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  <c r="R214" s="2"/>
    </row>
    <row r="215" spans="1:18" ht="19.5" hidden="1" thickBot="1" x14ac:dyDescent="0.3">
      <c r="A215" s="984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  <c r="R215" s="2"/>
    </row>
    <row r="216" spans="1:18" ht="19.5" hidden="1" thickBot="1" x14ac:dyDescent="0.3">
      <c r="A216" s="985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  <c r="R216" s="2"/>
    </row>
    <row r="217" spans="1:18" ht="19.5" hidden="1" thickBot="1" x14ac:dyDescent="0.3">
      <c r="A217" s="985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  <c r="R217" s="2"/>
    </row>
    <row r="218" spans="1:18" ht="19.5" hidden="1" customHeight="1" thickBot="1" x14ac:dyDescent="0.3">
      <c r="A218" s="984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1005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  <c r="R218" s="2"/>
    </row>
    <row r="219" spans="1:18" ht="19.5" hidden="1" thickBot="1" x14ac:dyDescent="0.3">
      <c r="A219" s="984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1005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  <c r="R219" s="2"/>
    </row>
    <row r="220" spans="1:18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  <c r="R220" s="2"/>
    </row>
    <row r="221" spans="1:18" ht="19.5" hidden="1" thickBot="1" x14ac:dyDescent="0.3">
      <c r="A221" s="984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  <c r="R221" s="2"/>
    </row>
    <row r="222" spans="1:18" ht="19.5" hidden="1" thickBot="1" x14ac:dyDescent="0.3">
      <c r="A222" s="984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  <c r="R222" s="2"/>
    </row>
    <row r="223" spans="1:18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  <c r="R223" s="2"/>
    </row>
    <row r="224" spans="1:18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  <c r="R224" s="2"/>
    </row>
    <row r="225" spans="1:18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  <c r="R225" s="2"/>
    </row>
    <row r="226" spans="1:18" ht="75.75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  <c r="R226" s="2"/>
    </row>
    <row r="227" spans="1:18" ht="19.5" hidden="1" thickBot="1" x14ac:dyDescent="0.3">
      <c r="A227" s="985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  <c r="R227" s="2"/>
    </row>
    <row r="228" spans="1:18" ht="19.5" hidden="1" thickBot="1" x14ac:dyDescent="0.3">
      <c r="A228" s="985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  <c r="R228" s="2"/>
    </row>
    <row r="229" spans="1:18" ht="19.5" hidden="1" thickBot="1" x14ac:dyDescent="0.3">
      <c r="A229" s="985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  <c r="R229" s="2"/>
    </row>
    <row r="230" spans="1:18" ht="19.5" hidden="1" thickBot="1" x14ac:dyDescent="0.3">
      <c r="A230" s="985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  <c r="R230" s="2"/>
    </row>
    <row r="231" spans="1:18" ht="19.5" hidden="1" thickBot="1" x14ac:dyDescent="0.3">
      <c r="A231" s="984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  <c r="R231" s="2"/>
    </row>
    <row r="232" spans="1:18" ht="19.5" hidden="1" thickBot="1" x14ac:dyDescent="0.3">
      <c r="A232" s="984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  <c r="R232" s="2"/>
    </row>
    <row r="233" spans="1:18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  <c r="R233" s="2"/>
    </row>
    <row r="234" spans="1:18" ht="19.5" hidden="1" thickBot="1" x14ac:dyDescent="0.3">
      <c r="A234" s="984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  <c r="R234" s="2"/>
    </row>
    <row r="235" spans="1:18" ht="19.5" hidden="1" thickBot="1" x14ac:dyDescent="0.3">
      <c r="A235" s="984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  <c r="R235" s="2"/>
    </row>
    <row r="236" spans="1:18" ht="19.5" hidden="1" thickBot="1" x14ac:dyDescent="0.3">
      <c r="A236" s="984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  <c r="R236" s="2"/>
    </row>
    <row r="237" spans="1:18" ht="19.5" hidden="1" thickBot="1" x14ac:dyDescent="0.3">
      <c r="A237" s="984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  <c r="R237" s="2"/>
    </row>
    <row r="238" spans="1:18" ht="19.5" hidden="1" thickBot="1" x14ac:dyDescent="0.3">
      <c r="A238" s="985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  <c r="R238" s="2"/>
    </row>
    <row r="239" spans="1:18" ht="19.5" hidden="1" thickBot="1" x14ac:dyDescent="0.3">
      <c r="A239" s="985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  <c r="R239" s="2"/>
    </row>
    <row r="240" spans="1:18" ht="19.5" hidden="1" thickBot="1" x14ac:dyDescent="0.3">
      <c r="A240" s="984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  <c r="R240" s="2"/>
    </row>
    <row r="241" spans="1:18" ht="19.5" hidden="1" thickBot="1" x14ac:dyDescent="0.3">
      <c r="A241" s="984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  <c r="R241" s="2"/>
    </row>
    <row r="242" spans="1:18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  <c r="R242" s="2"/>
    </row>
    <row r="243" spans="1:18" ht="19.5" hidden="1" thickBot="1" x14ac:dyDescent="0.3">
      <c r="A243" s="984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  <c r="R243" s="2"/>
    </row>
    <row r="244" spans="1:18" ht="19.5" hidden="1" thickBot="1" x14ac:dyDescent="0.3">
      <c r="A244" s="984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  <c r="R244" s="2"/>
    </row>
    <row r="245" spans="1:18" ht="19.5" hidden="1" thickBot="1" x14ac:dyDescent="0.3">
      <c r="A245" s="985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  <c r="R245" s="2"/>
    </row>
    <row r="246" spans="1:18" ht="19.5" hidden="1" thickBot="1" x14ac:dyDescent="0.3">
      <c r="A246" s="985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  <c r="R246" s="2"/>
    </row>
    <row r="247" spans="1:18" ht="19.5" hidden="1" thickBot="1" x14ac:dyDescent="0.3">
      <c r="A247" s="984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  <c r="R247" s="2"/>
    </row>
    <row r="248" spans="1:18" ht="19.5" hidden="1" thickBot="1" x14ac:dyDescent="0.3">
      <c r="A248" s="984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  <c r="R248" s="2"/>
    </row>
    <row r="249" spans="1:18" ht="19.5" hidden="1" thickBot="1" x14ac:dyDescent="0.3">
      <c r="A249" s="984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  <c r="R249" s="2"/>
    </row>
    <row r="250" spans="1:18" ht="19.5" hidden="1" thickBot="1" x14ac:dyDescent="0.3">
      <c r="A250" s="984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  <c r="R250" s="2"/>
    </row>
    <row r="251" spans="1:18" ht="19.5" hidden="1" thickBot="1" x14ac:dyDescent="0.3">
      <c r="A251" s="984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  <c r="R251" s="2"/>
    </row>
    <row r="252" spans="1:18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  <c r="R252" s="2"/>
    </row>
    <row r="253" spans="1:18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  <c r="R253" s="2"/>
    </row>
    <row r="254" spans="1:18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  <c r="R254" s="2"/>
    </row>
    <row r="255" spans="1:18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  <c r="R255" s="2"/>
    </row>
    <row r="256" spans="1:18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  <c r="R256" s="2"/>
    </row>
    <row r="257" spans="1:18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  <c r="R257" s="2"/>
    </row>
    <row r="258" spans="1:18" ht="19.5" hidden="1" thickBot="1" x14ac:dyDescent="0.3">
      <c r="A258" s="985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  <c r="R258" s="2"/>
    </row>
    <row r="259" spans="1:18" ht="19.5" hidden="1" thickBot="1" x14ac:dyDescent="0.3">
      <c r="A259" s="985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  <c r="R259" s="2"/>
    </row>
    <row r="260" spans="1:18" ht="19.5" hidden="1" thickBot="1" x14ac:dyDescent="0.3">
      <c r="A260" s="984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  <c r="R260" s="2"/>
    </row>
    <row r="261" spans="1:18" ht="19.5" hidden="1" thickBot="1" x14ac:dyDescent="0.3">
      <c r="A261" s="984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  <c r="R261" s="2"/>
    </row>
    <row r="262" spans="1:18" ht="19.5" hidden="1" thickBot="1" x14ac:dyDescent="0.3">
      <c r="A262" s="985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  <c r="R262" s="2"/>
    </row>
    <row r="263" spans="1:18" ht="19.5" hidden="1" thickBot="1" x14ac:dyDescent="0.3">
      <c r="A263" s="985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  <c r="R263" s="2"/>
    </row>
    <row r="264" spans="1:18" ht="19.5" hidden="1" customHeight="1" thickBot="1" x14ac:dyDescent="0.3">
      <c r="A264" s="984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996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  <c r="R264" s="2"/>
    </row>
    <row r="265" spans="1:18" ht="19.5" hidden="1" thickBot="1" x14ac:dyDescent="0.3">
      <c r="A265" s="984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996"/>
      <c r="K265" s="90" t="str">
        <f t="shared" si="5"/>
        <v>08,23</v>
      </c>
      <c r="L265" s="90"/>
      <c r="M265" s="90"/>
      <c r="N265" s="90"/>
      <c r="O265" s="2"/>
      <c r="P265" s="2"/>
      <c r="Q265" s="2"/>
      <c r="R265" s="2"/>
    </row>
    <row r="266" spans="1:18" ht="19.5" hidden="1" thickBot="1" x14ac:dyDescent="0.3">
      <c r="A266" s="985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  <c r="R266" s="2"/>
    </row>
    <row r="267" spans="1:18" ht="19.5" hidden="1" thickBot="1" x14ac:dyDescent="0.3">
      <c r="A267" s="985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  <c r="R267" s="2"/>
    </row>
    <row r="268" spans="1:18" ht="19.5" hidden="1" customHeight="1" thickBot="1" x14ac:dyDescent="0.3">
      <c r="A268" s="984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1005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  <c r="R268" s="2"/>
    </row>
    <row r="269" spans="1:18" ht="19.5" hidden="1" thickBot="1" x14ac:dyDescent="0.3">
      <c r="A269" s="984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1005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  <c r="R269" s="2"/>
    </row>
    <row r="270" spans="1:18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  <c r="R270" s="2"/>
    </row>
    <row r="271" spans="1:18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  <c r="R271" s="2"/>
    </row>
    <row r="272" spans="1:18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  <c r="R272" s="2"/>
    </row>
    <row r="273" spans="1:18" ht="19.5" hidden="1" thickBot="1" x14ac:dyDescent="0.3">
      <c r="A273" s="984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  <c r="R273" s="2"/>
    </row>
    <row r="274" spans="1:18" ht="19.5" hidden="1" thickBot="1" x14ac:dyDescent="0.3">
      <c r="A274" s="984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  <c r="R274" s="2"/>
    </row>
    <row r="275" spans="1:18" ht="19.5" hidden="1" thickBot="1" x14ac:dyDescent="0.3">
      <c r="A275" s="984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  <c r="R275" s="2"/>
    </row>
    <row r="276" spans="1:18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  <c r="R276" s="2"/>
    </row>
    <row r="277" spans="1:18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  <c r="R277" s="2"/>
    </row>
    <row r="278" spans="1:18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  <c r="R278" s="2"/>
    </row>
    <row r="279" spans="1:18" ht="19.5" hidden="1" thickBot="1" x14ac:dyDescent="0.3">
      <c r="A279" s="984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  <c r="R279" s="2"/>
    </row>
    <row r="280" spans="1:18" ht="19.5" hidden="1" thickBot="1" x14ac:dyDescent="0.3">
      <c r="A280" s="984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  <c r="R280" s="2"/>
    </row>
    <row r="281" spans="1:18" ht="19.5" hidden="1" thickBot="1" x14ac:dyDescent="0.3">
      <c r="A281" s="984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  <c r="R281" s="2"/>
    </row>
    <row r="282" spans="1:18" ht="19.5" hidden="1" thickBot="1" x14ac:dyDescent="0.3">
      <c r="A282" s="984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  <c r="R282" s="2"/>
    </row>
    <row r="283" spans="1:18" ht="19.5" hidden="1" thickBot="1" x14ac:dyDescent="0.3">
      <c r="A283" s="984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  <c r="R283" s="2"/>
    </row>
    <row r="284" spans="1:18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  <c r="R284" s="2"/>
    </row>
    <row r="285" spans="1:18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  <c r="R285" s="2"/>
    </row>
    <row r="286" spans="1:18" ht="19.5" hidden="1" thickBot="1" x14ac:dyDescent="0.3">
      <c r="A286" s="985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  <c r="R286" s="2"/>
    </row>
    <row r="287" spans="1:18" ht="19.5" hidden="1" thickBot="1" x14ac:dyDescent="0.3">
      <c r="A287" s="985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  <c r="R287" s="2"/>
    </row>
    <row r="288" spans="1:18" ht="19.5" hidden="1" thickBot="1" x14ac:dyDescent="0.3">
      <c r="A288" s="984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  <c r="R288" s="2"/>
    </row>
    <row r="289" spans="1:18" ht="19.5" hidden="1" thickBot="1" x14ac:dyDescent="0.3">
      <c r="A289" s="984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  <c r="R289" s="2"/>
    </row>
    <row r="290" spans="1:18" ht="19.5" hidden="1" thickBot="1" x14ac:dyDescent="0.3">
      <c r="A290" s="985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  <c r="R290" s="2"/>
    </row>
    <row r="291" spans="1:18" ht="19.5" hidden="1" thickBot="1" x14ac:dyDescent="0.3">
      <c r="A291" s="985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  <c r="R291" s="2"/>
    </row>
    <row r="292" spans="1:18" ht="19.5" hidden="1" thickBot="1" x14ac:dyDescent="0.3">
      <c r="A292" s="984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  <c r="R292" s="2"/>
    </row>
    <row r="293" spans="1:18" ht="19.5" hidden="1" thickBot="1" x14ac:dyDescent="0.3">
      <c r="A293" s="984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  <c r="R293" s="2"/>
    </row>
    <row r="294" spans="1:18" ht="19.5" hidden="1" thickBot="1" x14ac:dyDescent="0.3">
      <c r="A294" s="984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  <c r="R294" s="2"/>
    </row>
    <row r="295" spans="1:18" ht="19.5" hidden="1" thickBot="1" x14ac:dyDescent="0.3">
      <c r="A295" s="984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  <c r="R295" s="2"/>
    </row>
    <row r="296" spans="1:18" ht="19.5" hidden="1" thickBot="1" x14ac:dyDescent="0.3">
      <c r="A296" s="985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  <c r="R296" s="2"/>
    </row>
    <row r="297" spans="1:18" ht="19.5" hidden="1" thickBot="1" x14ac:dyDescent="0.3">
      <c r="A297" s="985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  <c r="R297" s="2"/>
    </row>
    <row r="298" spans="1:18" ht="19.5" hidden="1" thickBot="1" x14ac:dyDescent="0.3">
      <c r="A298" s="985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  <c r="R298" s="2"/>
    </row>
    <row r="299" spans="1:18" ht="19.5" hidden="1" thickBot="1" x14ac:dyDescent="0.3">
      <c r="A299" s="985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  <c r="R299" s="2"/>
    </row>
    <row r="300" spans="1:18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  <c r="R300" s="2"/>
    </row>
    <row r="301" spans="1:18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  <c r="R301" s="2"/>
    </row>
    <row r="302" spans="1:18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  <c r="R302" s="2"/>
    </row>
    <row r="303" spans="1:18" ht="38.25" hidden="1" thickBot="1" x14ac:dyDescent="0.3">
      <c r="A303" s="985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  <c r="R303" s="2"/>
    </row>
    <row r="304" spans="1:18" ht="38.25" hidden="1" thickBot="1" x14ac:dyDescent="0.3">
      <c r="A304" s="985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  <c r="R304" s="2"/>
    </row>
    <row r="305" spans="1:18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  <c r="R305" s="2"/>
    </row>
    <row r="306" spans="1:18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  <c r="R306" s="2"/>
    </row>
    <row r="307" spans="1:18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  <c r="R307" s="2"/>
    </row>
    <row r="308" spans="1:18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  <c r="R308" s="2"/>
    </row>
    <row r="309" spans="1:18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  <c r="R309" s="2"/>
    </row>
    <row r="310" spans="1:18" ht="19.5" hidden="1" thickBot="1" x14ac:dyDescent="0.3">
      <c r="A310" s="985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  <c r="R310" s="2"/>
    </row>
    <row r="311" spans="1:18" ht="19.5" hidden="1" thickBot="1" x14ac:dyDescent="0.3">
      <c r="A311" s="985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  <c r="R311" s="2"/>
    </row>
    <row r="312" spans="1:18" ht="19.5" hidden="1" thickBot="1" x14ac:dyDescent="0.3">
      <c r="A312" s="984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  <c r="R312" s="2"/>
    </row>
    <row r="313" spans="1:18" ht="19.5" hidden="1" thickBot="1" x14ac:dyDescent="0.3">
      <c r="A313" s="984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  <c r="R313" s="2"/>
    </row>
    <row r="314" spans="1:18" ht="19.5" hidden="1" customHeight="1" thickBot="1" x14ac:dyDescent="0.3">
      <c r="A314" s="985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1007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  <c r="R314" s="2"/>
    </row>
    <row r="315" spans="1:18" ht="19.5" hidden="1" thickBot="1" x14ac:dyDescent="0.3">
      <c r="A315" s="985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1007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  <c r="R315" s="2"/>
    </row>
    <row r="316" spans="1:18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  <c r="R316" s="2"/>
    </row>
    <row r="317" spans="1:18" ht="38.25" hidden="1" thickBot="1" x14ac:dyDescent="0.3">
      <c r="A317" s="985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  <c r="R317" s="2"/>
    </row>
    <row r="318" spans="1:18" ht="38.25" hidden="1" thickBot="1" x14ac:dyDescent="0.3">
      <c r="A318" s="985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  <c r="R318" s="2"/>
    </row>
    <row r="319" spans="1:18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  <c r="R319" s="2"/>
    </row>
    <row r="320" spans="1:18" ht="19.5" hidden="1" thickBot="1" x14ac:dyDescent="0.3">
      <c r="A320" s="985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  <c r="R320" s="2"/>
    </row>
    <row r="321" spans="1:18" ht="19.5" hidden="1" thickBot="1" x14ac:dyDescent="0.3">
      <c r="A321" s="985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  <c r="R321" s="2"/>
    </row>
    <row r="322" spans="1:18" ht="19.5" hidden="1" thickBot="1" x14ac:dyDescent="0.3">
      <c r="A322" s="985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  <c r="R322" s="2"/>
    </row>
    <row r="323" spans="1:18" ht="19.5" hidden="1" thickBot="1" x14ac:dyDescent="0.3">
      <c r="A323" s="985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  <c r="R323" s="2"/>
    </row>
    <row r="324" spans="1:18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  <c r="R324" s="2"/>
    </row>
    <row r="325" spans="1:18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  <c r="R325" s="2"/>
    </row>
    <row r="326" spans="1:18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  <c r="R326" s="2"/>
    </row>
    <row r="327" spans="1:18" ht="19.5" hidden="1" thickBot="1" x14ac:dyDescent="0.3">
      <c r="A327" s="985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  <c r="R327" s="2"/>
    </row>
    <row r="328" spans="1:18" ht="19.5" hidden="1" thickBot="1" x14ac:dyDescent="0.3">
      <c r="A328" s="985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  <c r="R328" s="2"/>
    </row>
    <row r="329" spans="1:18" ht="19.5" hidden="1" thickBot="1" x14ac:dyDescent="0.3">
      <c r="A329" s="985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  <c r="R329" s="2"/>
    </row>
    <row r="330" spans="1:18" ht="19.5" hidden="1" thickBot="1" x14ac:dyDescent="0.3">
      <c r="A330" s="985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  <c r="R330" s="2"/>
    </row>
    <row r="331" spans="1:18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  <c r="R331" s="2"/>
    </row>
    <row r="332" spans="1:18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  <c r="R332" s="2"/>
    </row>
    <row r="333" spans="1:18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  <c r="R333" s="2"/>
    </row>
    <row r="334" spans="1:18" ht="19.5" hidden="1" thickBot="1" x14ac:dyDescent="0.3">
      <c r="A334" s="985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  <c r="R334" s="2"/>
    </row>
    <row r="335" spans="1:18" ht="19.5" hidden="1" thickBot="1" x14ac:dyDescent="0.3">
      <c r="A335" s="985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  <c r="R335" s="2"/>
    </row>
    <row r="336" spans="1:18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  <c r="R336" s="2"/>
    </row>
    <row r="337" spans="1:18" ht="19.5" hidden="1" thickBot="1" x14ac:dyDescent="0.3">
      <c r="A337" s="985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  <c r="R337" s="2"/>
    </row>
    <row r="338" spans="1:18" ht="19.5" hidden="1" thickBot="1" x14ac:dyDescent="0.3">
      <c r="A338" s="985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  <c r="R338" s="2"/>
    </row>
    <row r="339" spans="1:18" ht="19.5" hidden="1" thickBot="1" x14ac:dyDescent="0.3">
      <c r="A339" s="984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  <c r="R339" s="2"/>
    </row>
    <row r="340" spans="1:18" ht="19.5" hidden="1" thickBot="1" x14ac:dyDescent="0.3">
      <c r="A340" s="984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  <c r="R340" s="2"/>
    </row>
    <row r="341" spans="1:18" ht="19.5" hidden="1" thickBot="1" x14ac:dyDescent="0.3">
      <c r="A341" s="985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  <c r="R341" s="2"/>
    </row>
    <row r="342" spans="1:18" ht="19.5" hidden="1" thickBot="1" x14ac:dyDescent="0.3">
      <c r="A342" s="985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  <c r="R342" s="2"/>
    </row>
    <row r="343" spans="1:18" ht="19.5" hidden="1" thickBot="1" x14ac:dyDescent="0.3">
      <c r="A343" s="984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  <c r="R343" s="2"/>
    </row>
    <row r="344" spans="1:18" ht="19.5" hidden="1" thickBot="1" x14ac:dyDescent="0.3">
      <c r="A344" s="984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  <c r="R344" s="2"/>
    </row>
    <row r="345" spans="1:18" ht="19.5" hidden="1" thickBot="1" x14ac:dyDescent="0.3">
      <c r="A345" s="984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  <c r="R345" s="2"/>
    </row>
    <row r="346" spans="1:18" ht="19.5" hidden="1" thickBot="1" x14ac:dyDescent="0.3">
      <c r="A346" s="984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  <c r="R346" s="2"/>
    </row>
    <row r="347" spans="1:18" ht="19.5" hidden="1" thickBot="1" x14ac:dyDescent="0.3">
      <c r="A347" s="985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  <c r="R347" s="2"/>
    </row>
    <row r="348" spans="1:18" ht="19.5" hidden="1" thickBot="1" x14ac:dyDescent="0.3">
      <c r="A348" s="985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  <c r="R348" s="2"/>
    </row>
    <row r="349" spans="1:18" ht="19.5" hidden="1" thickBot="1" x14ac:dyDescent="0.3">
      <c r="A349" s="985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  <c r="R349" s="2"/>
    </row>
    <row r="350" spans="1:18" ht="19.5" hidden="1" thickBot="1" x14ac:dyDescent="0.3">
      <c r="A350" s="985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  <c r="R350" s="2"/>
    </row>
    <row r="351" spans="1:18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  <c r="R351" s="2"/>
    </row>
    <row r="352" spans="1:18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  <c r="R352" s="2"/>
    </row>
    <row r="353" spans="1:18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  <c r="R353" s="2"/>
    </row>
    <row r="354" spans="1:18" ht="38.25" hidden="1" thickBot="1" x14ac:dyDescent="0.3">
      <c r="A354" s="985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  <c r="R354" s="2"/>
    </row>
    <row r="355" spans="1:18" ht="38.25" hidden="1" thickBot="1" x14ac:dyDescent="0.3">
      <c r="A355" s="985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  <c r="R355" s="2"/>
    </row>
    <row r="356" spans="1:18" ht="19.5" hidden="1" thickBot="1" x14ac:dyDescent="0.3">
      <c r="A356" s="984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  <c r="R356" s="2"/>
    </row>
    <row r="357" spans="1:18" ht="19.5" hidden="1" thickBot="1" x14ac:dyDescent="0.3">
      <c r="A357" s="984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  <c r="R357" s="2"/>
    </row>
    <row r="358" spans="1:18" ht="19.5" hidden="1" thickBot="1" x14ac:dyDescent="0.3">
      <c r="A358" s="985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  <c r="R358" s="2"/>
    </row>
    <row r="359" spans="1:18" ht="19.5" hidden="1" thickBot="1" x14ac:dyDescent="0.3">
      <c r="A359" s="985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  <c r="R359" s="2"/>
    </row>
    <row r="360" spans="1:18" ht="19.5" hidden="1" thickBot="1" x14ac:dyDescent="0.3">
      <c r="A360" s="985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  <c r="R360" s="2"/>
    </row>
    <row r="361" spans="1:18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  <c r="R361" s="2"/>
    </row>
    <row r="362" spans="1:18" ht="19.5" hidden="1" customHeight="1" thickBot="1" x14ac:dyDescent="0.3">
      <c r="A362" s="985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990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  <c r="R362" s="2"/>
    </row>
    <row r="363" spans="1:18" ht="19.5" hidden="1" thickBot="1" x14ac:dyDescent="0.3">
      <c r="A363" s="985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990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  <c r="R363" s="2"/>
    </row>
    <row r="364" spans="1:18" ht="19.5" hidden="1" thickBot="1" x14ac:dyDescent="0.3">
      <c r="A364" s="984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  <c r="R364" s="2"/>
    </row>
    <row r="365" spans="1:18" ht="19.5" hidden="1" thickBot="1" x14ac:dyDescent="0.3">
      <c r="A365" s="984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  <c r="R365" s="2"/>
    </row>
    <row r="366" spans="1:18" ht="19.5" hidden="1" thickBot="1" x14ac:dyDescent="0.3">
      <c r="A366" s="984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  <c r="R366" s="2"/>
    </row>
    <row r="367" spans="1:18" ht="19.5" hidden="1" thickBot="1" x14ac:dyDescent="0.3">
      <c r="A367" s="984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  <c r="R367" s="2"/>
    </row>
    <row r="368" spans="1:18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  <c r="R368" s="2"/>
    </row>
    <row r="369" spans="1:18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  <c r="R369" s="2"/>
    </row>
    <row r="370" spans="1:18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  <c r="R370" s="2"/>
    </row>
    <row r="371" spans="1:18" ht="19.5" hidden="1" thickBot="1" x14ac:dyDescent="0.3">
      <c r="A371" s="984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  <c r="R371" s="2"/>
    </row>
    <row r="372" spans="1:18" ht="19.5" hidden="1" thickBot="1" x14ac:dyDescent="0.3">
      <c r="A372" s="984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  <c r="R372" s="2"/>
    </row>
    <row r="373" spans="1:18" ht="19.5" hidden="1" thickBot="1" x14ac:dyDescent="0.3">
      <c r="A373" s="984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  <c r="R373" s="2"/>
    </row>
    <row r="374" spans="1:18" ht="19.5" hidden="1" thickBot="1" x14ac:dyDescent="0.3">
      <c r="A374" s="984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  <c r="R374" s="2"/>
    </row>
    <row r="375" spans="1:18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  <c r="R375" s="2"/>
    </row>
    <row r="376" spans="1:18" ht="57" hidden="1" thickBot="1" x14ac:dyDescent="0.3">
      <c r="A376" s="984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  <c r="R376" s="2"/>
    </row>
    <row r="377" spans="1:18" ht="57" hidden="1" thickBot="1" x14ac:dyDescent="0.3">
      <c r="A377" s="984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  <c r="R377" s="2"/>
    </row>
    <row r="378" spans="1:18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  <c r="R378" s="2"/>
    </row>
    <row r="379" spans="1:18" ht="19.5" hidden="1" thickBot="1" x14ac:dyDescent="0.3">
      <c r="A379" s="984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  <c r="R379" s="2"/>
    </row>
    <row r="380" spans="1:18" ht="19.5" hidden="1" thickBot="1" x14ac:dyDescent="0.3">
      <c r="A380" s="984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  <c r="R380" s="2"/>
    </row>
    <row r="381" spans="1:18" ht="19.5" hidden="1" thickBot="1" x14ac:dyDescent="0.3">
      <c r="A381" s="985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  <c r="R381" s="2"/>
    </row>
    <row r="382" spans="1:18" ht="19.5" hidden="1" thickBot="1" x14ac:dyDescent="0.3">
      <c r="A382" s="985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  <c r="R382" s="2"/>
    </row>
    <row r="383" spans="1:18" ht="19.5" hidden="1" thickBot="1" x14ac:dyDescent="0.3">
      <c r="A383" s="984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  <c r="R383" s="2"/>
    </row>
    <row r="384" spans="1:18" ht="19.5" hidden="1" thickBot="1" x14ac:dyDescent="0.3">
      <c r="A384" s="984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  <c r="R384" s="2"/>
    </row>
    <row r="385" spans="1:18" ht="19.5" hidden="1" thickBot="1" x14ac:dyDescent="0.3">
      <c r="A385" s="985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  <c r="R385" s="2"/>
    </row>
    <row r="386" spans="1:18" ht="19.5" hidden="1" thickBot="1" x14ac:dyDescent="0.3">
      <c r="A386" s="985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  <c r="R386" s="2"/>
    </row>
    <row r="387" spans="1:18" ht="19.5" hidden="1" thickBot="1" x14ac:dyDescent="0.3">
      <c r="A387" s="985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  <c r="R387" s="2"/>
    </row>
    <row r="388" spans="1:18" ht="19.5" hidden="1" thickBot="1" x14ac:dyDescent="0.3">
      <c r="A388" s="985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  <c r="R388" s="2"/>
    </row>
    <row r="389" spans="1:18" ht="19.5" hidden="1" thickBot="1" x14ac:dyDescent="0.3">
      <c r="A389" s="985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  <c r="R389" s="2"/>
    </row>
    <row r="390" spans="1:18" ht="19.5" hidden="1" thickBot="1" x14ac:dyDescent="0.3">
      <c r="A390" s="985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  <c r="R390" s="2"/>
    </row>
    <row r="391" spans="1:18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  <c r="R391" s="2"/>
    </row>
    <row r="392" spans="1:18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  <c r="R392" s="2"/>
    </row>
    <row r="393" spans="1:18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  <c r="R393" s="2"/>
    </row>
    <row r="394" spans="1:18" ht="38.25" hidden="1" thickBot="1" x14ac:dyDescent="0.3">
      <c r="A394" s="985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  <c r="R394" s="2"/>
    </row>
    <row r="395" spans="1:18" ht="38.25" hidden="1" thickBot="1" x14ac:dyDescent="0.3">
      <c r="A395" s="985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  <c r="R395" s="2"/>
    </row>
    <row r="396" spans="1:18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  <c r="R396" s="2"/>
    </row>
    <row r="397" spans="1:18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  <c r="R397" s="2"/>
    </row>
    <row r="398" spans="1:18" ht="19.5" hidden="1" thickBot="1" x14ac:dyDescent="0.3">
      <c r="A398" s="984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  <c r="R398" s="2"/>
    </row>
    <row r="399" spans="1:18" ht="19.5" hidden="1" thickBot="1" x14ac:dyDescent="0.3">
      <c r="A399" s="984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  <c r="R399" s="2"/>
    </row>
    <row r="400" spans="1:18" ht="19.5" hidden="1" thickBot="1" x14ac:dyDescent="0.3">
      <c r="A400" s="985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  <c r="R400" s="2"/>
    </row>
    <row r="401" spans="1:18" ht="19.5" hidden="1" thickBot="1" x14ac:dyDescent="0.3">
      <c r="A401" s="985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  <c r="R401" s="2"/>
    </row>
    <row r="402" spans="1:18" ht="19.5" hidden="1" thickBot="1" x14ac:dyDescent="0.3">
      <c r="A402" s="985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  <c r="R402" s="2"/>
    </row>
    <row r="403" spans="1:18" ht="19.5" hidden="1" thickBot="1" x14ac:dyDescent="0.3">
      <c r="A403" s="984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  <c r="R403" s="2"/>
    </row>
    <row r="404" spans="1:18" ht="19.5" hidden="1" thickBot="1" x14ac:dyDescent="0.3">
      <c r="A404" s="984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  <c r="R404" s="2"/>
    </row>
    <row r="405" spans="1:18" ht="19.5" hidden="1" thickBot="1" x14ac:dyDescent="0.3">
      <c r="A405" s="985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  <c r="R405" s="2"/>
    </row>
    <row r="406" spans="1:18" ht="19.5" hidden="1" thickBot="1" x14ac:dyDescent="0.3">
      <c r="A406" s="985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  <c r="R406" s="2"/>
    </row>
    <row r="407" spans="1:18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  <c r="R407" s="2"/>
    </row>
    <row r="408" spans="1:18" ht="19.5" hidden="1" customHeight="1" thickBot="1" x14ac:dyDescent="0.3">
      <c r="A408" s="985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990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  <c r="R408" s="2"/>
    </row>
    <row r="409" spans="1:18" ht="19.5" hidden="1" thickBot="1" x14ac:dyDescent="0.3">
      <c r="A409" s="985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990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  <c r="R409" s="2"/>
    </row>
    <row r="410" spans="1:18" ht="19.5" hidden="1" thickBot="1" x14ac:dyDescent="0.3">
      <c r="A410" s="984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  <c r="R410" s="2"/>
    </row>
    <row r="411" spans="1:18" ht="19.5" hidden="1" thickBot="1" x14ac:dyDescent="0.3">
      <c r="A411" s="984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  <c r="R411" s="2"/>
    </row>
    <row r="412" spans="1:18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  <c r="R412" s="2"/>
    </row>
    <row r="413" spans="1:18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  <c r="R413" s="2"/>
    </row>
    <row r="414" spans="1:18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  <c r="R414" s="2"/>
    </row>
    <row r="415" spans="1:18" ht="19.5" hidden="1" thickBot="1" x14ac:dyDescent="0.3">
      <c r="A415" s="984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  <c r="R415" s="2"/>
    </row>
    <row r="416" spans="1:18" ht="19.5" hidden="1" thickBot="1" x14ac:dyDescent="0.3">
      <c r="A416" s="984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  <c r="R416" s="2"/>
    </row>
    <row r="417" spans="1:18" ht="19.5" hidden="1" thickBot="1" x14ac:dyDescent="0.3">
      <c r="A417" s="984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  <c r="R417" s="2"/>
    </row>
    <row r="418" spans="1:18" ht="19.5" hidden="1" thickBot="1" x14ac:dyDescent="0.3">
      <c r="A418" s="984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  <c r="R418" s="2"/>
    </row>
    <row r="419" spans="1:18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  <c r="R419" s="2"/>
    </row>
    <row r="420" spans="1:18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1004" t="s">
        <v>133</v>
      </c>
      <c r="J420" s="1004"/>
      <c r="K420" s="187" t="str">
        <f t="shared" si="7"/>
        <v>09,23</v>
      </c>
      <c r="L420" s="187"/>
      <c r="M420" s="187"/>
      <c r="N420" s="187"/>
      <c r="O420" s="2"/>
      <c r="P420" s="2"/>
      <c r="Q420" s="2"/>
      <c r="R420" s="2"/>
    </row>
    <row r="421" spans="1:18" ht="19.5" hidden="1" thickBot="1" x14ac:dyDescent="0.3">
      <c r="A421" s="985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  <c r="R421" s="2"/>
    </row>
    <row r="422" spans="1:18" ht="19.5" hidden="1" thickBot="1" x14ac:dyDescent="0.3">
      <c r="A422" s="985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  <c r="R422" s="2"/>
    </row>
    <row r="423" spans="1:18" ht="19.5" hidden="1" thickBot="1" x14ac:dyDescent="0.3">
      <c r="A423" s="984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  <c r="R423" s="2"/>
    </row>
    <row r="424" spans="1:18" ht="38.25" hidden="1" thickBot="1" x14ac:dyDescent="0.3">
      <c r="A424" s="984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  <c r="R424" s="2"/>
    </row>
    <row r="425" spans="1:18" ht="19.5" hidden="1" thickBot="1" x14ac:dyDescent="0.3">
      <c r="A425" s="985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  <c r="R425" s="2"/>
    </row>
    <row r="426" spans="1:18" ht="19.5" hidden="1" thickBot="1" x14ac:dyDescent="0.3">
      <c r="A426" s="985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  <c r="R426" s="2"/>
    </row>
    <row r="427" spans="1:18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  <c r="R427" s="2"/>
    </row>
    <row r="428" spans="1:18" ht="75.7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  <c r="R428" s="2"/>
    </row>
    <row r="429" spans="1:18" ht="19.5" hidden="1" thickBot="1" x14ac:dyDescent="0.3">
      <c r="A429" s="984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  <c r="R429" s="2"/>
    </row>
    <row r="430" spans="1:18" ht="19.5" hidden="1" thickBot="1" x14ac:dyDescent="0.3">
      <c r="A430" s="984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  <c r="R430" s="2"/>
    </row>
    <row r="431" spans="1:18" ht="19.5" hidden="1" thickBot="1" x14ac:dyDescent="0.3">
      <c r="A431" s="984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  <c r="R431" s="2"/>
    </row>
    <row r="432" spans="1:18" ht="19.5" hidden="1" thickBot="1" x14ac:dyDescent="0.3">
      <c r="A432" s="984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  <c r="R432" s="2"/>
    </row>
    <row r="433" spans="1:18" ht="19.5" hidden="1" thickBot="1" x14ac:dyDescent="0.3">
      <c r="A433" s="985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  <c r="R433" s="2"/>
    </row>
    <row r="434" spans="1:18" ht="19.5" hidden="1" thickBot="1" x14ac:dyDescent="0.3">
      <c r="A434" s="985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  <c r="R434" s="2"/>
    </row>
    <row r="435" spans="1:18" ht="19.5" hidden="1" thickBot="1" x14ac:dyDescent="0.3">
      <c r="A435" s="985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  <c r="R435" s="2"/>
    </row>
    <row r="436" spans="1:18" ht="38.25" hidden="1" thickBot="1" x14ac:dyDescent="0.3">
      <c r="A436" s="985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  <c r="R436" s="2"/>
    </row>
    <row r="437" spans="1:18" ht="19.5" hidden="1" thickBot="1" x14ac:dyDescent="0.3">
      <c r="A437" s="985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  <c r="R437" s="2"/>
    </row>
    <row r="438" spans="1:18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  <c r="R438" s="2"/>
    </row>
    <row r="439" spans="1:18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  <c r="R439" s="2"/>
    </row>
    <row r="440" spans="1:18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  <c r="R440" s="2"/>
    </row>
    <row r="441" spans="1:18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  <c r="R441" s="2"/>
    </row>
    <row r="442" spans="1:18" ht="19.5" hidden="1" thickBot="1" x14ac:dyDescent="0.3">
      <c r="A442" s="984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  <c r="R442" s="2"/>
    </row>
    <row r="443" spans="1:18" ht="19.5" hidden="1" thickBot="1" x14ac:dyDescent="0.3">
      <c r="A443" s="984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  <c r="R443" s="2"/>
    </row>
    <row r="444" spans="1:18" ht="19.5" hidden="1" thickBot="1" x14ac:dyDescent="0.3">
      <c r="A444" s="984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  <c r="R444" s="2"/>
    </row>
    <row r="445" spans="1:18" ht="19.5" hidden="1" thickBot="1" x14ac:dyDescent="0.3">
      <c r="A445" s="985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  <c r="R445" s="2"/>
    </row>
    <row r="446" spans="1:18" ht="19.5" hidden="1" thickBot="1" x14ac:dyDescent="0.3">
      <c r="A446" s="985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  <c r="R446" s="2"/>
    </row>
    <row r="447" spans="1:18" ht="19.5" hidden="1" thickBot="1" x14ac:dyDescent="0.3">
      <c r="A447" s="984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  <c r="R447" s="2"/>
    </row>
    <row r="448" spans="1:18" ht="19.5" hidden="1" thickBot="1" x14ac:dyDescent="0.3">
      <c r="A448" s="984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  <c r="R448" s="2"/>
    </row>
    <row r="449" spans="1:18" ht="19.5" hidden="1" thickBot="1" x14ac:dyDescent="0.3">
      <c r="A449" s="985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  <c r="R449" s="2"/>
    </row>
    <row r="450" spans="1:18" ht="19.5" hidden="1" thickBot="1" x14ac:dyDescent="0.3">
      <c r="A450" s="985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  <c r="R450" s="2"/>
    </row>
    <row r="451" spans="1:18" ht="19.5" hidden="1" customHeight="1" thickBot="1" x14ac:dyDescent="0.3">
      <c r="A451" s="984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987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  <c r="R451" s="2"/>
    </row>
    <row r="452" spans="1:18" ht="19.5" hidden="1" thickBot="1" x14ac:dyDescent="0.3">
      <c r="A452" s="984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987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  <c r="R452" s="2"/>
    </row>
    <row r="453" spans="1:18" ht="57" hidden="1" thickBot="1" x14ac:dyDescent="0.3">
      <c r="A453" s="985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  <c r="R453" s="2"/>
    </row>
    <row r="454" spans="1:18" ht="57" hidden="1" thickBot="1" x14ac:dyDescent="0.3">
      <c r="A454" s="985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  <c r="R454" s="2"/>
    </row>
    <row r="455" spans="1:18" ht="38.25" hidden="1" thickBot="1" x14ac:dyDescent="0.3">
      <c r="A455" s="984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  <c r="R455" s="2"/>
    </row>
    <row r="456" spans="1:18" ht="38.25" hidden="1" thickBot="1" x14ac:dyDescent="0.3">
      <c r="A456" s="984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  <c r="R456" s="2"/>
    </row>
    <row r="457" spans="1:18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  <c r="R457" s="2"/>
    </row>
    <row r="458" spans="1:18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  <c r="R458" s="2"/>
    </row>
    <row r="459" spans="1:18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  <c r="R459" s="2"/>
    </row>
    <row r="460" spans="1:18" ht="19.5" hidden="1" thickBot="1" x14ac:dyDescent="0.3">
      <c r="A460" s="984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  <c r="R460" s="2"/>
    </row>
    <row r="461" spans="1:18" ht="19.5" hidden="1" thickBot="1" x14ac:dyDescent="0.3">
      <c r="A461" s="984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  <c r="R461" s="2"/>
    </row>
    <row r="462" spans="1:18" ht="19.5" hidden="1" thickBot="1" x14ac:dyDescent="0.3">
      <c r="A462" s="984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  <c r="R462" s="2"/>
    </row>
    <row r="463" spans="1:18" ht="19.5" hidden="1" thickBot="1" x14ac:dyDescent="0.3">
      <c r="A463" s="984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  <c r="R463" s="2"/>
    </row>
    <row r="464" spans="1:18" ht="19.5" hidden="1" thickBot="1" x14ac:dyDescent="0.3">
      <c r="A464" s="988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  <c r="R464" s="2"/>
    </row>
    <row r="465" spans="1:18" ht="19.5" hidden="1" thickBot="1" x14ac:dyDescent="0.3">
      <c r="A465" s="988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  <c r="R465" s="2"/>
    </row>
    <row r="466" spans="1:18" ht="19.5" hidden="1" thickBot="1" x14ac:dyDescent="0.3">
      <c r="A466" s="988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  <c r="R466" s="2"/>
    </row>
    <row r="467" spans="1:18" ht="19.5" hidden="1" thickBot="1" x14ac:dyDescent="0.3">
      <c r="A467" s="984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  <c r="R467" s="2"/>
    </row>
    <row r="468" spans="1:18" ht="19.5" hidden="1" thickBot="1" x14ac:dyDescent="0.3">
      <c r="A468" s="984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  <c r="R468" s="2"/>
    </row>
    <row r="469" spans="1:18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  <c r="R469" s="2"/>
    </row>
    <row r="470" spans="1:18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  <c r="R470" s="2"/>
    </row>
    <row r="471" spans="1:18" ht="19.5" hidden="1" thickBot="1" x14ac:dyDescent="0.3">
      <c r="A471" s="985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  <c r="R471" s="2"/>
    </row>
    <row r="472" spans="1:18" ht="19.5" hidden="1" thickBot="1" x14ac:dyDescent="0.3">
      <c r="A472" s="985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  <c r="R472" s="2"/>
    </row>
    <row r="473" spans="1:18" ht="19.5" hidden="1" thickBot="1" x14ac:dyDescent="0.3">
      <c r="A473" s="984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  <c r="R473" s="2"/>
    </row>
    <row r="474" spans="1:18" ht="19.5" hidden="1" thickBot="1" x14ac:dyDescent="0.3">
      <c r="A474" s="984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  <c r="R474" s="2"/>
    </row>
    <row r="475" spans="1:18" ht="19.5" hidden="1" thickBot="1" x14ac:dyDescent="0.3">
      <c r="A475" s="984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  <c r="R475" s="2"/>
    </row>
    <row r="476" spans="1:18" ht="19.5" hidden="1" thickBot="1" x14ac:dyDescent="0.3">
      <c r="A476" s="984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  <c r="R476" s="2"/>
    </row>
    <row r="477" spans="1:18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  <c r="R477" s="2"/>
    </row>
    <row r="478" spans="1:18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  <c r="R478" s="2"/>
    </row>
    <row r="479" spans="1:18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  <c r="R479" s="2"/>
    </row>
    <row r="480" spans="1:18" ht="19.5" hidden="1" thickBot="1" x14ac:dyDescent="0.3">
      <c r="A480" s="984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  <c r="R480" s="2"/>
    </row>
    <row r="481" spans="1:18" ht="19.5" hidden="1" thickBot="1" x14ac:dyDescent="0.3">
      <c r="A481" s="984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  <c r="R481" s="2"/>
    </row>
    <row r="482" spans="1:18" ht="19.5" hidden="1" thickBot="1" x14ac:dyDescent="0.3">
      <c r="A482" s="984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  <c r="R482" s="2"/>
    </row>
    <row r="483" spans="1:18" ht="19.5" hidden="1" thickBot="1" x14ac:dyDescent="0.3">
      <c r="A483" s="984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  <c r="R483" s="2"/>
    </row>
    <row r="484" spans="1:18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  <c r="R484" s="2"/>
    </row>
    <row r="485" spans="1:18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  <c r="R485" s="2"/>
    </row>
    <row r="486" spans="1:18" ht="19.5" hidden="1" thickBot="1" x14ac:dyDescent="0.3">
      <c r="A486" s="985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  <c r="R486" s="2"/>
    </row>
    <row r="487" spans="1:18" ht="19.5" hidden="1" thickBot="1" x14ac:dyDescent="0.3">
      <c r="A487" s="985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  <c r="R487" s="2"/>
    </row>
    <row r="488" spans="1:18" ht="19.5" hidden="1" thickBot="1" x14ac:dyDescent="0.3">
      <c r="A488" s="985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  <c r="R488" s="2"/>
    </row>
    <row r="489" spans="1:18" ht="19.5" hidden="1" thickBot="1" x14ac:dyDescent="0.3">
      <c r="A489" s="985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  <c r="R489" s="2"/>
    </row>
    <row r="490" spans="1:18" ht="19.5" hidden="1" thickBot="1" x14ac:dyDescent="0.3">
      <c r="A490" s="984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  <c r="R490" s="2"/>
    </row>
    <row r="491" spans="1:18" ht="19.5" hidden="1" thickBot="1" x14ac:dyDescent="0.3">
      <c r="A491" s="984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  <c r="R491" s="2"/>
    </row>
    <row r="492" spans="1:18" ht="19.5" hidden="1" thickBot="1" x14ac:dyDescent="0.3">
      <c r="A492" s="984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  <c r="R492" s="2"/>
    </row>
    <row r="493" spans="1:18" ht="19.5" hidden="1" thickBot="1" x14ac:dyDescent="0.3">
      <c r="A493" s="985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  <c r="R493" s="2"/>
    </row>
    <row r="494" spans="1:18" ht="19.5" hidden="1" thickBot="1" x14ac:dyDescent="0.3">
      <c r="A494" s="985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  <c r="R494" s="2"/>
    </row>
    <row r="495" spans="1:18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  <c r="R495" s="2"/>
    </row>
    <row r="496" spans="1:18" ht="19.5" hidden="1" customHeight="1" thickBot="1" x14ac:dyDescent="0.3">
      <c r="A496" s="985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990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  <c r="R496" s="2"/>
    </row>
    <row r="497" spans="1:18" ht="19.5" hidden="1" thickBot="1" x14ac:dyDescent="0.3">
      <c r="A497" s="985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990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  <c r="R497" s="2"/>
    </row>
    <row r="498" spans="1:18" ht="38.25" hidden="1" thickBot="1" x14ac:dyDescent="0.3">
      <c r="A498" s="984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  <c r="R498" s="2"/>
    </row>
    <row r="499" spans="1:18" ht="38.25" hidden="1" thickBot="1" x14ac:dyDescent="0.3">
      <c r="A499" s="984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  <c r="R499" s="2"/>
    </row>
    <row r="500" spans="1:18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  <c r="R500" s="2"/>
    </row>
    <row r="501" spans="1:18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  <c r="R501" s="2"/>
    </row>
    <row r="502" spans="1:18" ht="19.5" hidden="1" customHeight="1" thickBot="1" x14ac:dyDescent="0.3">
      <c r="A502" s="985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1000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  <c r="R502" s="2"/>
    </row>
    <row r="503" spans="1:18" ht="19.5" hidden="1" thickBot="1" x14ac:dyDescent="0.3">
      <c r="A503" s="985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1000"/>
      <c r="K503" s="31" t="str">
        <f t="shared" si="8"/>
        <v>10,23</v>
      </c>
      <c r="L503" s="31"/>
      <c r="M503" s="31"/>
      <c r="N503" s="31"/>
      <c r="O503" s="2"/>
      <c r="P503" s="2"/>
      <c r="Q503" s="2"/>
      <c r="R503" s="2"/>
    </row>
    <row r="504" spans="1:18" ht="19.5" hidden="1" thickBot="1" x14ac:dyDescent="0.3">
      <c r="A504" s="984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1000"/>
      <c r="K504" s="82" t="str">
        <f t="shared" si="8"/>
        <v>10,23</v>
      </c>
      <c r="L504" s="82"/>
      <c r="M504" s="82"/>
      <c r="N504" s="82"/>
      <c r="O504" s="2"/>
      <c r="P504" s="2"/>
      <c r="Q504" s="2"/>
      <c r="R504" s="2"/>
    </row>
    <row r="505" spans="1:18" ht="19.5" hidden="1" thickBot="1" x14ac:dyDescent="0.3">
      <c r="A505" s="984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1000"/>
      <c r="K505" s="109" t="str">
        <f t="shared" si="8"/>
        <v>10,23</v>
      </c>
      <c r="L505" s="109"/>
      <c r="M505" s="109"/>
      <c r="N505" s="109"/>
      <c r="O505" s="2"/>
      <c r="P505" s="2"/>
      <c r="Q505" s="2"/>
      <c r="R505" s="2"/>
    </row>
    <row r="506" spans="1:18" ht="19.5" hidden="1" thickBot="1" x14ac:dyDescent="0.3">
      <c r="A506" s="984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1000"/>
      <c r="K506" s="107" t="str">
        <f t="shared" si="8"/>
        <v>10,23</v>
      </c>
      <c r="L506" s="107"/>
      <c r="M506" s="107"/>
      <c r="N506" s="107"/>
      <c r="O506" s="2"/>
      <c r="P506" s="2"/>
      <c r="Q506" s="2"/>
      <c r="R506" s="2"/>
    </row>
    <row r="507" spans="1:18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  <c r="R507" s="2"/>
    </row>
    <row r="508" spans="1:18" ht="38.25" hidden="1" thickBot="1" x14ac:dyDescent="0.3">
      <c r="A508" s="984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  <c r="R508" s="2"/>
    </row>
    <row r="509" spans="1:18" ht="38.25" hidden="1" thickBot="1" x14ac:dyDescent="0.3">
      <c r="A509" s="984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  <c r="R509" s="2"/>
    </row>
    <row r="510" spans="1:18" ht="38.25" hidden="1" thickBot="1" x14ac:dyDescent="0.3">
      <c r="A510" s="984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  <c r="R510" s="2"/>
    </row>
    <row r="511" spans="1:18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  <c r="R511" s="2"/>
    </row>
    <row r="512" spans="1:18" ht="19.5" hidden="1" thickBot="1" x14ac:dyDescent="0.3">
      <c r="A512" s="984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  <c r="R512" s="2"/>
    </row>
    <row r="513" spans="1:18" ht="19.5" hidden="1" thickBot="1" x14ac:dyDescent="0.3">
      <c r="A513" s="984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  <c r="R513" s="2"/>
    </row>
    <row r="514" spans="1:18" ht="19.5" hidden="1" thickBot="1" x14ac:dyDescent="0.3">
      <c r="A514" s="984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  <c r="R514" s="2"/>
    </row>
    <row r="515" spans="1:18" ht="19.5" hidden="1" thickBot="1" x14ac:dyDescent="0.3">
      <c r="A515" s="985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  <c r="R515" s="2"/>
    </row>
    <row r="516" spans="1:18" ht="19.5" hidden="1" thickBot="1" x14ac:dyDescent="0.3">
      <c r="A516" s="985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  <c r="R516" s="2"/>
    </row>
    <row r="517" spans="1:18" ht="19.5" hidden="1" thickBot="1" x14ac:dyDescent="0.3">
      <c r="A517" s="985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  <c r="R517" s="2"/>
    </row>
    <row r="518" spans="1:18" ht="19.5" hidden="1" thickBot="1" x14ac:dyDescent="0.3">
      <c r="A518" s="984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  <c r="R518" s="2"/>
    </row>
    <row r="519" spans="1:18" ht="19.5" hidden="1" thickBot="1" x14ac:dyDescent="0.3">
      <c r="A519" s="984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  <c r="R519" s="2"/>
    </row>
    <row r="520" spans="1:18" ht="19.5" hidden="1" thickBot="1" x14ac:dyDescent="0.3">
      <c r="A520" s="984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  <c r="R520" s="2"/>
    </row>
    <row r="521" spans="1:18" ht="19.5" hidden="1" thickBot="1" x14ac:dyDescent="0.3">
      <c r="A521" s="985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  <c r="R521" s="2"/>
    </row>
    <row r="522" spans="1:18" ht="19.5" hidden="1" thickBot="1" x14ac:dyDescent="0.3">
      <c r="A522" s="985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  <c r="R522" s="2"/>
    </row>
    <row r="523" spans="1:18" ht="38.25" hidden="1" thickBot="1" x14ac:dyDescent="0.3">
      <c r="A523" s="985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  <c r="R523" s="2"/>
    </row>
    <row r="524" spans="1:18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  <c r="R524" s="2"/>
    </row>
    <row r="525" spans="1:18" ht="19.5" hidden="1" thickBot="1" x14ac:dyDescent="0.3">
      <c r="A525" s="985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  <c r="R525" s="2"/>
    </row>
    <row r="526" spans="1:18" ht="19.5" hidden="1" thickBot="1" x14ac:dyDescent="0.3">
      <c r="A526" s="985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  <c r="R526" s="2"/>
    </row>
    <row r="527" spans="1:18" ht="19.5" hidden="1" thickBot="1" x14ac:dyDescent="0.3">
      <c r="A527" s="984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  <c r="R527" s="2"/>
    </row>
    <row r="528" spans="1:18" ht="19.5" hidden="1" thickBot="1" x14ac:dyDescent="0.3">
      <c r="A528" s="984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  <c r="R528" s="2"/>
    </row>
    <row r="529" spans="1:18" ht="19.5" hidden="1" thickBot="1" x14ac:dyDescent="0.3">
      <c r="A529" s="984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  <c r="R529" s="2"/>
    </row>
    <row r="530" spans="1:18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  <c r="R530" s="2"/>
    </row>
    <row r="531" spans="1:18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  <c r="R531" s="2"/>
    </row>
    <row r="532" spans="1:18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  <c r="R532" s="2"/>
    </row>
    <row r="533" spans="1:18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  <c r="R533" s="2"/>
    </row>
    <row r="534" spans="1:18" ht="19.5" hidden="1" thickBot="1" x14ac:dyDescent="0.3">
      <c r="A534" s="985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  <c r="R534" s="2"/>
    </row>
    <row r="535" spans="1:18" ht="19.5" hidden="1" thickBot="1" x14ac:dyDescent="0.3">
      <c r="A535" s="985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  <c r="R535" s="2"/>
    </row>
    <row r="536" spans="1:18" ht="19.5" hidden="1" thickBot="1" x14ac:dyDescent="0.3">
      <c r="A536" s="985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  <c r="R536" s="2"/>
    </row>
    <row r="537" spans="1:18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  <c r="R537" s="2"/>
    </row>
    <row r="538" spans="1:18" ht="19.5" hidden="1" thickBot="1" x14ac:dyDescent="0.3">
      <c r="A538" s="985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  <c r="R538" s="2"/>
    </row>
    <row r="539" spans="1:18" ht="19.5" hidden="1" thickBot="1" x14ac:dyDescent="0.3">
      <c r="A539" s="985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  <c r="R539" s="2"/>
    </row>
    <row r="540" spans="1:18" ht="19.5" hidden="1" thickBot="1" x14ac:dyDescent="0.3">
      <c r="A540" s="985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  <c r="R540" s="2"/>
    </row>
    <row r="541" spans="1:18" ht="19.5" hidden="1" thickBot="1" x14ac:dyDescent="0.3">
      <c r="A541" s="984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  <c r="R541" s="2"/>
    </row>
    <row r="542" spans="1:18" ht="19.5" hidden="1" thickBot="1" x14ac:dyDescent="0.3">
      <c r="A542" s="984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  <c r="R542" s="2"/>
    </row>
    <row r="543" spans="1:18" ht="19.5" hidden="1" thickBot="1" x14ac:dyDescent="0.3">
      <c r="A543" s="984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  <c r="R543" s="2"/>
    </row>
    <row r="544" spans="1:18" ht="19.5" hidden="1" thickBot="1" x14ac:dyDescent="0.3">
      <c r="A544" s="985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  <c r="R544" s="2"/>
    </row>
    <row r="545" spans="1:18" ht="19.5" hidden="1" thickBot="1" x14ac:dyDescent="0.3">
      <c r="A545" s="985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  <c r="R545" s="2"/>
    </row>
    <row r="546" spans="1:18" ht="19.5" hidden="1" thickBot="1" x14ac:dyDescent="0.3">
      <c r="A546" s="985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  <c r="R546" s="2"/>
    </row>
    <row r="547" spans="1:18" ht="19.5" hidden="1" thickBot="1" x14ac:dyDescent="0.3">
      <c r="A547" s="985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  <c r="R547" s="2"/>
    </row>
    <row r="548" spans="1:18" ht="57" hidden="1" thickBot="1" x14ac:dyDescent="0.3">
      <c r="A548" s="984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  <c r="R548" s="2"/>
    </row>
    <row r="549" spans="1:18" ht="57" hidden="1" thickBot="1" x14ac:dyDescent="0.3">
      <c r="A549" s="984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  <c r="R549" s="2"/>
    </row>
    <row r="550" spans="1:18" ht="57" hidden="1" thickBot="1" x14ac:dyDescent="0.3">
      <c r="A550" s="984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  <c r="R550" s="2"/>
    </row>
    <row r="551" spans="1:18" ht="38.25" hidden="1" thickBot="1" x14ac:dyDescent="0.3">
      <c r="A551" s="985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  <c r="R551" s="2"/>
    </row>
    <row r="552" spans="1:18" ht="38.25" hidden="1" thickBot="1" x14ac:dyDescent="0.3">
      <c r="A552" s="985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  <c r="R552" s="2"/>
    </row>
    <row r="553" spans="1:18" ht="38.25" hidden="1" thickBot="1" x14ac:dyDescent="0.3">
      <c r="A553" s="985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  <c r="R553" s="2"/>
    </row>
    <row r="554" spans="1:18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  <c r="R554" s="2"/>
    </row>
    <row r="555" spans="1:18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  <c r="R555" s="2"/>
    </row>
    <row r="556" spans="1:18" ht="19.5" hidden="1" customHeight="1" thickBot="1" x14ac:dyDescent="0.3">
      <c r="A556" s="984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987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  <c r="R556" s="2"/>
    </row>
    <row r="557" spans="1:18" ht="19.5" hidden="1" thickBot="1" x14ac:dyDescent="0.3">
      <c r="A557" s="984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987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  <c r="R557" s="2"/>
    </row>
    <row r="558" spans="1:18" ht="38.2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  <c r="R558" s="2"/>
    </row>
    <row r="559" spans="1:18" ht="38.25" hidden="1" thickBot="1" x14ac:dyDescent="0.3">
      <c r="A559" s="984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  <c r="R559" s="2"/>
    </row>
    <row r="560" spans="1:18" ht="38.25" hidden="1" thickBot="1" x14ac:dyDescent="0.3">
      <c r="A560" s="984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  <c r="R560" s="2"/>
    </row>
    <row r="561" spans="1:18" ht="38.25" hidden="1" thickBot="1" x14ac:dyDescent="0.3">
      <c r="A561" s="984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  <c r="R561" s="2"/>
    </row>
    <row r="562" spans="1:18" ht="38.25" hidden="1" thickBot="1" x14ac:dyDescent="0.3">
      <c r="A562" s="984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  <c r="R562" s="2"/>
    </row>
    <row r="563" spans="1:18" ht="38.25" hidden="1" thickBot="1" x14ac:dyDescent="0.3">
      <c r="A563" s="984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  <c r="R563" s="2"/>
    </row>
    <row r="564" spans="1:18" ht="19.5" hidden="1" thickBot="1" x14ac:dyDescent="0.3">
      <c r="A564" s="985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  <c r="R564" s="2"/>
    </row>
    <row r="565" spans="1:18" ht="19.5" hidden="1" thickBot="1" x14ac:dyDescent="0.3">
      <c r="A565" s="985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  <c r="R565" s="2"/>
    </row>
    <row r="566" spans="1:18" ht="19.5" hidden="1" thickBot="1" x14ac:dyDescent="0.3">
      <c r="A566" s="985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  <c r="R566" s="2"/>
    </row>
    <row r="567" spans="1:18" ht="19.5" hidden="1" thickBot="1" x14ac:dyDescent="0.3">
      <c r="A567" s="985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  <c r="R567" s="2"/>
    </row>
    <row r="568" spans="1:18" ht="19.5" hidden="1" thickBot="1" x14ac:dyDescent="0.3">
      <c r="A568" s="984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  <c r="R568" s="2"/>
    </row>
    <row r="569" spans="1:18" ht="19.5" hidden="1" thickBot="1" x14ac:dyDescent="0.3">
      <c r="A569" s="984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  <c r="R569" s="2"/>
    </row>
    <row r="570" spans="1:18" ht="19.5" hidden="1" thickBot="1" x14ac:dyDescent="0.3">
      <c r="A570" s="984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  <c r="R570" s="2"/>
    </row>
    <row r="571" spans="1:18" ht="19.5" hidden="1" thickBot="1" x14ac:dyDescent="0.3">
      <c r="A571" s="985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  <c r="R571" s="2"/>
    </row>
    <row r="572" spans="1:18" ht="19.5" hidden="1" thickBot="1" x14ac:dyDescent="0.3">
      <c r="A572" s="985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  <c r="R572" s="2"/>
    </row>
    <row r="573" spans="1:18" ht="19.5" hidden="1" thickBot="1" x14ac:dyDescent="0.3">
      <c r="A573" s="985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  <c r="R573" s="2"/>
    </row>
    <row r="574" spans="1:18" ht="19.5" hidden="1" thickBot="1" x14ac:dyDescent="0.3">
      <c r="A574" s="984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  <c r="R574" s="2"/>
    </row>
    <row r="575" spans="1:18" ht="19.5" hidden="1" thickBot="1" x14ac:dyDescent="0.3">
      <c r="A575" s="984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  <c r="R575" s="2"/>
    </row>
    <row r="576" spans="1:18" ht="19.5" hidden="1" thickBot="1" x14ac:dyDescent="0.3">
      <c r="A576" s="984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  <c r="R576" s="2"/>
    </row>
    <row r="577" spans="1:18" ht="19.5" hidden="1" thickBot="1" x14ac:dyDescent="0.3">
      <c r="A577" s="984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  <c r="R577" s="2"/>
    </row>
    <row r="578" spans="1:18" ht="19.5" hidden="1" thickBot="1" x14ac:dyDescent="0.3">
      <c r="A578" s="984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  <c r="R578" s="2"/>
    </row>
    <row r="579" spans="1:18" ht="19.5" hidden="1" thickBot="1" x14ac:dyDescent="0.3">
      <c r="A579" s="984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  <c r="R579" s="2"/>
    </row>
    <row r="580" spans="1:18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  <c r="R580" s="2"/>
    </row>
    <row r="581" spans="1:18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  <c r="R581" s="2"/>
    </row>
    <row r="582" spans="1:18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  <c r="R582" s="2"/>
    </row>
    <row r="583" spans="1:18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  <c r="R583" s="2"/>
    </row>
    <row r="584" spans="1:18" ht="19.5" hidden="1" thickBot="1" x14ac:dyDescent="0.3">
      <c r="A584" s="985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  <c r="R584" s="2"/>
    </row>
    <row r="585" spans="1:18" ht="19.5" hidden="1" thickBot="1" x14ac:dyDescent="0.3">
      <c r="A585" s="985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  <c r="R585" s="2"/>
    </row>
    <row r="586" spans="1:18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  <c r="R586" s="2"/>
    </row>
    <row r="587" spans="1:18" ht="19.5" hidden="1" thickBot="1" x14ac:dyDescent="0.3">
      <c r="A587" s="985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  <c r="R587" s="2"/>
    </row>
    <row r="588" spans="1:18" ht="19.5" hidden="1" thickBot="1" x14ac:dyDescent="0.3">
      <c r="A588" s="985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  <c r="R588" s="2"/>
    </row>
    <row r="589" spans="1:18" ht="19.5" hidden="1" thickBot="1" x14ac:dyDescent="0.3">
      <c r="A589" s="985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  <c r="R589" s="2"/>
    </row>
    <row r="590" spans="1:18" ht="19.5" hidden="1" thickBot="1" x14ac:dyDescent="0.3">
      <c r="A590" s="985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  <c r="R590" s="2"/>
    </row>
    <row r="591" spans="1:18" ht="19.5" hidden="1" thickBot="1" x14ac:dyDescent="0.3">
      <c r="A591" s="985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  <c r="R591" s="2"/>
    </row>
    <row r="592" spans="1:18" ht="19.5" hidden="1" thickBot="1" x14ac:dyDescent="0.3">
      <c r="A592" s="985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  <c r="R592" s="2"/>
    </row>
    <row r="593" spans="1:18" ht="19.5" hidden="1" thickBot="1" x14ac:dyDescent="0.3">
      <c r="A593" s="984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  <c r="R593" s="2"/>
    </row>
    <row r="594" spans="1:18" ht="19.5" hidden="1" thickBot="1" x14ac:dyDescent="0.3">
      <c r="A594" s="984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  <c r="R594" s="2"/>
    </row>
    <row r="595" spans="1:18" ht="19.5" hidden="1" thickBot="1" x14ac:dyDescent="0.3">
      <c r="A595" s="984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  <c r="R595" s="2"/>
    </row>
    <row r="596" spans="1:18" ht="19.5" hidden="1" customHeight="1" thickBot="1" x14ac:dyDescent="0.3">
      <c r="A596" s="985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990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  <c r="R596" s="2"/>
    </row>
    <row r="597" spans="1:18" ht="19.5" hidden="1" thickBot="1" x14ac:dyDescent="0.3">
      <c r="A597" s="985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990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  <c r="R597" s="2"/>
    </row>
    <row r="598" spans="1:18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  <c r="R598" s="2"/>
    </row>
    <row r="599" spans="1:18" ht="38.25" hidden="1" thickBot="1" x14ac:dyDescent="0.3">
      <c r="A599" s="985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  <c r="R599" s="2"/>
    </row>
    <row r="600" spans="1:18" ht="38.25" hidden="1" thickBot="1" x14ac:dyDescent="0.3">
      <c r="A600" s="985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  <c r="R600" s="2"/>
    </row>
    <row r="601" spans="1:18" ht="38.25" hidden="1" thickBot="1" x14ac:dyDescent="0.3">
      <c r="A601" s="984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  <c r="R601" s="2"/>
    </row>
    <row r="602" spans="1:18" ht="38.25" hidden="1" thickBot="1" x14ac:dyDescent="0.3">
      <c r="A602" s="984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  <c r="R602" s="2"/>
    </row>
    <row r="603" spans="1:18" ht="38.25" hidden="1" thickBot="1" x14ac:dyDescent="0.3">
      <c r="A603" s="984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  <c r="R603" s="2"/>
    </row>
    <row r="604" spans="1:18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  <c r="R604" s="2"/>
    </row>
    <row r="605" spans="1:18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  <c r="R605" s="2"/>
    </row>
    <row r="606" spans="1:18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  <c r="R606" s="2"/>
    </row>
    <row r="607" spans="1:18" ht="19.5" hidden="1" thickBot="1" x14ac:dyDescent="0.3">
      <c r="A607" s="984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  <c r="R607" s="2"/>
    </row>
    <row r="608" spans="1:18" ht="19.5" hidden="1" thickBot="1" x14ac:dyDescent="0.3">
      <c r="A608" s="984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  <c r="R608" s="2"/>
    </row>
    <row r="609" spans="1:18" ht="19.5" hidden="1" thickBot="1" x14ac:dyDescent="0.3">
      <c r="A609" s="984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  <c r="R609" s="2"/>
    </row>
    <row r="610" spans="1:18" ht="19.5" hidden="1" thickBot="1" x14ac:dyDescent="0.3">
      <c r="A610" s="984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  <c r="R610" s="2"/>
    </row>
    <row r="611" spans="1:18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  <c r="R611" s="2"/>
    </row>
    <row r="612" spans="1:18" ht="19.5" hidden="1" thickBot="1" x14ac:dyDescent="0.3">
      <c r="A612" s="984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  <c r="R612" s="2"/>
    </row>
    <row r="613" spans="1:18" ht="19.5" hidden="1" thickBot="1" x14ac:dyDescent="0.3">
      <c r="A613" s="984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  <c r="R613" s="2"/>
    </row>
    <row r="614" spans="1:18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  <c r="R614" s="2"/>
    </row>
    <row r="615" spans="1:18" ht="19.5" hidden="1" thickBot="1" x14ac:dyDescent="0.3">
      <c r="A615" s="984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  <c r="R615" s="2"/>
    </row>
    <row r="616" spans="1:18" ht="19.5" hidden="1" thickBot="1" x14ac:dyDescent="0.3">
      <c r="A616" s="984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  <c r="R616" s="2"/>
    </row>
    <row r="617" spans="1:18" ht="19.5" hidden="1" thickBot="1" x14ac:dyDescent="0.3">
      <c r="A617" s="984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  <c r="R617" s="2"/>
    </row>
    <row r="618" spans="1:18" ht="19.5" hidden="1" thickBot="1" x14ac:dyDescent="0.3">
      <c r="A618" s="985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  <c r="R618" s="2"/>
    </row>
    <row r="619" spans="1:18" ht="19.5" hidden="1" thickBot="1" x14ac:dyDescent="0.3">
      <c r="A619" s="985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  <c r="R619" s="2"/>
    </row>
    <row r="620" spans="1:18" ht="19.5" hidden="1" thickBot="1" x14ac:dyDescent="0.3">
      <c r="A620" s="985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  <c r="R620" s="2"/>
    </row>
    <row r="621" spans="1:18" ht="19.5" hidden="1" thickBot="1" x14ac:dyDescent="0.3">
      <c r="A621" s="984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  <c r="R621" s="2"/>
    </row>
    <row r="622" spans="1:18" ht="19.5" hidden="1" thickBot="1" x14ac:dyDescent="0.3">
      <c r="A622" s="984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  <c r="R622" s="2"/>
    </row>
    <row r="623" spans="1:18" ht="19.5" hidden="1" thickBot="1" x14ac:dyDescent="0.3">
      <c r="A623" s="984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  <c r="R623" s="2"/>
    </row>
    <row r="624" spans="1:18" ht="19.5" hidden="1" thickBot="1" x14ac:dyDescent="0.3">
      <c r="A624" s="985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  <c r="R624" s="2"/>
    </row>
    <row r="625" spans="1:18" ht="19.5" hidden="1" thickBot="1" x14ac:dyDescent="0.3">
      <c r="A625" s="985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  <c r="R625" s="2"/>
    </row>
    <row r="626" spans="1:18" ht="19.5" hidden="1" thickBot="1" x14ac:dyDescent="0.3">
      <c r="A626" s="985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  <c r="R626" s="2"/>
    </row>
    <row r="627" spans="1:18" ht="19.5" hidden="1" thickBot="1" x14ac:dyDescent="0.3">
      <c r="A627" s="985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  <c r="R627" s="2"/>
    </row>
    <row r="628" spans="1:18" ht="19.5" hidden="1" thickBot="1" x14ac:dyDescent="0.3">
      <c r="A628" s="985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  <c r="R628" s="2"/>
    </row>
    <row r="629" spans="1:18" ht="57" hidden="1" thickBot="1" x14ac:dyDescent="0.3">
      <c r="A629" s="984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  <c r="R629" s="2"/>
    </row>
    <row r="630" spans="1:18" ht="19.5" hidden="1" thickBot="1" x14ac:dyDescent="0.3">
      <c r="A630" s="984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  <c r="R630" s="2"/>
    </row>
    <row r="631" spans="1:18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  <c r="R631" s="2"/>
    </row>
    <row r="632" spans="1:18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  <c r="R632" s="2"/>
    </row>
    <row r="633" spans="1:18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  <c r="R633" s="2"/>
    </row>
    <row r="634" spans="1:18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  <c r="R634" s="2"/>
    </row>
    <row r="635" spans="1:18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  <c r="R635" s="2"/>
    </row>
    <row r="636" spans="1:18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  <c r="R636" s="2"/>
    </row>
    <row r="637" spans="1:18" ht="19.5" hidden="1" thickBot="1" x14ac:dyDescent="0.3">
      <c r="A637" s="985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  <c r="R637" s="2"/>
    </row>
    <row r="638" spans="1:18" ht="19.5" hidden="1" thickBot="1" x14ac:dyDescent="0.3">
      <c r="A638" s="985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  <c r="R638" s="2"/>
    </row>
    <row r="639" spans="1:18" ht="19.5" hidden="1" thickBot="1" x14ac:dyDescent="0.3">
      <c r="A639" s="985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  <c r="R639" s="2"/>
    </row>
    <row r="640" spans="1:18" ht="19.5" hidden="1" thickBot="1" x14ac:dyDescent="0.3">
      <c r="A640" s="984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  <c r="R640" s="2"/>
    </row>
    <row r="641" spans="1:18" ht="19.5" hidden="1" thickBot="1" x14ac:dyDescent="0.3">
      <c r="A641" s="984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  <c r="R641" s="2"/>
    </row>
    <row r="642" spans="1:18" ht="19.5" hidden="1" thickBot="1" x14ac:dyDescent="0.3">
      <c r="A642" s="984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  <c r="R642" s="2"/>
    </row>
    <row r="643" spans="1:18" ht="19.5" hidden="1" thickBot="1" x14ac:dyDescent="0.3">
      <c r="A643" s="984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  <c r="R643" s="2"/>
    </row>
    <row r="644" spans="1:18" ht="19.5" hidden="1" thickBot="1" x14ac:dyDescent="0.3">
      <c r="A644" s="985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  <c r="R644" s="2"/>
    </row>
    <row r="645" spans="1:18" ht="19.5" hidden="1" thickBot="1" x14ac:dyDescent="0.3">
      <c r="A645" s="985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  <c r="R645" s="2"/>
    </row>
    <row r="646" spans="1:18" ht="19.5" hidden="1" thickBot="1" x14ac:dyDescent="0.3">
      <c r="A646" s="985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  <c r="R646" s="2"/>
    </row>
    <row r="647" spans="1:18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  <c r="R647" s="2"/>
    </row>
    <row r="648" spans="1:18" ht="38.25" hidden="1" thickBot="1" x14ac:dyDescent="0.3">
      <c r="A648" s="985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  <c r="R648" s="2"/>
    </row>
    <row r="649" spans="1:18" ht="38.25" hidden="1" thickBot="1" x14ac:dyDescent="0.3">
      <c r="A649" s="985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  <c r="R649" s="2"/>
    </row>
    <row r="650" spans="1:18" ht="38.25" hidden="1" thickBot="1" x14ac:dyDescent="0.3">
      <c r="A650" s="985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  <c r="R650" s="2"/>
    </row>
    <row r="651" spans="1:18" ht="57" hidden="1" thickBot="1" x14ac:dyDescent="0.3">
      <c r="A651" s="984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  <c r="R651" s="2"/>
    </row>
    <row r="652" spans="1:18" ht="38.25" hidden="1" thickBot="1" x14ac:dyDescent="0.3">
      <c r="A652" s="984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  <c r="R652" s="2"/>
    </row>
    <row r="653" spans="1:18" ht="57" hidden="1" thickBot="1" x14ac:dyDescent="0.3">
      <c r="A653" s="984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  <c r="R653" s="2"/>
    </row>
    <row r="654" spans="1:18" ht="19.5" hidden="1" customHeight="1" thickBot="1" x14ac:dyDescent="0.3">
      <c r="A654" s="985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990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  <c r="R654" s="2"/>
    </row>
    <row r="655" spans="1:18" ht="19.5" hidden="1" thickBot="1" x14ac:dyDescent="0.3">
      <c r="A655" s="985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990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  <c r="R655" s="2"/>
    </row>
    <row r="656" spans="1:18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  <c r="R656" s="2"/>
    </row>
    <row r="657" spans="1:18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  <c r="R657" s="2"/>
    </row>
    <row r="658" spans="1:18" ht="38.2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  <c r="R658" s="2"/>
    </row>
    <row r="659" spans="1:18" ht="38.25" hidden="1" thickBot="1" x14ac:dyDescent="0.3">
      <c r="A659" s="985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  <c r="R659" s="2"/>
    </row>
    <row r="660" spans="1:18" ht="19.5" hidden="1" customHeight="1" thickBot="1" x14ac:dyDescent="0.3">
      <c r="A660" s="985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1002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  <c r="R660" s="2"/>
    </row>
    <row r="661" spans="1:18" ht="19.5" hidden="1" thickBot="1" x14ac:dyDescent="0.3">
      <c r="A661" s="985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1002"/>
      <c r="K661" s="23" t="str">
        <f t="shared" si="11"/>
        <v>10,23</v>
      </c>
      <c r="L661" s="23"/>
      <c r="M661" s="23"/>
      <c r="N661" s="23"/>
      <c r="O661" s="2"/>
      <c r="P661" s="2"/>
      <c r="Q661" s="2"/>
      <c r="R661" s="2"/>
    </row>
    <row r="662" spans="1:18" ht="19.5" hidden="1" thickBot="1" x14ac:dyDescent="0.3">
      <c r="A662" s="985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  <c r="R662" s="2"/>
    </row>
    <row r="663" spans="1:18" ht="19.5" hidden="1" thickBot="1" x14ac:dyDescent="0.3">
      <c r="A663" s="984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  <c r="R663" s="2"/>
    </row>
    <row r="664" spans="1:18" ht="19.5" hidden="1" thickBot="1" x14ac:dyDescent="0.3">
      <c r="A664" s="984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  <c r="R664" s="2"/>
    </row>
    <row r="665" spans="1:18" ht="19.5" hidden="1" thickBot="1" x14ac:dyDescent="0.3">
      <c r="A665" s="984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  <c r="R665" s="2"/>
    </row>
    <row r="666" spans="1:18" ht="19.5" hidden="1" thickBot="1" x14ac:dyDescent="0.3">
      <c r="A666" s="985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  <c r="R666" s="2"/>
    </row>
    <row r="667" spans="1:18" ht="19.5" hidden="1" thickBot="1" x14ac:dyDescent="0.3">
      <c r="A667" s="985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  <c r="R667" s="2"/>
    </row>
    <row r="668" spans="1:18" ht="19.5" hidden="1" thickBot="1" x14ac:dyDescent="0.3">
      <c r="A668" s="985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  <c r="R668" s="2"/>
    </row>
    <row r="669" spans="1:18" ht="19.5" hidden="1" thickBot="1" x14ac:dyDescent="0.3">
      <c r="A669" s="984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  <c r="R669" s="2"/>
    </row>
    <row r="670" spans="1:18" ht="19.5" hidden="1" thickBot="1" x14ac:dyDescent="0.3">
      <c r="A670" s="984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  <c r="R670" s="2"/>
    </row>
    <row r="671" spans="1:18" ht="19.5" hidden="1" thickBot="1" x14ac:dyDescent="0.3">
      <c r="A671" s="985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  <c r="R671" s="2"/>
    </row>
    <row r="672" spans="1:18" ht="19.5" hidden="1" thickBot="1" x14ac:dyDescent="0.3">
      <c r="A672" s="985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  <c r="R672" s="2"/>
    </row>
    <row r="673" spans="1:18" ht="19.5" hidden="1" thickBot="1" x14ac:dyDescent="0.3">
      <c r="A673" s="985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  <c r="R673" s="2"/>
    </row>
    <row r="674" spans="1:18" ht="19.5" hidden="1" thickBot="1" x14ac:dyDescent="0.3">
      <c r="A674" s="985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  <c r="R674" s="2"/>
    </row>
    <row r="675" spans="1:18" ht="19.5" hidden="1" thickBot="1" x14ac:dyDescent="0.3">
      <c r="A675" s="985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  <c r="R675" s="2"/>
    </row>
    <row r="676" spans="1:18" ht="19.5" hidden="1" thickBot="1" x14ac:dyDescent="0.3">
      <c r="A676" s="985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  <c r="R676" s="2"/>
    </row>
    <row r="677" spans="1:18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  <c r="R677" s="2"/>
    </row>
    <row r="678" spans="1:18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  <c r="R678" s="2"/>
    </row>
    <row r="679" spans="1:18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  <c r="R679" s="2"/>
    </row>
    <row r="680" spans="1:18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  <c r="R680" s="2"/>
    </row>
    <row r="681" spans="1:18" ht="19.5" hidden="1" thickBot="1" x14ac:dyDescent="0.3">
      <c r="A681" s="984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  <c r="R681" s="2"/>
    </row>
    <row r="682" spans="1:18" ht="19.5" hidden="1" thickBot="1" x14ac:dyDescent="0.3">
      <c r="A682" s="984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  <c r="R682" s="2"/>
    </row>
    <row r="683" spans="1:18" ht="19.5" hidden="1" thickBot="1" x14ac:dyDescent="0.3">
      <c r="A683" s="985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  <c r="R683" s="2"/>
    </row>
    <row r="684" spans="1:18" ht="19.5" hidden="1" thickBot="1" x14ac:dyDescent="0.3">
      <c r="A684" s="985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  <c r="R684" s="2"/>
    </row>
    <row r="685" spans="1:18" ht="19.5" hidden="1" thickBot="1" x14ac:dyDescent="0.3">
      <c r="A685" s="984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  <c r="R685" s="2"/>
    </row>
    <row r="686" spans="1:18" ht="19.5" hidden="1" thickBot="1" x14ac:dyDescent="0.3">
      <c r="A686" s="984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  <c r="R686" s="2"/>
    </row>
    <row r="687" spans="1:18" ht="19.5" hidden="1" thickBot="1" x14ac:dyDescent="0.3">
      <c r="A687" s="984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  <c r="R687" s="2"/>
    </row>
    <row r="688" spans="1:18" ht="19.5" hidden="1" thickBot="1" x14ac:dyDescent="0.3">
      <c r="A688" s="984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  <c r="R688" s="2"/>
    </row>
    <row r="689" spans="1:18" ht="19.5" hidden="1" thickBot="1" x14ac:dyDescent="0.3">
      <c r="A689" s="984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  <c r="R689" s="2"/>
    </row>
    <row r="690" spans="1:18" ht="19.5" hidden="1" thickBot="1" x14ac:dyDescent="0.3">
      <c r="A690" s="984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  <c r="R690" s="2"/>
    </row>
    <row r="691" spans="1:18" ht="19.5" hidden="1" thickBot="1" x14ac:dyDescent="0.3">
      <c r="A691" s="984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  <c r="R691" s="2"/>
    </row>
    <row r="692" spans="1:18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  <c r="R692" s="2"/>
    </row>
    <row r="693" spans="1:18" ht="19.5" hidden="1" thickBot="1" x14ac:dyDescent="0.3">
      <c r="A693" s="984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  <c r="R693" s="2"/>
    </row>
    <row r="694" spans="1:18" ht="19.5" hidden="1" thickBot="1" x14ac:dyDescent="0.3">
      <c r="A694" s="984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  <c r="R694" s="2"/>
    </row>
    <row r="695" spans="1:18" ht="19.5" hidden="1" customHeight="1" thickBot="1" x14ac:dyDescent="0.3">
      <c r="A695" s="985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990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  <c r="R695" s="2"/>
    </row>
    <row r="696" spans="1:18" ht="19.5" hidden="1" thickBot="1" x14ac:dyDescent="0.3">
      <c r="A696" s="985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990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  <c r="R696" s="2"/>
    </row>
    <row r="697" spans="1:18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  <c r="R697" s="2"/>
    </row>
    <row r="698" spans="1:18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  <c r="R698" s="2"/>
    </row>
    <row r="699" spans="1:18" ht="38.25" hidden="1" thickBot="1" x14ac:dyDescent="0.3">
      <c r="A699" s="1003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  <c r="R699" s="2"/>
    </row>
    <row r="700" spans="1:18" ht="38.25" hidden="1" thickBot="1" x14ac:dyDescent="0.3">
      <c r="A700" s="1003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  <c r="R700" s="2"/>
    </row>
    <row r="701" spans="1:18" ht="38.25" hidden="1" thickBot="1" x14ac:dyDescent="0.3">
      <c r="A701" s="1003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  <c r="R701" s="2"/>
    </row>
    <row r="702" spans="1:18" ht="38.25" hidden="1" thickBot="1" x14ac:dyDescent="0.3">
      <c r="A702" s="985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  <c r="R702" s="2"/>
    </row>
    <row r="703" spans="1:18" ht="38.25" hidden="1" thickBot="1" x14ac:dyDescent="0.3">
      <c r="A703" s="985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  <c r="R703" s="2"/>
    </row>
    <row r="704" spans="1:18" ht="38.25" hidden="1" thickBot="1" x14ac:dyDescent="0.3">
      <c r="A704" s="985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  <c r="R704" s="2"/>
    </row>
    <row r="705" spans="1:18" ht="19.5" hidden="1" thickBot="1" x14ac:dyDescent="0.3">
      <c r="A705" s="1003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  <c r="R705" s="2"/>
    </row>
    <row r="706" spans="1:18" ht="19.5" hidden="1" thickBot="1" x14ac:dyDescent="0.3">
      <c r="A706" s="1003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  <c r="R706" s="2"/>
    </row>
    <row r="707" spans="1:18" ht="19.5" hidden="1" thickBot="1" x14ac:dyDescent="0.3">
      <c r="A707" s="985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  <c r="R707" s="2"/>
    </row>
    <row r="708" spans="1:18" ht="19.5" hidden="1" thickBot="1" x14ac:dyDescent="0.3">
      <c r="A708" s="985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  <c r="R708" s="2"/>
    </row>
    <row r="709" spans="1:18" ht="19.5" hidden="1" thickBot="1" x14ac:dyDescent="0.3">
      <c r="A709" s="985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  <c r="R709" s="2"/>
    </row>
    <row r="710" spans="1:18" ht="19.5" hidden="1" thickBot="1" x14ac:dyDescent="0.3">
      <c r="A710" s="1003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  <c r="R710" s="2"/>
    </row>
    <row r="711" spans="1:18" ht="19.5" hidden="1" thickBot="1" x14ac:dyDescent="0.3">
      <c r="A711" s="1003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  <c r="R711" s="2"/>
    </row>
    <row r="712" spans="1:18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  <c r="R712" s="2"/>
    </row>
    <row r="713" spans="1:18" ht="19.5" hidden="1" thickBot="1" x14ac:dyDescent="0.3">
      <c r="A713" s="984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  <c r="R713" s="2"/>
    </row>
    <row r="714" spans="1:18" ht="19.5" hidden="1" thickBot="1" x14ac:dyDescent="0.3">
      <c r="A714" s="984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  <c r="R714" s="2"/>
    </row>
    <row r="715" spans="1:18" ht="19.5" hidden="1" thickBot="1" x14ac:dyDescent="0.3">
      <c r="A715" s="984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  <c r="R715" s="2"/>
    </row>
    <row r="716" spans="1:18" ht="19.5" hidden="1" thickBot="1" x14ac:dyDescent="0.3">
      <c r="A716" s="985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  <c r="R716" s="2"/>
    </row>
    <row r="717" spans="1:18" ht="19.5" hidden="1" thickBot="1" x14ac:dyDescent="0.3">
      <c r="A717" s="985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  <c r="R717" s="2"/>
    </row>
    <row r="718" spans="1:18" ht="19.5" hidden="1" thickBot="1" x14ac:dyDescent="0.3">
      <c r="A718" s="985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  <c r="R718" s="2"/>
    </row>
    <row r="719" spans="1:18" ht="38.25" hidden="1" thickBot="1" x14ac:dyDescent="0.3">
      <c r="A719" s="984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  <c r="R719" s="2"/>
    </row>
    <row r="720" spans="1:18" ht="38.25" hidden="1" thickBot="1" x14ac:dyDescent="0.3">
      <c r="A720" s="984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  <c r="R720" s="2"/>
    </row>
    <row r="721" spans="1:18" ht="38.25" hidden="1" thickBot="1" x14ac:dyDescent="0.3">
      <c r="A721" s="984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  <c r="R721" s="2"/>
    </row>
    <row r="722" spans="1:18" ht="38.25" hidden="1" thickBot="1" x14ac:dyDescent="0.3">
      <c r="A722" s="984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  <c r="R722" s="2"/>
    </row>
    <row r="723" spans="1:18" ht="38.25" hidden="1" thickBot="1" x14ac:dyDescent="0.3">
      <c r="A723" s="984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  <c r="R723" s="2"/>
    </row>
    <row r="724" spans="1:18" ht="38.25" hidden="1" thickBot="1" x14ac:dyDescent="0.3">
      <c r="A724" s="984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  <c r="R724" s="2"/>
    </row>
    <row r="725" spans="1:18" ht="38.25" hidden="1" thickBot="1" x14ac:dyDescent="0.3">
      <c r="A725" s="984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  <c r="R725" s="2"/>
    </row>
    <row r="726" spans="1:18" ht="38.25" hidden="1" thickBot="1" x14ac:dyDescent="0.3">
      <c r="A726" s="984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  <c r="R726" s="2"/>
    </row>
    <row r="727" spans="1:18" ht="19.5" hidden="1" thickBot="1" x14ac:dyDescent="0.3">
      <c r="A727" s="985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  <c r="R727" s="2"/>
    </row>
    <row r="728" spans="1:18" ht="19.5" hidden="1" thickBot="1" x14ac:dyDescent="0.3">
      <c r="A728" s="985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  <c r="R728" s="2"/>
    </row>
    <row r="729" spans="1:18" ht="19.5" hidden="1" thickBot="1" x14ac:dyDescent="0.3">
      <c r="A729" s="985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  <c r="R729" s="2"/>
    </row>
    <row r="730" spans="1:18" ht="19.5" hidden="1" thickBot="1" x14ac:dyDescent="0.3">
      <c r="A730" s="985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  <c r="R730" s="2"/>
    </row>
    <row r="731" spans="1:18" ht="19.5" hidden="1" thickBot="1" x14ac:dyDescent="0.3">
      <c r="A731" s="985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  <c r="R731" s="2"/>
    </row>
    <row r="732" spans="1:18" ht="19.5" hidden="1" thickBot="1" x14ac:dyDescent="0.3">
      <c r="A732" s="985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  <c r="R732" s="2"/>
    </row>
    <row r="733" spans="1:18" ht="19.5" hidden="1" thickBot="1" x14ac:dyDescent="0.3">
      <c r="A733" s="985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  <c r="R733" s="2"/>
    </row>
    <row r="734" spans="1:18" ht="19.5" hidden="1" customHeight="1" thickBot="1" x14ac:dyDescent="0.3">
      <c r="A734" s="984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1001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  <c r="R734" s="2"/>
    </row>
    <row r="735" spans="1:18" ht="19.5" hidden="1" thickBot="1" x14ac:dyDescent="0.3">
      <c r="A735" s="984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1001"/>
      <c r="K735" s="98" t="str">
        <f t="shared" si="12"/>
        <v>11,23</v>
      </c>
      <c r="L735" s="281"/>
      <c r="M735" s="281"/>
      <c r="N735" s="281"/>
      <c r="O735" s="2"/>
      <c r="P735" s="2"/>
      <c r="Q735" s="2"/>
      <c r="R735" s="2"/>
    </row>
    <row r="736" spans="1:18" ht="19.5" hidden="1" thickBot="1" x14ac:dyDescent="0.3">
      <c r="A736" s="984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  <c r="R736" s="2"/>
    </row>
    <row r="737" spans="1:18" ht="19.5" hidden="1" thickBot="1" x14ac:dyDescent="0.3">
      <c r="A737" s="984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  <c r="R737" s="2"/>
    </row>
    <row r="738" spans="1:18" ht="19.5" hidden="1" thickBot="1" x14ac:dyDescent="0.3">
      <c r="A738" s="984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  <c r="R738" s="2"/>
    </row>
    <row r="739" spans="1:18" ht="19.5" hidden="1" thickBot="1" x14ac:dyDescent="0.3">
      <c r="A739" s="984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  <c r="R739" s="2"/>
    </row>
    <row r="740" spans="1:18" ht="19.5" hidden="1" thickBot="1" x14ac:dyDescent="0.3">
      <c r="A740" s="984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  <c r="R740" s="2"/>
    </row>
    <row r="741" spans="1:18" ht="19.5" hidden="1" thickBot="1" x14ac:dyDescent="0.3">
      <c r="A741" s="985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  <c r="R741" s="2"/>
    </row>
    <row r="742" spans="1:18" ht="19.5" hidden="1" thickBot="1" x14ac:dyDescent="0.3">
      <c r="A742" s="985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  <c r="R742" s="2"/>
    </row>
    <row r="743" spans="1:18" ht="19.5" hidden="1" thickBot="1" x14ac:dyDescent="0.3">
      <c r="A743" s="985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  <c r="R743" s="2"/>
    </row>
    <row r="744" spans="1:18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  <c r="R744" s="2"/>
    </row>
    <row r="745" spans="1:18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  <c r="R745" s="2"/>
    </row>
    <row r="746" spans="1:18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  <c r="R746" s="2"/>
    </row>
    <row r="747" spans="1:18" ht="19.5" hidden="1" thickBot="1" x14ac:dyDescent="0.3">
      <c r="A747" s="985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  <c r="R747" s="2"/>
    </row>
    <row r="748" spans="1:18" ht="19.5" hidden="1" thickBot="1" x14ac:dyDescent="0.3">
      <c r="A748" s="985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  <c r="R748" s="2"/>
    </row>
    <row r="749" spans="1:18" ht="19.5" hidden="1" thickBot="1" x14ac:dyDescent="0.3">
      <c r="A749" s="985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  <c r="R749" s="2"/>
    </row>
    <row r="750" spans="1:18" ht="19.5" hidden="1" thickBot="1" x14ac:dyDescent="0.3">
      <c r="A750" s="985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  <c r="R750" s="2"/>
    </row>
    <row r="751" spans="1:18" ht="19.5" hidden="1" thickBot="1" x14ac:dyDescent="0.3">
      <c r="A751" s="984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  <c r="R751" s="2"/>
    </row>
    <row r="752" spans="1:18" ht="19.5" hidden="1" thickBot="1" x14ac:dyDescent="0.3">
      <c r="A752" s="984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  <c r="R752" s="2"/>
    </row>
    <row r="753" spans="1:18" ht="19.5" hidden="1" thickBot="1" x14ac:dyDescent="0.3">
      <c r="A753" s="984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  <c r="R753" s="2"/>
    </row>
    <row r="754" spans="1:18" ht="19.5" hidden="1" thickBot="1" x14ac:dyDescent="0.3">
      <c r="A754" s="984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  <c r="R754" s="2"/>
    </row>
    <row r="755" spans="1:18" ht="19.5" hidden="1" thickBot="1" x14ac:dyDescent="0.3">
      <c r="A755" s="1014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  <c r="R755" s="2"/>
    </row>
    <row r="756" spans="1:18" ht="19.5" hidden="1" thickBot="1" x14ac:dyDescent="0.3">
      <c r="A756" s="1014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  <c r="R756" s="2"/>
    </row>
    <row r="757" spans="1:18" ht="19.5" hidden="1" thickBot="1" x14ac:dyDescent="0.3">
      <c r="A757" s="1014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  <c r="R757" s="2"/>
    </row>
    <row r="758" spans="1:18" ht="19.5" hidden="1" thickBot="1" x14ac:dyDescent="0.3">
      <c r="A758" s="1014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  <c r="R758" s="2"/>
    </row>
    <row r="759" spans="1:18" ht="19.5" hidden="1" thickBot="1" x14ac:dyDescent="0.3">
      <c r="A759" s="1014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  <c r="R759" s="2"/>
    </row>
    <row r="760" spans="1:18" ht="19.5" hidden="1" thickBot="1" x14ac:dyDescent="0.3">
      <c r="A760" s="1014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  <c r="R760" s="2"/>
    </row>
    <row r="761" spans="1:18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  <c r="R761" s="2"/>
    </row>
    <row r="762" spans="1:18" ht="19.5" hidden="1" customHeight="1" thickBot="1" x14ac:dyDescent="0.3">
      <c r="A762" s="985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990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  <c r="R762" s="2"/>
    </row>
    <row r="763" spans="1:18" ht="19.5" hidden="1" thickBot="1" x14ac:dyDescent="0.3">
      <c r="A763" s="985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990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  <c r="R763" s="2"/>
    </row>
    <row r="764" spans="1:18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  <c r="R764" s="2"/>
    </row>
    <row r="765" spans="1:18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  <c r="R765" s="2"/>
    </row>
    <row r="766" spans="1:18" ht="38.25" hidden="1" thickBot="1" x14ac:dyDescent="0.3">
      <c r="A766" s="984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  <c r="R766" s="2"/>
    </row>
    <row r="767" spans="1:18" ht="38.25" hidden="1" thickBot="1" x14ac:dyDescent="0.3">
      <c r="A767" s="984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  <c r="R767" s="2"/>
    </row>
    <row r="768" spans="1:18" ht="38.25" hidden="1" thickBot="1" x14ac:dyDescent="0.3">
      <c r="A768" s="984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  <c r="R768" s="2"/>
    </row>
    <row r="769" spans="1:18" ht="38.25" hidden="1" thickBot="1" x14ac:dyDescent="0.3">
      <c r="A769" s="985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  <c r="R769" s="2"/>
    </row>
    <row r="770" spans="1:18" ht="38.25" hidden="1" thickBot="1" x14ac:dyDescent="0.3">
      <c r="A770" s="985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  <c r="R770" s="2"/>
    </row>
    <row r="771" spans="1:18" ht="38.25" hidden="1" thickBot="1" x14ac:dyDescent="0.3">
      <c r="A771" s="985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  <c r="R771" s="2"/>
    </row>
    <row r="772" spans="1:18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  <c r="R772" s="2"/>
    </row>
    <row r="773" spans="1:18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  <c r="R773" s="2"/>
    </row>
    <row r="774" spans="1:18" ht="19.5" hidden="1" thickBot="1" x14ac:dyDescent="0.3">
      <c r="A774" s="986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  <c r="R774" s="2"/>
    </row>
    <row r="775" spans="1:18" ht="19.5" hidden="1" thickBot="1" x14ac:dyDescent="0.3">
      <c r="A775" s="986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  <c r="R775" s="2"/>
    </row>
    <row r="776" spans="1:18" ht="19.5" hidden="1" thickBot="1" x14ac:dyDescent="0.3">
      <c r="A776" s="986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  <c r="R776" s="2"/>
    </row>
    <row r="777" spans="1:18" ht="19.5" hidden="1" thickBot="1" x14ac:dyDescent="0.3">
      <c r="A777" s="986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  <c r="R777" s="2"/>
    </row>
    <row r="778" spans="1:18" ht="19.5" hidden="1" thickBot="1" x14ac:dyDescent="0.3">
      <c r="A778" s="986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  <c r="R778" s="2"/>
    </row>
    <row r="779" spans="1:18" ht="38.25" hidden="1" thickBot="1" x14ac:dyDescent="0.3">
      <c r="A779" s="985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  <c r="R779" s="2"/>
    </row>
    <row r="780" spans="1:18" ht="57" hidden="1" thickBot="1" x14ac:dyDescent="0.3">
      <c r="A780" s="985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  <c r="R780" s="2"/>
    </row>
    <row r="781" spans="1:18" ht="38.25" hidden="1" thickBot="1" x14ac:dyDescent="0.3">
      <c r="A781" s="985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  <c r="R781" s="2"/>
    </row>
    <row r="782" spans="1:18" ht="19.5" hidden="1" thickBot="1" x14ac:dyDescent="0.3">
      <c r="A782" s="985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  <c r="R782" s="2"/>
    </row>
    <row r="783" spans="1:18" ht="19.5" hidden="1" thickBot="1" x14ac:dyDescent="0.3">
      <c r="A783" s="985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  <c r="R783" s="2"/>
    </row>
    <row r="784" spans="1:18" ht="19.5" hidden="1" thickBot="1" x14ac:dyDescent="0.3">
      <c r="A784" s="1015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  <c r="R784" s="2"/>
    </row>
    <row r="785" spans="1:18" ht="19.5" hidden="1" thickBot="1" x14ac:dyDescent="0.3">
      <c r="A785" s="1015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  <c r="R785" s="2"/>
    </row>
    <row r="786" spans="1:18" ht="19.5" hidden="1" thickBot="1" x14ac:dyDescent="0.3">
      <c r="A786" s="985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  <c r="R786" s="2"/>
    </row>
    <row r="787" spans="1:18" ht="19.5" hidden="1" thickBot="1" x14ac:dyDescent="0.3">
      <c r="A787" s="985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  <c r="R787" s="2"/>
    </row>
    <row r="788" spans="1:18" ht="19.5" hidden="1" thickBot="1" x14ac:dyDescent="0.3">
      <c r="A788" s="985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  <c r="R788" s="2"/>
    </row>
    <row r="789" spans="1:18" ht="19.5" hidden="1" thickBot="1" x14ac:dyDescent="0.3">
      <c r="A789" s="984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  <c r="R789" s="2"/>
    </row>
    <row r="790" spans="1:18" ht="19.5" hidden="1" thickBot="1" x14ac:dyDescent="0.3">
      <c r="A790" s="984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  <c r="R790" s="2"/>
    </row>
    <row r="791" spans="1:18" ht="19.5" hidden="1" thickBot="1" x14ac:dyDescent="0.3">
      <c r="A791" s="985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  <c r="R791" s="2"/>
    </row>
    <row r="792" spans="1:18" ht="19.5" hidden="1" thickBot="1" x14ac:dyDescent="0.3">
      <c r="A792" s="985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  <c r="R792" s="2"/>
    </row>
    <row r="793" spans="1:18" ht="19.5" hidden="1" thickBot="1" x14ac:dyDescent="0.3">
      <c r="A793" s="984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  <c r="R793" s="2"/>
    </row>
    <row r="794" spans="1:18" ht="19.5" hidden="1" thickBot="1" x14ac:dyDescent="0.3">
      <c r="A794" s="984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  <c r="R794" s="2"/>
    </row>
    <row r="795" spans="1:18" ht="19.5" hidden="1" thickBot="1" x14ac:dyDescent="0.3">
      <c r="A795" s="984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  <c r="R795" s="2"/>
    </row>
    <row r="796" spans="1:18" ht="19.5" hidden="1" thickBot="1" x14ac:dyDescent="0.3">
      <c r="A796" s="984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  <c r="R796" s="2"/>
    </row>
    <row r="797" spans="1:18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  <c r="R797" s="2"/>
    </row>
    <row r="798" spans="1:18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  <c r="R798" s="2"/>
    </row>
    <row r="799" spans="1:18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  <c r="R799" s="2"/>
    </row>
    <row r="800" spans="1:18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  <c r="R800" s="2"/>
    </row>
    <row r="801" spans="1:18" ht="19.5" hidden="1" thickBot="1" x14ac:dyDescent="0.3">
      <c r="A801" s="985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  <c r="R801" s="2"/>
    </row>
    <row r="802" spans="1:18" ht="19.5" hidden="1" thickBot="1" x14ac:dyDescent="0.3">
      <c r="A802" s="985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  <c r="R802" s="2"/>
    </row>
    <row r="803" spans="1:18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  <c r="R803" s="2"/>
    </row>
    <row r="804" spans="1:18" ht="19.5" hidden="1" thickBot="1" x14ac:dyDescent="0.3">
      <c r="A804" s="985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  <c r="R804" s="2"/>
    </row>
    <row r="805" spans="1:18" ht="19.5" hidden="1" thickBot="1" x14ac:dyDescent="0.3">
      <c r="A805" s="985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  <c r="R805" s="2"/>
    </row>
    <row r="806" spans="1:18" ht="19.5" hidden="1" thickBot="1" x14ac:dyDescent="0.3">
      <c r="A806" s="985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  <c r="R806" s="2"/>
    </row>
    <row r="807" spans="1:18" ht="19.5" hidden="1" thickBot="1" x14ac:dyDescent="0.3">
      <c r="A807" s="985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  <c r="R807" s="2"/>
    </row>
    <row r="808" spans="1:18" ht="19.5" hidden="1" thickBot="1" x14ac:dyDescent="0.3">
      <c r="A808" s="985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  <c r="R808" s="2"/>
    </row>
    <row r="809" spans="1:18" ht="19.5" hidden="1" thickBot="1" x14ac:dyDescent="0.3">
      <c r="A809" s="984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  <c r="R809" s="2"/>
    </row>
    <row r="810" spans="1:18" ht="19.5" hidden="1" thickBot="1" x14ac:dyDescent="0.3">
      <c r="A810" s="984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  <c r="R810" s="2"/>
    </row>
    <row r="811" spans="1:18" ht="19.5" hidden="1" thickBot="1" x14ac:dyDescent="0.3">
      <c r="A811" s="984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  <c r="R811" s="2"/>
    </row>
    <row r="812" spans="1:18" ht="19.5" hidden="1" thickBot="1" x14ac:dyDescent="0.3">
      <c r="A812" s="984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  <c r="R812" s="2"/>
    </row>
    <row r="813" spans="1:18" ht="19.5" hidden="1" thickBot="1" x14ac:dyDescent="0.3">
      <c r="A813" s="985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  <c r="R813" s="2"/>
    </row>
    <row r="814" spans="1:18" ht="19.5" hidden="1" thickBot="1" x14ac:dyDescent="0.3">
      <c r="A814" s="985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  <c r="R814" s="2"/>
    </row>
    <row r="815" spans="1:18" ht="19.5" hidden="1" customHeight="1" thickBot="1" x14ac:dyDescent="0.3">
      <c r="A815" s="984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987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  <c r="R815" s="2"/>
    </row>
    <row r="816" spans="1:18" ht="19.5" hidden="1" thickBot="1" x14ac:dyDescent="0.3">
      <c r="A816" s="984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987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  <c r="R816" s="2"/>
    </row>
    <row r="817" spans="1:18" ht="57" hidden="1" thickBot="1" x14ac:dyDescent="0.3">
      <c r="A817" s="985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  <c r="R817" s="2"/>
    </row>
    <row r="818" spans="1:18" ht="38.25" hidden="1" thickBot="1" x14ac:dyDescent="0.3">
      <c r="A818" s="985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  <c r="R818" s="2"/>
    </row>
    <row r="819" spans="1:18" ht="57" hidden="1" thickBot="1" x14ac:dyDescent="0.3">
      <c r="A819" s="985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  <c r="R819" s="2"/>
    </row>
    <row r="820" spans="1:18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  <c r="R820" s="2"/>
    </row>
    <row r="821" spans="1:18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  <c r="R821" s="2"/>
    </row>
    <row r="822" spans="1:18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  <c r="R822" s="2"/>
    </row>
    <row r="823" spans="1:18" ht="19.5" hidden="1" thickBot="1" x14ac:dyDescent="0.3">
      <c r="A823" s="985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  <c r="R823" s="2"/>
    </row>
    <row r="824" spans="1:18" ht="19.5" hidden="1" thickBot="1" x14ac:dyDescent="0.3">
      <c r="A824" s="985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  <c r="R824" s="2"/>
    </row>
    <row r="825" spans="1:18" ht="19.5" hidden="1" thickBot="1" x14ac:dyDescent="0.3">
      <c r="A825" s="985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  <c r="R825" s="2"/>
    </row>
    <row r="826" spans="1:18" ht="19.5" hidden="1" thickBot="1" x14ac:dyDescent="0.3">
      <c r="A826" s="985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  <c r="R826" s="2"/>
    </row>
    <row r="827" spans="1:18" ht="19.5" hidden="1" thickBot="1" x14ac:dyDescent="0.3">
      <c r="A827" s="985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  <c r="R827" s="2"/>
    </row>
    <row r="828" spans="1:18" ht="19.5" hidden="1" thickBot="1" x14ac:dyDescent="0.3">
      <c r="A828" s="985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  <c r="R828" s="2"/>
    </row>
    <row r="829" spans="1:18" ht="19.5" hidden="1" thickBot="1" x14ac:dyDescent="0.3">
      <c r="A829" s="985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  <c r="R829" s="2"/>
    </row>
    <row r="830" spans="1:18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  <c r="R830" s="2"/>
    </row>
    <row r="831" spans="1:18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  <c r="R831" s="2"/>
    </row>
    <row r="832" spans="1:18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  <c r="R832" s="2"/>
    </row>
    <row r="833" spans="1:18" ht="19.5" hidden="1" thickBot="1" x14ac:dyDescent="0.3">
      <c r="A833" s="985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  <c r="R833" s="2"/>
    </row>
    <row r="834" spans="1:18" ht="19.5" hidden="1" thickBot="1" x14ac:dyDescent="0.3">
      <c r="A834" s="985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  <c r="R834" s="2"/>
    </row>
    <row r="835" spans="1:18" ht="19.5" hidden="1" thickBot="1" x14ac:dyDescent="0.3">
      <c r="A835" s="985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  <c r="R835" s="2"/>
    </row>
    <row r="836" spans="1:18" ht="19.5" hidden="1" thickBot="1" x14ac:dyDescent="0.3">
      <c r="A836" s="984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  <c r="R836" s="2"/>
    </row>
    <row r="837" spans="1:18" ht="19.5" hidden="1" thickBot="1" x14ac:dyDescent="0.3">
      <c r="A837" s="984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  <c r="R837" s="2"/>
    </row>
    <row r="838" spans="1:18" ht="19.5" hidden="1" thickBot="1" x14ac:dyDescent="0.3">
      <c r="A838" s="984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  <c r="R838" s="2"/>
    </row>
    <row r="839" spans="1:18" ht="19.5" hidden="1" thickBot="1" x14ac:dyDescent="0.3">
      <c r="A839" s="985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  <c r="R839" s="2"/>
    </row>
    <row r="840" spans="1:18" ht="19.5" hidden="1" thickBot="1" x14ac:dyDescent="0.3">
      <c r="A840" s="985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  <c r="R840" s="2"/>
    </row>
    <row r="841" spans="1:18" ht="19.5" hidden="1" thickBot="1" x14ac:dyDescent="0.3">
      <c r="A841" s="985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  <c r="R841" s="2"/>
    </row>
    <row r="842" spans="1:18" ht="19.5" hidden="1" thickBot="1" x14ac:dyDescent="0.3">
      <c r="A842" s="984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  <c r="R842" s="2"/>
    </row>
    <row r="843" spans="1:18" ht="19.5" hidden="1" thickBot="1" x14ac:dyDescent="0.3">
      <c r="A843" s="984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  <c r="R843" s="2"/>
    </row>
    <row r="844" spans="1:18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  <c r="R844" s="2"/>
    </row>
    <row r="845" spans="1:18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  <c r="R845" s="2"/>
    </row>
    <row r="846" spans="1:18" ht="19.5" hidden="1" thickBot="1" x14ac:dyDescent="0.3">
      <c r="A846" s="985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  <c r="R846" s="2"/>
    </row>
    <row r="847" spans="1:18" ht="19.5" hidden="1" thickBot="1" x14ac:dyDescent="0.3">
      <c r="A847" s="985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  <c r="R847" s="2"/>
    </row>
    <row r="848" spans="1:18" ht="19.5" hidden="1" thickBot="1" x14ac:dyDescent="0.3">
      <c r="A848" s="985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  <c r="R848" s="2"/>
    </row>
    <row r="849" spans="1:18" ht="19.5" hidden="1" thickBot="1" x14ac:dyDescent="0.3">
      <c r="A849" s="985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  <c r="R849" s="2"/>
    </row>
    <row r="850" spans="1:18" ht="19.5" hidden="1" thickBot="1" x14ac:dyDescent="0.3">
      <c r="A850" s="984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  <c r="R850" s="2"/>
    </row>
    <row r="851" spans="1:18" ht="19.5" hidden="1" thickBot="1" x14ac:dyDescent="0.3">
      <c r="A851" s="984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  <c r="R851" s="2"/>
    </row>
    <row r="852" spans="1:18" ht="19.5" hidden="1" thickBot="1" x14ac:dyDescent="0.3">
      <c r="A852" s="984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  <c r="R852" s="2"/>
    </row>
    <row r="853" spans="1:18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  <c r="R853" s="2"/>
    </row>
    <row r="854" spans="1:18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  <c r="R854" s="2"/>
    </row>
    <row r="855" spans="1:18" ht="19.5" hidden="1" thickBot="1" x14ac:dyDescent="0.3">
      <c r="A855" s="985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  <c r="R855" s="2"/>
    </row>
    <row r="856" spans="1:18" ht="19.5" hidden="1" thickBot="1" x14ac:dyDescent="0.3">
      <c r="A856" s="985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  <c r="R856" s="2"/>
    </row>
    <row r="857" spans="1:18" ht="19.5" hidden="1" thickBot="1" x14ac:dyDescent="0.3">
      <c r="A857" s="985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  <c r="R857" s="2"/>
    </row>
    <row r="858" spans="1:18" ht="19.5" hidden="1" thickBot="1" x14ac:dyDescent="0.3">
      <c r="A858" s="985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  <c r="R858" s="2"/>
    </row>
    <row r="859" spans="1:18" ht="19.5" hidden="1" thickBot="1" x14ac:dyDescent="0.3">
      <c r="A859" s="985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  <c r="R859" s="2"/>
    </row>
    <row r="860" spans="1:18" ht="19.5" hidden="1" thickBot="1" x14ac:dyDescent="0.3">
      <c r="A860" s="985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  <c r="R860" s="2"/>
    </row>
    <row r="861" spans="1:18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  <c r="R861" s="2"/>
    </row>
    <row r="862" spans="1:18" ht="19.5" hidden="1" thickBot="1" x14ac:dyDescent="0.3">
      <c r="A862" s="985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  <c r="R862" s="2"/>
    </row>
    <row r="863" spans="1:18" ht="19.5" hidden="1" thickBot="1" x14ac:dyDescent="0.3">
      <c r="A863" s="985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  <c r="R863" s="2"/>
    </row>
    <row r="864" spans="1:18" ht="19.5" hidden="1" thickBot="1" x14ac:dyDescent="0.3">
      <c r="A864" s="985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  <c r="R864" s="2"/>
    </row>
    <row r="865" spans="1:18" ht="19.5" hidden="1" thickBot="1" x14ac:dyDescent="0.3">
      <c r="A865" s="984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  <c r="R865" s="2"/>
    </row>
    <row r="866" spans="1:18" ht="19.5" hidden="1" thickBot="1" x14ac:dyDescent="0.3">
      <c r="A866" s="984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  <c r="R866" s="2"/>
    </row>
    <row r="867" spans="1:18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  <c r="R867" s="2"/>
    </row>
    <row r="868" spans="1:18" ht="19.5" hidden="1" thickBot="1" x14ac:dyDescent="0.3">
      <c r="A868" s="984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  <c r="R868" s="2"/>
    </row>
    <row r="869" spans="1:18" ht="19.5" hidden="1" thickBot="1" x14ac:dyDescent="0.3">
      <c r="A869" s="984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  <c r="R869" s="2"/>
    </row>
    <row r="870" spans="1:18" ht="19.5" hidden="1" thickBot="1" x14ac:dyDescent="0.3">
      <c r="A870" s="984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  <c r="R870" s="2"/>
    </row>
    <row r="871" spans="1:18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  <c r="R871" s="2"/>
    </row>
    <row r="872" spans="1:18" ht="38.25" hidden="1" thickBot="1" x14ac:dyDescent="0.3">
      <c r="A872" s="984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  <c r="R872" s="2"/>
    </row>
    <row r="873" spans="1:18" ht="38.25" hidden="1" thickBot="1" x14ac:dyDescent="0.3">
      <c r="A873" s="984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  <c r="R873" s="2"/>
    </row>
    <row r="874" spans="1:18" ht="38.25" hidden="1" thickBot="1" x14ac:dyDescent="0.3">
      <c r="A874" s="984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  <c r="R874" s="2"/>
    </row>
    <row r="875" spans="1:18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  <c r="R875" s="2"/>
    </row>
    <row r="876" spans="1:18" ht="19.5" hidden="1" thickBot="1" x14ac:dyDescent="0.3">
      <c r="A876" s="984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  <c r="R876" s="2"/>
    </row>
    <row r="877" spans="1:18" ht="19.5" hidden="1" thickBot="1" x14ac:dyDescent="0.3">
      <c r="A877" s="984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  <c r="R877" s="2"/>
    </row>
    <row r="878" spans="1:18" ht="38.25" hidden="1" thickBot="1" x14ac:dyDescent="0.3">
      <c r="A878" s="985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  <c r="R878" s="2"/>
    </row>
    <row r="879" spans="1:18" ht="38.25" hidden="1" thickBot="1" x14ac:dyDescent="0.3">
      <c r="A879" s="985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  <c r="R879" s="2"/>
    </row>
    <row r="880" spans="1:18" ht="38.25" hidden="1" thickBot="1" x14ac:dyDescent="0.3">
      <c r="A880" s="985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  <c r="R880" s="2"/>
    </row>
    <row r="881" spans="1:18" ht="19.5" hidden="1" thickBot="1" x14ac:dyDescent="0.3">
      <c r="A881" s="984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  <c r="R881" s="2"/>
    </row>
    <row r="882" spans="1:18" ht="19.5" hidden="1" thickBot="1" x14ac:dyDescent="0.3">
      <c r="A882" s="984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  <c r="R882" s="2"/>
    </row>
    <row r="883" spans="1:18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  <c r="R883" s="2"/>
    </row>
    <row r="884" spans="1:18" ht="19.5" hidden="1" thickBot="1" x14ac:dyDescent="0.3">
      <c r="A884" s="984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  <c r="R884" s="2"/>
    </row>
    <row r="885" spans="1:18" ht="19.5" hidden="1" thickBot="1" x14ac:dyDescent="0.3">
      <c r="A885" s="984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  <c r="R885" s="2"/>
    </row>
    <row r="886" spans="1:18" ht="19.5" hidden="1" thickBot="1" x14ac:dyDescent="0.3">
      <c r="A886" s="984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  <c r="R886" s="2"/>
    </row>
    <row r="887" spans="1:18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  <c r="R887" s="2"/>
    </row>
    <row r="888" spans="1:18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  <c r="R888" s="2"/>
    </row>
    <row r="889" spans="1:18" ht="19.5" hidden="1" thickBot="1" x14ac:dyDescent="0.3">
      <c r="A889" s="985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  <c r="R889" s="2"/>
    </row>
    <row r="890" spans="1:18" ht="19.5" hidden="1" thickBot="1" x14ac:dyDescent="0.3">
      <c r="A890" s="985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  <c r="R890" s="2"/>
    </row>
    <row r="891" spans="1:18" ht="19.5" hidden="1" thickBot="1" x14ac:dyDescent="0.3">
      <c r="A891" s="984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  <c r="R891" s="2"/>
    </row>
    <row r="892" spans="1:18" ht="19.5" hidden="1" thickBot="1" x14ac:dyDescent="0.3">
      <c r="A892" s="984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  <c r="R892" s="2"/>
    </row>
    <row r="893" spans="1:18" ht="19.5" hidden="1" thickBot="1" x14ac:dyDescent="0.3">
      <c r="A893" s="984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  <c r="R893" s="2"/>
    </row>
    <row r="894" spans="1:18" ht="19.5" hidden="1" thickBot="1" x14ac:dyDescent="0.3">
      <c r="A894" s="985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  <c r="R894" s="2"/>
    </row>
    <row r="895" spans="1:18" ht="19.5" hidden="1" thickBot="1" x14ac:dyDescent="0.3">
      <c r="A895" s="985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  <c r="R895" s="2"/>
    </row>
    <row r="896" spans="1:18" ht="19.5" hidden="1" thickBot="1" x14ac:dyDescent="0.3">
      <c r="A896" s="985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  <c r="R896" s="2"/>
    </row>
    <row r="897" spans="1:18" ht="19.5" hidden="1" thickBot="1" x14ac:dyDescent="0.3">
      <c r="A897" s="984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  <c r="R897" s="2"/>
    </row>
    <row r="898" spans="1:18" ht="19.5" hidden="1" thickBot="1" x14ac:dyDescent="0.3">
      <c r="A898" s="984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  <c r="R898" s="2"/>
    </row>
    <row r="899" spans="1:18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  <c r="R899" s="2"/>
    </row>
    <row r="900" spans="1:18" ht="19.5" hidden="1" thickBot="1" x14ac:dyDescent="0.3">
      <c r="A900" s="984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  <c r="R900" s="2"/>
    </row>
    <row r="901" spans="1:18" ht="19.5" hidden="1" thickBot="1" x14ac:dyDescent="0.3">
      <c r="A901" s="984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  <c r="R901" s="2"/>
    </row>
    <row r="902" spans="1:18" ht="19.5" hidden="1" thickBot="1" x14ac:dyDescent="0.3">
      <c r="A902" s="984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  <c r="R902" s="2"/>
    </row>
    <row r="903" spans="1:18" ht="19.5" hidden="1" thickBot="1" x14ac:dyDescent="0.3">
      <c r="A903" s="984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  <c r="R903" s="2"/>
    </row>
    <row r="904" spans="1:18" ht="19.5" hidden="1" thickBot="1" x14ac:dyDescent="0.3">
      <c r="A904" s="984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  <c r="R904" s="2"/>
    </row>
    <row r="905" spans="1:18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  <c r="R905" s="2"/>
    </row>
    <row r="906" spans="1:18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  <c r="R906" s="2"/>
    </row>
    <row r="907" spans="1:18" ht="19.5" hidden="1" thickBot="1" x14ac:dyDescent="0.3">
      <c r="A907" s="985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  <c r="R907" s="2"/>
    </row>
    <row r="908" spans="1:18" ht="19.5" hidden="1" thickBot="1" x14ac:dyDescent="0.3">
      <c r="A908" s="985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  <c r="R908" s="2"/>
    </row>
    <row r="909" spans="1:18" ht="19.5" hidden="1" thickBot="1" x14ac:dyDescent="0.3">
      <c r="A909" s="984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  <c r="R909" s="2"/>
    </row>
    <row r="910" spans="1:18" ht="19.5" hidden="1" thickBot="1" x14ac:dyDescent="0.3">
      <c r="A910" s="984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  <c r="R910" s="2"/>
    </row>
    <row r="911" spans="1:18" ht="19.5" hidden="1" thickBot="1" x14ac:dyDescent="0.3">
      <c r="A911" s="984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  <c r="R911" s="2"/>
    </row>
    <row r="912" spans="1:18" ht="19.5" hidden="1" thickBot="1" x14ac:dyDescent="0.3">
      <c r="A912" s="985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  <c r="R912" s="2"/>
    </row>
    <row r="913" spans="1:18" ht="19.5" hidden="1" thickBot="1" x14ac:dyDescent="0.3">
      <c r="A913" s="985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  <c r="R913" s="2"/>
    </row>
    <row r="914" spans="1:18" ht="19.5" hidden="1" thickBot="1" x14ac:dyDescent="0.3">
      <c r="A914" s="985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  <c r="R914" s="2"/>
    </row>
    <row r="915" spans="1:18" ht="19.5" hidden="1" thickBot="1" x14ac:dyDescent="0.3">
      <c r="A915" s="984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  <c r="R915" s="2"/>
    </row>
    <row r="916" spans="1:18" ht="19.5" hidden="1" thickBot="1" x14ac:dyDescent="0.3">
      <c r="A916" s="984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  <c r="R916" s="2"/>
    </row>
    <row r="917" spans="1:18" ht="19.5" hidden="1" thickBot="1" x14ac:dyDescent="0.3">
      <c r="A917" s="985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  <c r="R917" s="2"/>
    </row>
    <row r="918" spans="1:18" ht="19.5" hidden="1" thickBot="1" x14ac:dyDescent="0.3">
      <c r="A918" s="985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  <c r="R918" s="2"/>
    </row>
    <row r="919" spans="1:18" ht="19.5" hidden="1" thickBot="1" x14ac:dyDescent="0.3">
      <c r="A919" s="984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  <c r="R919" s="2"/>
    </row>
    <row r="920" spans="1:18" ht="19.5" hidden="1" thickBot="1" x14ac:dyDescent="0.3">
      <c r="A920" s="984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  <c r="R920" s="2"/>
    </row>
    <row r="921" spans="1:18" ht="19.5" hidden="1" thickBot="1" x14ac:dyDescent="0.3">
      <c r="A921" s="985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  <c r="R921" s="2"/>
    </row>
    <row r="922" spans="1:18" ht="19.5" hidden="1" thickBot="1" x14ac:dyDescent="0.3">
      <c r="A922" s="985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  <c r="R922" s="2"/>
    </row>
    <row r="923" spans="1:18" ht="19.5" hidden="1" thickBot="1" x14ac:dyDescent="0.3">
      <c r="A923" s="984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  <c r="R923" s="2"/>
    </row>
    <row r="924" spans="1:18" ht="19.5" hidden="1" thickBot="1" x14ac:dyDescent="0.3">
      <c r="A924" s="984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  <c r="R924" s="2"/>
    </row>
    <row r="925" spans="1:18" ht="19.5" hidden="1" thickBot="1" x14ac:dyDescent="0.3">
      <c r="A925" s="985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  <c r="R925" s="2"/>
    </row>
    <row r="926" spans="1:18" ht="19.5" hidden="1" thickBot="1" x14ac:dyDescent="0.3">
      <c r="A926" s="985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  <c r="R926" s="2"/>
    </row>
    <row r="927" spans="1:18" ht="19.5" hidden="1" thickBot="1" x14ac:dyDescent="0.3">
      <c r="A927" s="985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  <c r="R927" s="2"/>
    </row>
    <row r="928" spans="1:18" ht="19.5" hidden="1" thickBot="1" x14ac:dyDescent="0.3">
      <c r="A928" s="985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  <c r="R928" s="2"/>
    </row>
    <row r="929" spans="1:18" ht="19.5" hidden="1" customHeight="1" thickBot="1" x14ac:dyDescent="0.3">
      <c r="A929" s="984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987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  <c r="R929" s="2"/>
    </row>
    <row r="930" spans="1:18" ht="19.5" hidden="1" thickBot="1" x14ac:dyDescent="0.3">
      <c r="A930" s="984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987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  <c r="R930" s="2"/>
    </row>
    <row r="931" spans="1:18" ht="57" hidden="1" thickBot="1" x14ac:dyDescent="0.3">
      <c r="A931" s="985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  <c r="R931" s="2"/>
    </row>
    <row r="932" spans="1:18" ht="57" hidden="1" thickBot="1" x14ac:dyDescent="0.3">
      <c r="A932" s="985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  <c r="R932" s="2"/>
    </row>
    <row r="933" spans="1:18" ht="57" hidden="1" thickBot="1" x14ac:dyDescent="0.3">
      <c r="A933" s="985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  <c r="R933" s="2"/>
    </row>
    <row r="934" spans="1:18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  <c r="R934" s="2"/>
    </row>
    <row r="935" spans="1:18" ht="19.5" hidden="1" thickBot="1" x14ac:dyDescent="0.3">
      <c r="A935" s="985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  <c r="R935" s="2"/>
    </row>
    <row r="936" spans="1:18" ht="19.5" hidden="1" thickBot="1" x14ac:dyDescent="0.3">
      <c r="A936" s="985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  <c r="R936" s="2"/>
    </row>
    <row r="937" spans="1:18" ht="19.5" hidden="1" thickBot="1" x14ac:dyDescent="0.3">
      <c r="A937" s="984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  <c r="R937" s="2"/>
    </row>
    <row r="938" spans="1:18" ht="19.5" hidden="1" thickBot="1" x14ac:dyDescent="0.3">
      <c r="A938" s="984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  <c r="R938" s="2"/>
    </row>
    <row r="939" spans="1:18" ht="38.25" hidden="1" thickBot="1" x14ac:dyDescent="0.3">
      <c r="A939" s="985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  <c r="R939" s="2"/>
    </row>
    <row r="940" spans="1:18" ht="38.25" hidden="1" thickBot="1" x14ac:dyDescent="0.3">
      <c r="A940" s="985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  <c r="R940" s="2"/>
    </row>
    <row r="941" spans="1:18" ht="38.25" hidden="1" thickBot="1" x14ac:dyDescent="0.3">
      <c r="A941" s="985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  <c r="R941" s="2"/>
    </row>
    <row r="942" spans="1:18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  <c r="R942" s="2"/>
    </row>
    <row r="943" spans="1:18" ht="19.5" hidden="1" thickBot="1" x14ac:dyDescent="0.3">
      <c r="A943" s="985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  <c r="R943" s="2"/>
    </row>
    <row r="944" spans="1:18" ht="19.5" hidden="1" thickBot="1" x14ac:dyDescent="0.3">
      <c r="A944" s="985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  <c r="R944" s="2"/>
    </row>
    <row r="945" spans="1:18" ht="19.5" hidden="1" thickBot="1" x14ac:dyDescent="0.3">
      <c r="A945" s="985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  <c r="R945" s="2"/>
    </row>
    <row r="946" spans="1:18" ht="19.5" hidden="1" thickBot="1" x14ac:dyDescent="0.3">
      <c r="A946" s="985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  <c r="R946" s="2"/>
    </row>
    <row r="947" spans="1:18" ht="19.5" hidden="1" thickBot="1" x14ac:dyDescent="0.3">
      <c r="A947" s="985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  <c r="R947" s="2"/>
    </row>
    <row r="948" spans="1:18" ht="19.5" hidden="1" thickBot="1" x14ac:dyDescent="0.3">
      <c r="A948" s="984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  <c r="R948" s="2"/>
    </row>
    <row r="949" spans="1:18" ht="19.5" hidden="1" thickBot="1" x14ac:dyDescent="0.3">
      <c r="A949" s="984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  <c r="R949" s="2"/>
    </row>
    <row r="950" spans="1:18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  <c r="R950" s="2"/>
    </row>
    <row r="951" spans="1:18" ht="19.5" hidden="1" thickBot="1" x14ac:dyDescent="0.3">
      <c r="A951" s="984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  <c r="R951" s="2"/>
    </row>
    <row r="952" spans="1:18" ht="19.5" hidden="1" thickBot="1" x14ac:dyDescent="0.3">
      <c r="A952" s="984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  <c r="R952" s="2"/>
    </row>
    <row r="953" spans="1:18" ht="19.5" hidden="1" thickBot="1" x14ac:dyDescent="0.3">
      <c r="A953" s="984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  <c r="R953" s="2"/>
    </row>
    <row r="954" spans="1:18" ht="38.25" hidden="1" thickBot="1" x14ac:dyDescent="0.3">
      <c r="A954" s="984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  <c r="R954" s="2"/>
    </row>
    <row r="955" spans="1:18" ht="19.5" hidden="1" thickBot="1" x14ac:dyDescent="0.3">
      <c r="A955" s="1016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  <c r="R955" s="2"/>
    </row>
    <row r="956" spans="1:18" ht="19.5" hidden="1" thickBot="1" x14ac:dyDescent="0.3">
      <c r="A956" s="1016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  <c r="R956" s="2"/>
    </row>
    <row r="957" spans="1:18" ht="19.5" hidden="1" thickBot="1" x14ac:dyDescent="0.3">
      <c r="A957" s="984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  <c r="R957" s="2"/>
    </row>
    <row r="958" spans="1:18" ht="19.5" hidden="1" thickBot="1" x14ac:dyDescent="0.3">
      <c r="A958" s="984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  <c r="R958" s="2"/>
    </row>
    <row r="959" spans="1:18" ht="19.5" hidden="1" thickBot="1" x14ac:dyDescent="0.3">
      <c r="A959" s="985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  <c r="R959" s="2"/>
    </row>
    <row r="960" spans="1:18" ht="19.5" hidden="1" thickBot="1" x14ac:dyDescent="0.3">
      <c r="A960" s="985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  <c r="R960" s="2"/>
    </row>
    <row r="961" spans="1:18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  <c r="R961" s="2"/>
    </row>
    <row r="962" spans="1:18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  <c r="R962" s="2"/>
    </row>
    <row r="963" spans="1:18" ht="19.5" hidden="1" thickBot="1" x14ac:dyDescent="0.3">
      <c r="A963" s="984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  <c r="R963" s="2"/>
    </row>
    <row r="964" spans="1:18" ht="19.5" hidden="1" thickBot="1" x14ac:dyDescent="0.3">
      <c r="A964" s="984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  <c r="R964" s="2"/>
    </row>
    <row r="965" spans="1:18" ht="19.5" hidden="1" thickBot="1" x14ac:dyDescent="0.3">
      <c r="A965" s="984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  <c r="R965" s="2"/>
    </row>
    <row r="966" spans="1:18" ht="19.5" hidden="1" thickBot="1" x14ac:dyDescent="0.3">
      <c r="A966" s="984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  <c r="R966" s="2"/>
    </row>
    <row r="967" spans="1:18" ht="19.5" hidden="1" thickBot="1" x14ac:dyDescent="0.3">
      <c r="A967" s="984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  <c r="R967" s="2"/>
    </row>
    <row r="968" spans="1:18" ht="19.5" hidden="1" thickBot="1" x14ac:dyDescent="0.3">
      <c r="A968" s="985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  <c r="R968" s="2"/>
    </row>
    <row r="969" spans="1:18" ht="19.5" hidden="1" thickBot="1" x14ac:dyDescent="0.3">
      <c r="A969" s="985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  <c r="R969" s="2"/>
    </row>
    <row r="970" spans="1:18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  <c r="R970" s="2"/>
    </row>
    <row r="971" spans="1:18" ht="19.5" hidden="1" thickBot="1" x14ac:dyDescent="0.3">
      <c r="A971" s="985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  <c r="R971" s="2"/>
    </row>
    <row r="972" spans="1:18" ht="19.5" hidden="1" thickBot="1" x14ac:dyDescent="0.3">
      <c r="A972" s="985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  <c r="R972" s="2"/>
    </row>
    <row r="973" spans="1:18" ht="19.5" hidden="1" thickBot="1" x14ac:dyDescent="0.3">
      <c r="A973" s="985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  <c r="R973" s="2"/>
    </row>
    <row r="974" spans="1:18" ht="19.5" hidden="1" thickBot="1" x14ac:dyDescent="0.3">
      <c r="A974" s="984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  <c r="R974" s="2"/>
    </row>
    <row r="975" spans="1:18" ht="19.5" hidden="1" thickBot="1" x14ac:dyDescent="0.3">
      <c r="A975" s="984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  <c r="R975" s="2"/>
    </row>
    <row r="976" spans="1:18" ht="19.5" hidden="1" thickBot="1" x14ac:dyDescent="0.3">
      <c r="A976" s="984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  <c r="R976" s="2"/>
    </row>
    <row r="977" spans="1:18" ht="19.5" hidden="1" thickBot="1" x14ac:dyDescent="0.3">
      <c r="A977" s="985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  <c r="R977" s="2"/>
    </row>
    <row r="978" spans="1:18" ht="19.5" hidden="1" thickBot="1" x14ac:dyDescent="0.3">
      <c r="A978" s="985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  <c r="R978" s="2"/>
    </row>
    <row r="979" spans="1:18" ht="19.5" hidden="1" thickBot="1" x14ac:dyDescent="0.3">
      <c r="A979" s="985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  <c r="R979" s="2"/>
    </row>
    <row r="980" spans="1:18" ht="19.5" hidden="1" thickBot="1" x14ac:dyDescent="0.3">
      <c r="A980" s="984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  <c r="R980" s="2"/>
    </row>
    <row r="981" spans="1:18" ht="19.5" hidden="1" thickBot="1" x14ac:dyDescent="0.3">
      <c r="A981" s="984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  <c r="R981" s="2"/>
    </row>
    <row r="982" spans="1:18" ht="19.5" hidden="1" thickBot="1" x14ac:dyDescent="0.3">
      <c r="A982" s="984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  <c r="R982" s="2"/>
    </row>
    <row r="983" spans="1:18" ht="19.5" hidden="1" customHeight="1" thickBot="1" x14ac:dyDescent="0.3">
      <c r="A983" s="985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990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  <c r="R983" s="2"/>
    </row>
    <row r="984" spans="1:18" ht="19.5" hidden="1" thickBot="1" x14ac:dyDescent="0.3">
      <c r="A984" s="985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990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  <c r="R984" s="2"/>
    </row>
    <row r="985" spans="1:18" ht="38.25" hidden="1" thickBot="1" x14ac:dyDescent="0.3">
      <c r="A985" s="984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  <c r="R985" s="2"/>
    </row>
    <row r="986" spans="1:18" ht="38.25" hidden="1" thickBot="1" x14ac:dyDescent="0.3">
      <c r="A986" s="984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  <c r="R986" s="2"/>
    </row>
    <row r="987" spans="1:18" ht="38.25" hidden="1" thickBot="1" x14ac:dyDescent="0.3">
      <c r="A987" s="984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  <c r="R987" s="2"/>
    </row>
    <row r="988" spans="1:18" ht="19.5" hidden="1" thickBot="1" x14ac:dyDescent="0.3">
      <c r="A988" s="985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  <c r="R988" s="2"/>
    </row>
    <row r="989" spans="1:18" ht="19.5" hidden="1" thickBot="1" x14ac:dyDescent="0.3">
      <c r="A989" s="985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  <c r="R989" s="2"/>
    </row>
    <row r="990" spans="1:18" ht="38.25" hidden="1" thickBot="1" x14ac:dyDescent="0.3">
      <c r="A990" s="984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  <c r="R990" s="2"/>
    </row>
    <row r="991" spans="1:18" ht="38.25" hidden="1" thickBot="1" x14ac:dyDescent="0.3">
      <c r="A991" s="984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  <c r="R991" s="2"/>
    </row>
    <row r="992" spans="1:18" ht="38.25" hidden="1" thickBot="1" x14ac:dyDescent="0.3">
      <c r="A992" s="984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  <c r="R992" s="2"/>
    </row>
    <row r="993" spans="1:18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  <c r="R993" s="2"/>
    </row>
    <row r="994" spans="1:18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  <c r="R994" s="2"/>
    </row>
    <row r="995" spans="1:18" ht="19.5" hidden="1" thickBot="1" x14ac:dyDescent="0.3">
      <c r="A995" s="985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  <c r="R995" s="2"/>
    </row>
    <row r="996" spans="1:18" ht="19.5" hidden="1" thickBot="1" x14ac:dyDescent="0.3">
      <c r="A996" s="985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  <c r="R996" s="2"/>
    </row>
    <row r="997" spans="1:18" ht="19.5" hidden="1" thickBot="1" x14ac:dyDescent="0.3">
      <c r="A997" s="985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  <c r="R997" s="2"/>
    </row>
    <row r="998" spans="1:18" ht="19.5" hidden="1" thickBot="1" x14ac:dyDescent="0.3">
      <c r="A998" s="985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  <c r="R998" s="2"/>
    </row>
    <row r="999" spans="1:18" ht="38.25" hidden="1" thickBot="1" x14ac:dyDescent="0.3">
      <c r="A999" s="985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  <c r="R999" s="2"/>
    </row>
    <row r="1000" spans="1:18" ht="19.5" hidden="1" thickBot="1" x14ac:dyDescent="0.3">
      <c r="A1000" s="984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  <c r="R1000" s="2"/>
    </row>
    <row r="1001" spans="1:18" ht="19.5" hidden="1" thickBot="1" x14ac:dyDescent="0.3">
      <c r="A1001" s="984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  <c r="R1001" s="2"/>
    </row>
    <row r="1002" spans="1:18" ht="19.5" hidden="1" thickBot="1" x14ac:dyDescent="0.3">
      <c r="A1002" s="988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  <c r="R1002" s="2"/>
    </row>
    <row r="1003" spans="1:18" ht="19.5" hidden="1" thickBot="1" x14ac:dyDescent="0.3">
      <c r="A1003" s="988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  <c r="R1003" s="2"/>
    </row>
    <row r="1004" spans="1:18" ht="19.5" hidden="1" thickBot="1" x14ac:dyDescent="0.3">
      <c r="A1004" s="984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  <c r="R1004" s="2"/>
    </row>
    <row r="1005" spans="1:18" ht="19.5" hidden="1" thickBot="1" x14ac:dyDescent="0.3">
      <c r="A1005" s="984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  <c r="R1005" s="2"/>
    </row>
    <row r="1006" spans="1:18" ht="19.5" hidden="1" thickBot="1" x14ac:dyDescent="0.3">
      <c r="A1006" s="985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  <c r="R1006" s="2"/>
    </row>
    <row r="1007" spans="1:18" ht="19.5" hidden="1" thickBot="1" x14ac:dyDescent="0.3">
      <c r="A1007" s="985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  <c r="R1007" s="2"/>
    </row>
    <row r="1008" spans="1:18" ht="19.5" hidden="1" thickBot="1" x14ac:dyDescent="0.3">
      <c r="A1008" s="984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  <c r="R1008" s="2"/>
    </row>
    <row r="1009" spans="1:18" ht="19.5" hidden="1" thickBot="1" x14ac:dyDescent="0.3">
      <c r="A1009" s="984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  <c r="R1009" s="2"/>
    </row>
    <row r="1010" spans="1:18" ht="19.5" hidden="1" thickBot="1" x14ac:dyDescent="0.3">
      <c r="A1010" s="984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  <c r="R1010" s="2"/>
    </row>
    <row r="1011" spans="1:18" ht="19.5" hidden="1" thickBot="1" x14ac:dyDescent="0.3">
      <c r="A1011" s="984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  <c r="R1011" s="2"/>
    </row>
    <row r="1012" spans="1:18" ht="19.5" hidden="1" thickBot="1" x14ac:dyDescent="0.3">
      <c r="A1012" s="984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  <c r="R1012" s="2"/>
    </row>
    <row r="1013" spans="1:18" ht="19.5" hidden="1" thickBot="1" x14ac:dyDescent="0.3">
      <c r="A1013" s="984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  <c r="R1013" s="2"/>
    </row>
    <row r="1014" spans="1:18" ht="38.25" hidden="1" thickBot="1" x14ac:dyDescent="0.3">
      <c r="A1014" s="984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  <c r="R1014" s="2"/>
    </row>
    <row r="1015" spans="1:18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  <c r="R1015" s="2"/>
    </row>
    <row r="1016" spans="1:18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  <c r="R1016" s="2"/>
    </row>
    <row r="1017" spans="1:18" ht="19.5" hidden="1" thickBot="1" x14ac:dyDescent="0.3">
      <c r="A1017" s="985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  <c r="R1017" s="2"/>
    </row>
    <row r="1018" spans="1:18" ht="19.5" hidden="1" thickBot="1" x14ac:dyDescent="0.3">
      <c r="A1018" s="985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  <c r="R1018" s="2"/>
    </row>
    <row r="1019" spans="1:18" ht="19.5" hidden="1" thickBot="1" x14ac:dyDescent="0.3">
      <c r="A1019" s="984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  <c r="R1019" s="2"/>
    </row>
    <row r="1020" spans="1:18" ht="19.5" hidden="1" thickBot="1" x14ac:dyDescent="0.3">
      <c r="A1020" s="984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  <c r="R1020" s="2"/>
    </row>
    <row r="1021" spans="1:18" ht="57" hidden="1" thickBot="1" x14ac:dyDescent="0.3">
      <c r="A1021" s="985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  <c r="R1021" s="2"/>
    </row>
    <row r="1022" spans="1:18" ht="57" hidden="1" thickBot="1" x14ac:dyDescent="0.3">
      <c r="A1022" s="985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  <c r="R1022" s="2"/>
    </row>
    <row r="1023" spans="1:18" ht="19.5" hidden="1" thickBot="1" x14ac:dyDescent="0.3">
      <c r="A1023" s="984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  <c r="R1023" s="2"/>
    </row>
    <row r="1024" spans="1:18" ht="19.5" hidden="1" thickBot="1" x14ac:dyDescent="0.3">
      <c r="A1024" s="984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  <c r="R1024" s="2"/>
    </row>
    <row r="1025" spans="1:18" ht="19.5" hidden="1" thickBot="1" x14ac:dyDescent="0.3">
      <c r="A1025" s="984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  <c r="R1025" s="2"/>
    </row>
    <row r="1026" spans="1:18" ht="19.5" hidden="1" thickBot="1" x14ac:dyDescent="0.3">
      <c r="A1026" s="985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  <c r="R1026" s="2"/>
    </row>
    <row r="1027" spans="1:18" ht="19.5" hidden="1" thickBot="1" x14ac:dyDescent="0.3">
      <c r="A1027" s="985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  <c r="R1027" s="2"/>
    </row>
    <row r="1028" spans="1:18" ht="19.5" hidden="1" thickBot="1" x14ac:dyDescent="0.3">
      <c r="A1028" s="984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  <c r="R1028" s="2"/>
    </row>
    <row r="1029" spans="1:18" ht="19.5" hidden="1" thickBot="1" x14ac:dyDescent="0.3">
      <c r="A1029" s="984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  <c r="R1029" s="2"/>
    </row>
    <row r="1030" spans="1:18" ht="19.5" hidden="1" customHeight="1" thickBot="1" x14ac:dyDescent="0.3">
      <c r="A1030" s="985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990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  <c r="R1030" s="2"/>
    </row>
    <row r="1031" spans="1:18" ht="19.5" hidden="1" thickBot="1" x14ac:dyDescent="0.3">
      <c r="A1031" s="985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990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  <c r="R1031" s="2"/>
    </row>
    <row r="1032" spans="1:18" ht="19.5" hidden="1" thickBot="1" x14ac:dyDescent="0.3">
      <c r="A1032" s="984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  <c r="R1032" s="2"/>
    </row>
    <row r="1033" spans="1:18" ht="19.5" hidden="1" thickBot="1" x14ac:dyDescent="0.3">
      <c r="A1033" s="984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  <c r="R1033" s="2"/>
    </row>
    <row r="1034" spans="1:18" ht="19.5" hidden="1" thickBot="1" x14ac:dyDescent="0.3">
      <c r="A1034" s="984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  <c r="R1034" s="2"/>
    </row>
    <row r="1035" spans="1:18" ht="38.25" hidden="1" thickBot="1" x14ac:dyDescent="0.3">
      <c r="A1035" s="985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  <c r="R1035" s="2"/>
    </row>
    <row r="1036" spans="1:18" ht="38.25" hidden="1" thickBot="1" x14ac:dyDescent="0.3">
      <c r="A1036" s="985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  <c r="R1036" s="2"/>
    </row>
    <row r="1037" spans="1:18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  <c r="R1037" s="2"/>
    </row>
    <row r="1038" spans="1:18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  <c r="R1038" s="2"/>
    </row>
    <row r="1039" spans="1:18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  <c r="R1039" s="2"/>
    </row>
    <row r="1040" spans="1:18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  <c r="R1040" s="2"/>
    </row>
    <row r="1041" spans="1:18" ht="19.5" hidden="1" thickBot="1" x14ac:dyDescent="0.3">
      <c r="A1041" s="984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  <c r="R1041" s="2"/>
    </row>
    <row r="1042" spans="1:18" ht="19.5" hidden="1" thickBot="1" x14ac:dyDescent="0.3">
      <c r="A1042" s="984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  <c r="R1042" s="2"/>
    </row>
    <row r="1043" spans="1:18" ht="19.5" hidden="1" thickBot="1" x14ac:dyDescent="0.3">
      <c r="A1043" s="985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  <c r="R1043" s="2"/>
    </row>
    <row r="1044" spans="1:18" ht="19.5" hidden="1" thickBot="1" x14ac:dyDescent="0.3">
      <c r="A1044" s="985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  <c r="R1044" s="2"/>
    </row>
    <row r="1045" spans="1:18" ht="19.5" hidden="1" thickBot="1" x14ac:dyDescent="0.3">
      <c r="A1045" s="985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  <c r="R1045" s="2"/>
    </row>
    <row r="1046" spans="1:18" ht="19.5" hidden="1" thickBot="1" x14ac:dyDescent="0.3">
      <c r="A1046" s="984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  <c r="R1046" s="2"/>
    </row>
    <row r="1047" spans="1:18" ht="19.5" hidden="1" thickBot="1" x14ac:dyDescent="0.3">
      <c r="A1047" s="984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  <c r="R1047" s="2"/>
    </row>
    <row r="1048" spans="1:18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  <c r="R1048" s="2"/>
    </row>
    <row r="1049" spans="1:18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  <c r="R1049" s="2"/>
    </row>
    <row r="1050" spans="1:18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  <c r="R1050" s="2"/>
    </row>
    <row r="1051" spans="1:18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  <c r="R1051" s="2"/>
    </row>
    <row r="1052" spans="1:18" ht="19.5" hidden="1" thickBot="1" x14ac:dyDescent="0.3">
      <c r="A1052" s="985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  <c r="R1052" s="2"/>
    </row>
    <row r="1053" spans="1:18" ht="19.5" hidden="1" thickBot="1" x14ac:dyDescent="0.3">
      <c r="A1053" s="985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  <c r="R1053" s="2"/>
    </row>
    <row r="1054" spans="1:18" ht="19.5" hidden="1" thickBot="1" x14ac:dyDescent="0.3">
      <c r="A1054" s="985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  <c r="R1054" s="2"/>
    </row>
    <row r="1055" spans="1:18" ht="19.5" hidden="1" thickBot="1" x14ac:dyDescent="0.3">
      <c r="A1055" s="985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  <c r="R1055" s="2"/>
    </row>
    <row r="1056" spans="1:18" ht="19.5" hidden="1" thickBot="1" x14ac:dyDescent="0.3">
      <c r="A1056" s="985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  <c r="R1056" s="2"/>
    </row>
    <row r="1057" spans="1:18" ht="113.25" hidden="1" thickBot="1" x14ac:dyDescent="0.3">
      <c r="A1057" s="985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  <c r="R1057" s="2"/>
    </row>
    <row r="1058" spans="1:18" ht="19.5" hidden="1" thickBot="1" x14ac:dyDescent="0.3">
      <c r="A1058" s="985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  <c r="R1058" s="2"/>
    </row>
    <row r="1059" spans="1:18" ht="19.5" hidden="1" thickBot="1" x14ac:dyDescent="0.3">
      <c r="A1059" s="985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  <c r="R1059" s="2"/>
    </row>
    <row r="1060" spans="1:18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  <c r="R1060" s="2"/>
    </row>
    <row r="1061" spans="1:18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  <c r="R1061" s="2"/>
    </row>
    <row r="1062" spans="1:18" ht="38.25" hidden="1" thickBot="1" x14ac:dyDescent="0.3">
      <c r="A1062" s="984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  <c r="R1062" s="2"/>
    </row>
    <row r="1063" spans="1:18" ht="38.25" hidden="1" thickBot="1" x14ac:dyDescent="0.3">
      <c r="A1063" s="984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  <c r="R1063" s="2"/>
    </row>
    <row r="1064" spans="1:18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  <c r="R1064" s="2"/>
    </row>
    <row r="1065" spans="1:18" ht="19.5" hidden="1" thickBot="1" x14ac:dyDescent="0.3">
      <c r="A1065" s="984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  <c r="R1065" s="2"/>
    </row>
    <row r="1066" spans="1:18" ht="19.5" hidden="1" thickBot="1" x14ac:dyDescent="0.3">
      <c r="A1066" s="984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  <c r="R1066" s="2"/>
    </row>
    <row r="1067" spans="1:18" ht="19.5" hidden="1" thickBot="1" x14ac:dyDescent="0.3">
      <c r="A1067" s="984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  <c r="R1067" s="2"/>
    </row>
    <row r="1068" spans="1:18" ht="19.5" hidden="1" thickBot="1" x14ac:dyDescent="0.3">
      <c r="A1068" s="985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  <c r="R1068" s="2"/>
    </row>
    <row r="1069" spans="1:18" ht="19.5" hidden="1" thickBot="1" x14ac:dyDescent="0.3">
      <c r="A1069" s="985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  <c r="R1069" s="2"/>
    </row>
    <row r="1070" spans="1:18" ht="19.5" hidden="1" thickBot="1" x14ac:dyDescent="0.3">
      <c r="A1070" s="984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  <c r="R1070" s="2"/>
    </row>
    <row r="1071" spans="1:18" ht="19.5" hidden="1" thickBot="1" x14ac:dyDescent="0.3">
      <c r="A1071" s="984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  <c r="R1071" s="2"/>
    </row>
    <row r="1072" spans="1:18" ht="19.5" hidden="1" thickBot="1" x14ac:dyDescent="0.3">
      <c r="A1072" s="985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  <c r="R1072" s="2"/>
    </row>
    <row r="1073" spans="1:18" ht="19.5" hidden="1" thickBot="1" x14ac:dyDescent="0.3">
      <c r="A1073" s="985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  <c r="R1073" s="2"/>
    </row>
    <row r="1074" spans="1:18" ht="19.5" hidden="1" thickBot="1" x14ac:dyDescent="0.3">
      <c r="A1074" s="985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  <c r="R1074" s="2"/>
    </row>
    <row r="1075" spans="1:18" ht="19.5" hidden="1" thickBot="1" x14ac:dyDescent="0.3">
      <c r="A1075" s="984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  <c r="R1075" s="2"/>
    </row>
    <row r="1076" spans="1:18" ht="19.5" hidden="1" thickBot="1" x14ac:dyDescent="0.3">
      <c r="A1076" s="984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  <c r="R1076" s="2"/>
    </row>
    <row r="1077" spans="1:18" ht="19.5" hidden="1" thickBot="1" x14ac:dyDescent="0.3">
      <c r="A1077" s="984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  <c r="R1077" s="2"/>
    </row>
    <row r="1078" spans="1:18" ht="38.25" hidden="1" thickBot="1" x14ac:dyDescent="0.3">
      <c r="A1078" s="985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  <c r="R1078" s="2"/>
    </row>
    <row r="1079" spans="1:18" ht="38.25" hidden="1" thickBot="1" x14ac:dyDescent="0.3">
      <c r="A1079" s="985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  <c r="R1079" s="2"/>
    </row>
    <row r="1080" spans="1:18" ht="19.5" hidden="1" customHeight="1" thickBot="1" x14ac:dyDescent="0.3">
      <c r="A1080" s="984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987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  <c r="R1080" s="2"/>
    </row>
    <row r="1081" spans="1:18" ht="19.5" hidden="1" thickBot="1" x14ac:dyDescent="0.3">
      <c r="A1081" s="984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987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  <c r="R1081" s="2"/>
    </row>
    <row r="1082" spans="1:18" ht="19.5" hidden="1" thickBot="1" x14ac:dyDescent="0.3">
      <c r="A1082" s="985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  <c r="R1082" s="2"/>
    </row>
    <row r="1083" spans="1:18" ht="19.5" hidden="1" thickBot="1" x14ac:dyDescent="0.3">
      <c r="A1083" s="985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  <c r="R1083" s="2"/>
    </row>
    <row r="1084" spans="1:18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  <c r="R1084" s="2"/>
    </row>
    <row r="1085" spans="1:18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  <c r="R1085" s="2"/>
    </row>
    <row r="1086" spans="1:18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  <c r="R1086" s="2"/>
    </row>
    <row r="1087" spans="1:18" ht="19.5" hidden="1" thickBot="1" x14ac:dyDescent="0.3">
      <c r="A1087" s="985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  <c r="R1087" s="2"/>
    </row>
    <row r="1088" spans="1:18" ht="19.5" hidden="1" thickBot="1" x14ac:dyDescent="0.3">
      <c r="A1088" s="985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  <c r="R1088" s="2"/>
    </row>
    <row r="1089" spans="1:18" ht="19.5" hidden="1" thickBot="1" x14ac:dyDescent="0.3">
      <c r="A1089" s="985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  <c r="R1089" s="2"/>
    </row>
    <row r="1090" spans="1:18" ht="19.5" hidden="1" thickBot="1" x14ac:dyDescent="0.3">
      <c r="A1090" s="985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  <c r="R1090" s="2"/>
    </row>
    <row r="1091" spans="1:18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  <c r="R1091" s="2"/>
    </row>
    <row r="1092" spans="1:18" ht="19.5" hidden="1" thickBot="1" x14ac:dyDescent="0.3">
      <c r="A1092" s="985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  <c r="R1092" s="2"/>
    </row>
    <row r="1093" spans="1:18" ht="19.5" hidden="1" thickBot="1" x14ac:dyDescent="0.3">
      <c r="A1093" s="985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  <c r="R1093" s="2"/>
    </row>
    <row r="1094" spans="1:18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  <c r="R1094" s="2"/>
    </row>
    <row r="1095" spans="1:18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  <c r="R1095" s="2"/>
    </row>
    <row r="1096" spans="1:18" ht="38.25" hidden="1" thickBot="1" x14ac:dyDescent="0.3">
      <c r="A1096" s="984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  <c r="R1096" s="2"/>
    </row>
    <row r="1097" spans="1:18" ht="38.25" hidden="1" thickBot="1" x14ac:dyDescent="0.3">
      <c r="A1097" s="984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  <c r="R1097" s="2"/>
    </row>
    <row r="1098" spans="1:18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  <c r="R1098" s="2"/>
    </row>
    <row r="1099" spans="1:18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  <c r="R1099" s="2"/>
    </row>
    <row r="1100" spans="1:18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  <c r="R1100" s="2"/>
    </row>
    <row r="1101" spans="1:18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  <c r="R1101" s="2"/>
    </row>
    <row r="1102" spans="1:18" ht="19.5" hidden="1" thickBot="1" x14ac:dyDescent="0.3">
      <c r="A1102" s="985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  <c r="R1102" s="2"/>
    </row>
    <row r="1103" spans="1:18" ht="19.5" hidden="1" thickBot="1" x14ac:dyDescent="0.3">
      <c r="A1103" s="985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  <c r="R1103" s="2"/>
    </row>
    <row r="1104" spans="1:18" ht="19.5" hidden="1" thickBot="1" x14ac:dyDescent="0.3">
      <c r="A1104" s="985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  <c r="R1104" s="2"/>
    </row>
    <row r="1105" spans="1:18" ht="19.5" hidden="1" thickBot="1" x14ac:dyDescent="0.3">
      <c r="A1105" s="985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  <c r="R1105" s="2"/>
    </row>
    <row r="1106" spans="1:18" ht="19.5" hidden="1" thickBot="1" x14ac:dyDescent="0.3">
      <c r="A1106" s="984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  <c r="R1106" s="2"/>
    </row>
    <row r="1107" spans="1:18" ht="19.5" hidden="1" thickBot="1" x14ac:dyDescent="0.3">
      <c r="A1107" s="984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  <c r="R1107" s="2"/>
    </row>
    <row r="1108" spans="1:18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  <c r="R1108" s="2"/>
    </row>
    <row r="1109" spans="1:18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  <c r="R1109" s="2"/>
    </row>
    <row r="1110" spans="1:18" ht="19.5" hidden="1" thickBot="1" x14ac:dyDescent="0.3">
      <c r="A1110" s="985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  <c r="R1110" s="2"/>
    </row>
    <row r="1111" spans="1:18" ht="19.5" hidden="1" thickBot="1" x14ac:dyDescent="0.3">
      <c r="A1111" s="985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  <c r="R1111" s="2"/>
    </row>
    <row r="1112" spans="1:18" ht="19.5" hidden="1" thickBot="1" x14ac:dyDescent="0.3">
      <c r="A1112" s="985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  <c r="R1112" s="2"/>
    </row>
    <row r="1113" spans="1:18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  <c r="R1113" s="2"/>
    </row>
    <row r="1114" spans="1:18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  <c r="R1114" s="2"/>
    </row>
    <row r="1115" spans="1:18" ht="75.75" hidden="1" thickBot="1" x14ac:dyDescent="0.3">
      <c r="A1115" s="984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  <c r="R1115" s="2"/>
    </row>
    <row r="1116" spans="1:18" ht="19.5" hidden="1" thickBot="1" x14ac:dyDescent="0.3">
      <c r="A1116" s="984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  <c r="R1116" s="2"/>
    </row>
    <row r="1117" spans="1:18" ht="19.5" hidden="1" thickBot="1" x14ac:dyDescent="0.3">
      <c r="A1117" s="985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  <c r="R1117" s="2"/>
    </row>
    <row r="1118" spans="1:18" ht="38.25" hidden="1" thickBot="1" x14ac:dyDescent="0.3">
      <c r="A1118" s="985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  <c r="R1118" s="2"/>
    </row>
    <row r="1119" spans="1:18" ht="38.25" hidden="1" thickBot="1" x14ac:dyDescent="0.3">
      <c r="A1119" s="985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  <c r="R1119" s="2"/>
    </row>
    <row r="1120" spans="1:18" ht="38.25" hidden="1" thickBot="1" x14ac:dyDescent="0.3">
      <c r="A1120" s="985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  <c r="R1120" s="2"/>
    </row>
    <row r="1121" spans="1:18" ht="19.5" hidden="1" customHeight="1" thickBot="1" x14ac:dyDescent="0.3">
      <c r="A1121" s="984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987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  <c r="R1121" s="2"/>
    </row>
    <row r="1122" spans="1:18" ht="19.5" hidden="1" thickBot="1" x14ac:dyDescent="0.3">
      <c r="A1122" s="984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987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  <c r="R1122" s="2"/>
    </row>
    <row r="1123" spans="1:18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  <c r="R1123" s="2"/>
    </row>
    <row r="1124" spans="1:18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  <c r="R1124" s="2"/>
    </row>
    <row r="1125" spans="1:18" ht="38.25" hidden="1" thickBot="1" x14ac:dyDescent="0.3">
      <c r="A1125" s="985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  <c r="R1125" s="2"/>
    </row>
    <row r="1126" spans="1:18" ht="19.5" hidden="1" thickBot="1" x14ac:dyDescent="0.3">
      <c r="A1126" s="985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  <c r="R1126" s="2"/>
    </row>
    <row r="1127" spans="1:18" ht="19.5" hidden="1" thickBot="1" x14ac:dyDescent="0.3">
      <c r="A1127" s="984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  <c r="R1127" s="2"/>
    </row>
    <row r="1128" spans="1:18" ht="19.5" hidden="1" thickBot="1" x14ac:dyDescent="0.3">
      <c r="A1128" s="984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  <c r="R1128" s="2"/>
    </row>
    <row r="1129" spans="1:18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  <c r="R1129" s="2"/>
    </row>
    <row r="1130" spans="1:18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  <c r="R1130" s="2"/>
    </row>
    <row r="1131" spans="1:18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  <c r="R1131" s="2"/>
    </row>
    <row r="1132" spans="1:18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  <c r="R1132" s="2"/>
    </row>
    <row r="1133" spans="1:18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  <c r="R1133" s="2"/>
    </row>
    <row r="1134" spans="1:18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  <c r="R1134" s="2"/>
    </row>
    <row r="1135" spans="1:18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  <c r="R1135" s="2"/>
    </row>
    <row r="1136" spans="1:18" ht="19.5" hidden="1" thickBot="1" x14ac:dyDescent="0.3">
      <c r="A1136" s="984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  <c r="R1136" s="2"/>
    </row>
    <row r="1137" spans="1:18" ht="19.5" hidden="1" thickBot="1" x14ac:dyDescent="0.3">
      <c r="A1137" s="984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  <c r="R1137" s="2"/>
    </row>
    <row r="1138" spans="1:18" ht="19.5" hidden="1" thickBot="1" x14ac:dyDescent="0.3">
      <c r="A1138" s="985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  <c r="R1138" s="2"/>
    </row>
    <row r="1139" spans="1:18" ht="19.5" hidden="1" thickBot="1" x14ac:dyDescent="0.3">
      <c r="A1139" s="985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  <c r="R1139" s="2"/>
    </row>
    <row r="1140" spans="1:18" ht="19.5" hidden="1" thickBot="1" x14ac:dyDescent="0.3">
      <c r="A1140" s="984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  <c r="R1140" s="2"/>
    </row>
    <row r="1141" spans="1:18" ht="19.5" hidden="1" thickBot="1" x14ac:dyDescent="0.3">
      <c r="A1141" s="984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  <c r="R1141" s="2"/>
    </row>
    <row r="1142" spans="1:18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  <c r="R1142" s="2"/>
    </row>
    <row r="1143" spans="1:18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  <c r="R1143" s="2"/>
    </row>
    <row r="1144" spans="1:18" ht="38.25" hidden="1" thickBot="1" x14ac:dyDescent="0.3">
      <c r="A1144" s="985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  <c r="R1144" s="2"/>
    </row>
    <row r="1145" spans="1:18" ht="38.25" hidden="1" thickBot="1" x14ac:dyDescent="0.3">
      <c r="A1145" s="985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  <c r="R1145" s="2"/>
    </row>
    <row r="1146" spans="1:18" ht="38.25" hidden="1" thickBot="1" x14ac:dyDescent="0.3">
      <c r="A1146" s="984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  <c r="R1146" s="2"/>
    </row>
    <row r="1147" spans="1:18" ht="38.25" hidden="1" thickBot="1" x14ac:dyDescent="0.3">
      <c r="A1147" s="984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  <c r="R1147" s="2"/>
    </row>
    <row r="1148" spans="1:18" ht="19.5" hidden="1" thickBot="1" x14ac:dyDescent="0.3">
      <c r="A1148" s="985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  <c r="R1148" s="2"/>
    </row>
    <row r="1149" spans="1:18" ht="19.5" hidden="1" thickBot="1" x14ac:dyDescent="0.3">
      <c r="A1149" s="985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  <c r="R1149" s="2"/>
    </row>
    <row r="1150" spans="1:18" ht="19.5" hidden="1" thickBot="1" x14ac:dyDescent="0.3">
      <c r="A1150" s="985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  <c r="R1150" s="2"/>
    </row>
    <row r="1151" spans="1:18" ht="19.5" hidden="1" thickBot="1" x14ac:dyDescent="0.3">
      <c r="A1151" s="985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  <c r="R1151" s="2"/>
    </row>
    <row r="1152" spans="1:18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  <c r="R1152" s="2"/>
    </row>
    <row r="1153" spans="1:18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  <c r="R1153" s="2"/>
    </row>
    <row r="1154" spans="1:18" ht="19.5" hidden="1" thickBot="1" x14ac:dyDescent="0.3">
      <c r="A1154" s="984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  <c r="R1154" s="2"/>
    </row>
    <row r="1155" spans="1:18" ht="19.5" hidden="1" thickBot="1" x14ac:dyDescent="0.3">
      <c r="A1155" s="984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  <c r="R1155" s="2"/>
    </row>
    <row r="1156" spans="1:18" ht="19.5" hidden="1" thickBot="1" x14ac:dyDescent="0.3">
      <c r="A1156" s="984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  <c r="R1156" s="2"/>
    </row>
    <row r="1157" spans="1:18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  <c r="R1157" s="2"/>
    </row>
    <row r="1158" spans="1:18" ht="19.5" hidden="1" thickBot="1" x14ac:dyDescent="0.3">
      <c r="A1158" s="984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  <c r="R1158" s="2"/>
    </row>
    <row r="1159" spans="1:18" ht="19.5" hidden="1" thickBot="1" x14ac:dyDescent="0.3">
      <c r="A1159" s="984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  <c r="R1159" s="2"/>
    </row>
    <row r="1160" spans="1:18" ht="19.5" hidden="1" thickBot="1" x14ac:dyDescent="0.3">
      <c r="A1160" s="984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  <c r="R1160" s="2"/>
    </row>
    <row r="1161" spans="1:18" ht="19.5" hidden="1" thickBot="1" x14ac:dyDescent="0.3">
      <c r="A1161" s="984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  <c r="R1161" s="2"/>
    </row>
    <row r="1162" spans="1:18" ht="19.5" hidden="1" thickBot="1" x14ac:dyDescent="0.3">
      <c r="A1162" s="984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  <c r="R1162" s="2"/>
    </row>
    <row r="1163" spans="1:18" ht="19.5" hidden="1" thickBot="1" x14ac:dyDescent="0.3">
      <c r="A1163" s="985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  <c r="R1163" s="2"/>
    </row>
    <row r="1164" spans="1:18" ht="19.5" hidden="1" thickBot="1" x14ac:dyDescent="0.3">
      <c r="A1164" s="985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  <c r="R1164" s="2"/>
    </row>
    <row r="1165" spans="1:18" ht="19.5" hidden="1" thickBot="1" x14ac:dyDescent="0.3">
      <c r="A1165" s="985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  <c r="R1165" s="2"/>
    </row>
    <row r="1166" spans="1:18" ht="19.5" hidden="1" thickBot="1" x14ac:dyDescent="0.3">
      <c r="A1166" s="985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  <c r="R1166" s="2"/>
    </row>
    <row r="1167" spans="1:18" ht="19.5" hidden="1" customHeight="1" thickBot="1" x14ac:dyDescent="0.3">
      <c r="A1167" s="984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987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  <c r="R1167" s="2"/>
    </row>
    <row r="1168" spans="1:18" ht="19.5" hidden="1" thickBot="1" x14ac:dyDescent="0.3">
      <c r="A1168" s="984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987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  <c r="R1168" s="2"/>
    </row>
    <row r="1169" spans="1:18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  <c r="R1169" s="2"/>
    </row>
    <row r="1170" spans="1:18" ht="38.25" hidden="1" thickBot="1" x14ac:dyDescent="0.3">
      <c r="A1170" s="984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  <c r="R1170" s="2"/>
    </row>
    <row r="1171" spans="1:18" ht="38.25" hidden="1" thickBot="1" x14ac:dyDescent="0.3">
      <c r="A1171" s="984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  <c r="R1171" s="2"/>
    </row>
    <row r="1172" spans="1:18" ht="19.5" hidden="1" thickBot="1" x14ac:dyDescent="0.3">
      <c r="A1172" s="985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  <c r="R1172" s="2"/>
    </row>
    <row r="1173" spans="1:18" ht="19.5" hidden="1" thickBot="1" x14ac:dyDescent="0.3">
      <c r="A1173" s="985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  <c r="R1173" s="2"/>
    </row>
    <row r="1174" spans="1:18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  <c r="R1174" s="2"/>
    </row>
    <row r="1175" spans="1:18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  <c r="R1175" s="2"/>
    </row>
    <row r="1176" spans="1:18" ht="19.5" hidden="1" thickBot="1" x14ac:dyDescent="0.3">
      <c r="A1176" s="984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  <c r="R1176" s="2"/>
    </row>
    <row r="1177" spans="1:18" ht="19.5" hidden="1" thickBot="1" x14ac:dyDescent="0.3">
      <c r="A1177" s="984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  <c r="R1177" s="2"/>
    </row>
    <row r="1178" spans="1:18" ht="19.5" hidden="1" thickBot="1" x14ac:dyDescent="0.3">
      <c r="A1178" s="984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  <c r="R1178" s="2"/>
    </row>
    <row r="1179" spans="1:18" ht="19.5" hidden="1" thickBot="1" x14ac:dyDescent="0.3">
      <c r="A1179" s="984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  <c r="R1179" s="2"/>
    </row>
    <row r="1180" spans="1:18" ht="19.5" hidden="1" thickBot="1" x14ac:dyDescent="0.3">
      <c r="A1180" s="985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  <c r="R1180" s="2"/>
    </row>
    <row r="1181" spans="1:18" ht="19.5" hidden="1" thickBot="1" x14ac:dyDescent="0.3">
      <c r="A1181" s="985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  <c r="R1181" s="2"/>
    </row>
    <row r="1182" spans="1:18" ht="19.5" hidden="1" thickBot="1" x14ac:dyDescent="0.3">
      <c r="A1182" s="984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  <c r="R1182" s="2"/>
    </row>
    <row r="1183" spans="1:18" ht="19.5" hidden="1" thickBot="1" x14ac:dyDescent="0.3">
      <c r="A1183" s="984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  <c r="R1183" s="2"/>
    </row>
    <row r="1184" spans="1:18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  <c r="R1184" s="2"/>
    </row>
    <row r="1185" spans="1:18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  <c r="R1185" s="2"/>
    </row>
    <row r="1186" spans="1:18" ht="19.5" hidden="1" thickBot="1" x14ac:dyDescent="0.3">
      <c r="A1186" s="985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  <c r="R1186" s="2"/>
    </row>
    <row r="1187" spans="1:18" ht="19.5" hidden="1" thickBot="1" x14ac:dyDescent="0.3">
      <c r="A1187" s="985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  <c r="R1187" s="2"/>
    </row>
    <row r="1188" spans="1:18" ht="19.5" hidden="1" thickBot="1" x14ac:dyDescent="0.3">
      <c r="A1188" s="985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  <c r="R1188" s="2"/>
    </row>
    <row r="1189" spans="1:18" ht="19.5" hidden="1" thickBot="1" x14ac:dyDescent="0.3">
      <c r="A1189" s="985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  <c r="R1189" s="2"/>
    </row>
    <row r="1190" spans="1:18" ht="19.5" hidden="1" thickBot="1" x14ac:dyDescent="0.3">
      <c r="A1190" s="985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  <c r="R1190" s="2"/>
    </row>
    <row r="1191" spans="1:18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  <c r="R1191" s="2"/>
    </row>
    <row r="1192" spans="1:18" ht="19.5" hidden="1" thickBot="1" x14ac:dyDescent="0.3">
      <c r="A1192" s="985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  <c r="R1192" s="2"/>
    </row>
    <row r="1193" spans="1:18" ht="19.5" hidden="1" thickBot="1" x14ac:dyDescent="0.3">
      <c r="A1193" s="985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  <c r="R1193" s="2"/>
    </row>
    <row r="1194" spans="1:18" ht="19.5" hidden="1" thickBot="1" x14ac:dyDescent="0.3">
      <c r="A1194" s="984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  <c r="R1194" s="2"/>
    </row>
    <row r="1195" spans="1:18" ht="19.5" hidden="1" thickBot="1" x14ac:dyDescent="0.3">
      <c r="A1195" s="984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  <c r="R1195" s="2"/>
    </row>
    <row r="1196" spans="1:18" ht="19.5" hidden="1" thickBot="1" x14ac:dyDescent="0.3">
      <c r="A1196" s="984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  <c r="R1196" s="2"/>
    </row>
    <row r="1197" spans="1:18" ht="19.5" hidden="1" thickBot="1" x14ac:dyDescent="0.3">
      <c r="A1197" s="984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  <c r="R1197" s="2"/>
    </row>
    <row r="1198" spans="1:18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  <c r="R1198" s="2"/>
    </row>
    <row r="1199" spans="1:18" ht="19.5" hidden="1" thickBot="1" x14ac:dyDescent="0.3">
      <c r="A1199" s="984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  <c r="R1199" s="2"/>
    </row>
    <row r="1200" spans="1:18" ht="19.5" hidden="1" thickBot="1" x14ac:dyDescent="0.3">
      <c r="A1200" s="984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  <c r="R1200" s="2"/>
    </row>
    <row r="1201" spans="1:18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  <c r="R1201" s="2"/>
    </row>
    <row r="1202" spans="1:18" ht="19.5" hidden="1" customHeight="1" thickBot="1" x14ac:dyDescent="0.3">
      <c r="A1202" s="984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987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  <c r="R1202" s="2"/>
    </row>
    <row r="1203" spans="1:18" ht="19.5" hidden="1" thickBot="1" x14ac:dyDescent="0.3">
      <c r="A1203" s="984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987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  <c r="R1203" s="2"/>
    </row>
    <row r="1204" spans="1:18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  <c r="R1204" s="2"/>
    </row>
    <row r="1205" spans="1:18" ht="38.25" hidden="1" thickBot="1" x14ac:dyDescent="0.3">
      <c r="A1205" s="984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  <c r="R1205" s="2"/>
    </row>
    <row r="1206" spans="1:18" ht="38.25" hidden="1" thickBot="1" x14ac:dyDescent="0.3">
      <c r="A1206" s="984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  <c r="R1206" s="2"/>
    </row>
    <row r="1207" spans="1:18" ht="19.5" hidden="1" thickBot="1" x14ac:dyDescent="0.3">
      <c r="A1207" s="985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  <c r="R1207" s="2"/>
    </row>
    <row r="1208" spans="1:18" ht="19.5" hidden="1" thickBot="1" x14ac:dyDescent="0.3">
      <c r="A1208" s="985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  <c r="R1208" s="2"/>
    </row>
    <row r="1209" spans="1:18" ht="19.5" hidden="1" thickBot="1" x14ac:dyDescent="0.3">
      <c r="A1209" s="984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  <c r="R1209" s="2"/>
    </row>
    <row r="1210" spans="1:18" ht="19.5" hidden="1" thickBot="1" x14ac:dyDescent="0.3">
      <c r="A1210" s="984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  <c r="R1210" s="2"/>
    </row>
    <row r="1211" spans="1:18" ht="38.25" hidden="1" thickBot="1" x14ac:dyDescent="0.3">
      <c r="A1211" s="985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  <c r="R1211" s="2"/>
    </row>
    <row r="1212" spans="1:18" ht="38.25" hidden="1" thickBot="1" x14ac:dyDescent="0.3">
      <c r="A1212" s="985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  <c r="R1212" s="2"/>
    </row>
    <row r="1213" spans="1:18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  <c r="R1213" s="2"/>
    </row>
    <row r="1214" spans="1:18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  <c r="R1214" s="2"/>
    </row>
    <row r="1215" spans="1:18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  <c r="R1215" s="2"/>
    </row>
    <row r="1216" spans="1:18" ht="19.5" hidden="1" thickBot="1" x14ac:dyDescent="0.3">
      <c r="A1216" s="985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  <c r="R1216" s="2"/>
    </row>
    <row r="1217" spans="1:18" ht="19.5" hidden="1" thickBot="1" x14ac:dyDescent="0.3">
      <c r="A1217" s="985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  <c r="R1217" s="2"/>
    </row>
    <row r="1218" spans="1:18" ht="19.5" hidden="1" thickBot="1" x14ac:dyDescent="0.3">
      <c r="A1218" s="984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  <c r="R1218" s="2"/>
    </row>
    <row r="1219" spans="1:18" ht="19.5" hidden="1" thickBot="1" x14ac:dyDescent="0.3">
      <c r="A1219" s="984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  <c r="R1219" s="2"/>
    </row>
    <row r="1220" spans="1:18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  <c r="R1220" s="2"/>
    </row>
    <row r="1221" spans="1:18" ht="19.5" hidden="1" thickBot="1" x14ac:dyDescent="0.3">
      <c r="A1221" s="984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  <c r="R1221" s="2"/>
    </row>
    <row r="1222" spans="1:18" ht="19.5" hidden="1" thickBot="1" x14ac:dyDescent="0.3">
      <c r="A1222" s="984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  <c r="R1222" s="2"/>
    </row>
    <row r="1223" spans="1:18" ht="19.5" hidden="1" thickBot="1" x14ac:dyDescent="0.3">
      <c r="A1223" s="985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  <c r="R1223" s="2"/>
    </row>
    <row r="1224" spans="1:18" ht="19.5" hidden="1" thickBot="1" x14ac:dyDescent="0.3">
      <c r="A1224" s="985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  <c r="R1224" s="2"/>
    </row>
    <row r="1225" spans="1:18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  <c r="R1225" s="2"/>
    </row>
    <row r="1226" spans="1:18" ht="19.5" hidden="1" thickBot="1" x14ac:dyDescent="0.3">
      <c r="A1226" s="985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  <c r="R1226" s="2"/>
    </row>
    <row r="1227" spans="1:18" ht="19.5" hidden="1" thickBot="1" x14ac:dyDescent="0.3">
      <c r="A1227" s="985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  <c r="R1227" s="2"/>
    </row>
    <row r="1228" spans="1:18" ht="19.5" hidden="1" thickBot="1" x14ac:dyDescent="0.3">
      <c r="A1228" s="985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  <c r="R1228" s="2"/>
    </row>
    <row r="1229" spans="1:18" ht="19.5" hidden="1" thickBot="1" x14ac:dyDescent="0.3">
      <c r="A1229" s="985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  <c r="R1229" s="2"/>
    </row>
    <row r="1230" spans="1:18" ht="19.5" hidden="1" thickBot="1" x14ac:dyDescent="0.3">
      <c r="A1230" s="985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  <c r="R1230" s="2"/>
    </row>
    <row r="1231" spans="1:18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  <c r="R1231" s="2"/>
    </row>
    <row r="1232" spans="1:18" ht="19.5" hidden="1" thickBot="1" x14ac:dyDescent="0.3">
      <c r="A1232" s="985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  <c r="R1232" s="2"/>
    </row>
    <row r="1233" spans="1:18" ht="19.5" hidden="1" thickBot="1" x14ac:dyDescent="0.3">
      <c r="A1233" s="985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  <c r="R1233" s="2"/>
    </row>
    <row r="1234" spans="1:18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  <c r="R1234" s="2"/>
    </row>
    <row r="1235" spans="1:18" ht="19.5" hidden="1" thickBot="1" x14ac:dyDescent="0.3">
      <c r="A1235" s="985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  <c r="R1235" s="2"/>
    </row>
    <row r="1236" spans="1:18" ht="19.5" hidden="1" thickBot="1" x14ac:dyDescent="0.3">
      <c r="A1236" s="985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  <c r="R1236" s="2"/>
    </row>
    <row r="1237" spans="1:18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  <c r="R1237" s="2"/>
    </row>
    <row r="1238" spans="1:18" ht="19.5" hidden="1" thickBot="1" x14ac:dyDescent="0.3">
      <c r="A1238" s="985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  <c r="R1238" s="2"/>
    </row>
    <row r="1239" spans="1:18" ht="19.5" hidden="1" thickBot="1" x14ac:dyDescent="0.3">
      <c r="A1239" s="985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  <c r="R1239" s="2"/>
    </row>
    <row r="1240" spans="1:18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  <c r="R1240" s="2"/>
    </row>
    <row r="1241" spans="1:18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  <c r="R1241" s="2"/>
    </row>
    <row r="1242" spans="1:18" ht="19.5" hidden="1" thickBot="1" x14ac:dyDescent="0.3">
      <c r="A1242" s="984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  <c r="R1242" s="2"/>
    </row>
    <row r="1243" spans="1:18" ht="19.5" hidden="1" thickBot="1" x14ac:dyDescent="0.3">
      <c r="A1243" s="984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  <c r="R1243" s="2"/>
    </row>
    <row r="1244" spans="1:18" ht="19.5" hidden="1" thickBot="1" x14ac:dyDescent="0.3">
      <c r="A1244" s="985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  <c r="R1244" s="2"/>
    </row>
    <row r="1245" spans="1:18" ht="19.5" hidden="1" thickBot="1" x14ac:dyDescent="0.3">
      <c r="A1245" s="985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  <c r="R1245" s="2"/>
    </row>
    <row r="1246" spans="1:18" ht="19.5" hidden="1" thickBot="1" x14ac:dyDescent="0.3">
      <c r="A1246" s="984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  <c r="R1246" s="2"/>
    </row>
    <row r="1247" spans="1:18" ht="19.5" hidden="1" thickBot="1" x14ac:dyDescent="0.3">
      <c r="A1247" s="984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  <c r="R1247" s="2"/>
    </row>
    <row r="1248" spans="1:18" ht="19.5" hidden="1" thickBot="1" x14ac:dyDescent="0.3">
      <c r="A1248" s="985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  <c r="R1248" s="2"/>
    </row>
    <row r="1249" spans="1:18" ht="19.5" hidden="1" thickBot="1" x14ac:dyDescent="0.3">
      <c r="A1249" s="985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  <c r="R1249" s="2"/>
    </row>
    <row r="1250" spans="1:18" ht="19.5" hidden="1" customHeight="1" thickBot="1" x14ac:dyDescent="0.3">
      <c r="A1250" s="984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987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  <c r="R1250" s="2"/>
    </row>
    <row r="1251" spans="1:18" ht="19.5" hidden="1" thickBot="1" x14ac:dyDescent="0.3">
      <c r="A1251" s="984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987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  <c r="R1251" s="2"/>
    </row>
    <row r="1252" spans="1:18" ht="19.5" hidden="1" thickBot="1" x14ac:dyDescent="0.3">
      <c r="A1252" s="985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  <c r="R1252" s="2"/>
    </row>
    <row r="1253" spans="1:18" ht="19.5" hidden="1" thickBot="1" x14ac:dyDescent="0.3">
      <c r="A1253" s="985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  <c r="R1253" s="2"/>
    </row>
    <row r="1254" spans="1:18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  <c r="R1254" s="2"/>
    </row>
    <row r="1255" spans="1:18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  <c r="R1255" s="2"/>
    </row>
    <row r="1256" spans="1:18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  <c r="R1256" s="2"/>
    </row>
    <row r="1257" spans="1:18" ht="38.25" hidden="1" thickBot="1" x14ac:dyDescent="0.3">
      <c r="A1257" s="985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  <c r="R1257" s="2"/>
    </row>
    <row r="1258" spans="1:18" ht="38.25" hidden="1" thickBot="1" x14ac:dyDescent="0.3">
      <c r="A1258" s="985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  <c r="R1258" s="2"/>
    </row>
    <row r="1259" spans="1:18" ht="19.5" hidden="1" thickBot="1" x14ac:dyDescent="0.3">
      <c r="A1259" s="984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  <c r="R1259" s="2"/>
    </row>
    <row r="1260" spans="1:18" ht="19.5" hidden="1" thickBot="1" x14ac:dyDescent="0.3">
      <c r="A1260" s="984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  <c r="R1260" s="2"/>
    </row>
    <row r="1261" spans="1:18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  <c r="R1261" s="2"/>
    </row>
    <row r="1262" spans="1:18" ht="19.5" hidden="1" thickBot="1" x14ac:dyDescent="0.3">
      <c r="A1262" s="984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  <c r="R1262" s="2"/>
    </row>
    <row r="1263" spans="1:18" ht="19.5" hidden="1" thickBot="1" x14ac:dyDescent="0.3">
      <c r="A1263" s="984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  <c r="R1263" s="2"/>
    </row>
    <row r="1264" spans="1:18" ht="19.5" hidden="1" thickBot="1" x14ac:dyDescent="0.3">
      <c r="A1264" s="985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  <c r="R1264" s="2"/>
    </row>
    <row r="1265" spans="1:18" ht="19.5" hidden="1" thickBot="1" x14ac:dyDescent="0.3">
      <c r="A1265" s="985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  <c r="R1265" s="2"/>
    </row>
    <row r="1266" spans="1:18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  <c r="R1266" s="2"/>
    </row>
    <row r="1267" spans="1:18" ht="57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  <c r="R1267" s="2"/>
    </row>
    <row r="1268" spans="1:18" ht="19.5" hidden="1" thickBot="1" x14ac:dyDescent="0.3">
      <c r="A1268" s="985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  <c r="R1268" s="2"/>
    </row>
    <row r="1269" spans="1:18" ht="19.5" hidden="1" thickBot="1" x14ac:dyDescent="0.3">
      <c r="A1269" s="985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  <c r="R1269" s="2"/>
    </row>
    <row r="1270" spans="1:18" ht="19.5" hidden="1" thickBot="1" x14ac:dyDescent="0.3">
      <c r="A1270" s="984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  <c r="R1270" s="2"/>
    </row>
    <row r="1271" spans="1:18" ht="19.5" hidden="1" thickBot="1" x14ac:dyDescent="0.3">
      <c r="A1271" s="984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  <c r="R1271" s="2"/>
    </row>
    <row r="1272" spans="1:18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  <c r="R1272" s="2"/>
    </row>
    <row r="1273" spans="1:18" ht="19.5" hidden="1" thickBot="1" x14ac:dyDescent="0.3">
      <c r="A1273" s="984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  <c r="R1273" s="2"/>
    </row>
    <row r="1274" spans="1:18" ht="19.5" hidden="1" thickBot="1" x14ac:dyDescent="0.3">
      <c r="A1274" s="984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  <c r="R1274" s="2"/>
    </row>
    <row r="1275" spans="1:18" ht="19.5" hidden="1" thickBot="1" x14ac:dyDescent="0.3">
      <c r="A1275" s="984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  <c r="R1275" s="2"/>
    </row>
    <row r="1276" spans="1:18" ht="19.5" hidden="1" thickBot="1" x14ac:dyDescent="0.3">
      <c r="A1276" s="984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  <c r="R1276" s="2"/>
    </row>
    <row r="1277" spans="1:18" ht="19.5" hidden="1" thickBot="1" x14ac:dyDescent="0.3">
      <c r="A1277" s="984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  <c r="R1277" s="2"/>
    </row>
    <row r="1278" spans="1:18" ht="19.5" hidden="1" thickBot="1" x14ac:dyDescent="0.3">
      <c r="A1278" s="984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  <c r="R1278" s="2"/>
    </row>
    <row r="1279" spans="1:18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  <c r="R1279" s="2"/>
    </row>
    <row r="1280" spans="1:18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  <c r="R1280" s="2"/>
    </row>
    <row r="1281" spans="1:18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  <c r="R1281" s="2"/>
    </row>
    <row r="1282" spans="1:18" ht="19.5" hidden="1" thickBot="1" x14ac:dyDescent="0.3">
      <c r="A1282" s="984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  <c r="R1282" s="2"/>
    </row>
    <row r="1283" spans="1:18" ht="19.5" hidden="1" thickBot="1" x14ac:dyDescent="0.3">
      <c r="A1283" s="984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  <c r="R1283" s="2"/>
    </row>
    <row r="1284" spans="1:18" ht="19.5" hidden="1" thickBot="1" x14ac:dyDescent="0.3">
      <c r="A1284" s="985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  <c r="R1284" s="2"/>
    </row>
    <row r="1285" spans="1:18" ht="19.5" hidden="1" thickBot="1" x14ac:dyDescent="0.3">
      <c r="A1285" s="985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  <c r="R1285" s="2"/>
    </row>
    <row r="1286" spans="1:18" ht="19.5" hidden="1" thickBot="1" x14ac:dyDescent="0.3">
      <c r="A1286" s="984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  <c r="R1286" s="2"/>
    </row>
    <row r="1287" spans="1:18" ht="19.5" hidden="1" thickBot="1" x14ac:dyDescent="0.3">
      <c r="A1287" s="984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  <c r="R1287" s="2"/>
    </row>
    <row r="1288" spans="1:18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  <c r="R1288" s="2"/>
    </row>
    <row r="1289" spans="1:18" ht="19.5" hidden="1" thickBot="1" x14ac:dyDescent="0.3">
      <c r="A1289" s="984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  <c r="R1289" s="2"/>
    </row>
    <row r="1290" spans="1:18" ht="19.5" hidden="1" thickBot="1" x14ac:dyDescent="0.3">
      <c r="A1290" s="984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  <c r="R1290" s="2"/>
    </row>
    <row r="1291" spans="1:18" ht="18.75" hidden="1" customHeight="1" thickBot="1" x14ac:dyDescent="0.3">
      <c r="A1291" s="985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990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  <c r="R1291" s="2"/>
    </row>
    <row r="1292" spans="1:18" ht="19.5" hidden="1" thickBot="1" x14ac:dyDescent="0.3">
      <c r="A1292" s="985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990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  <c r="R1292" s="2"/>
    </row>
    <row r="1293" spans="1:18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  <c r="R1293" s="2"/>
    </row>
    <row r="1294" spans="1:18" ht="19.5" hidden="1" thickBot="1" x14ac:dyDescent="0.3">
      <c r="A1294" s="985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  <c r="R1294" s="2"/>
    </row>
    <row r="1295" spans="1:18" ht="19.5" hidden="1" thickBot="1" x14ac:dyDescent="0.3">
      <c r="A1295" s="985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  <c r="R1295" s="2"/>
    </row>
    <row r="1296" spans="1:18" ht="19.5" hidden="1" thickBot="1" x14ac:dyDescent="0.3">
      <c r="A1296" s="984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  <c r="R1296" s="2"/>
    </row>
    <row r="1297" spans="1:18" ht="19.5" hidden="1" thickBot="1" x14ac:dyDescent="0.3">
      <c r="A1297" s="984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  <c r="R1297" s="2"/>
    </row>
    <row r="1298" spans="1:18" ht="19.5" hidden="1" thickBot="1" x14ac:dyDescent="0.3">
      <c r="A1298" s="984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  <c r="R1298" s="2"/>
    </row>
    <row r="1299" spans="1:18" ht="19.5" hidden="1" thickBot="1" x14ac:dyDescent="0.3">
      <c r="A1299" s="985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  <c r="R1299" s="2"/>
    </row>
    <row r="1300" spans="1:18" ht="19.5" hidden="1" thickBot="1" x14ac:dyDescent="0.3">
      <c r="A1300" s="985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  <c r="R1300" s="2"/>
    </row>
    <row r="1301" spans="1:18" ht="38.25" hidden="1" thickBot="1" x14ac:dyDescent="0.3">
      <c r="A1301" s="984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  <c r="R1301" s="2"/>
    </row>
    <row r="1302" spans="1:18" ht="38.25" hidden="1" thickBot="1" x14ac:dyDescent="0.3">
      <c r="A1302" s="984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  <c r="R1302" s="2"/>
    </row>
    <row r="1303" spans="1:18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  <c r="R1303" s="2"/>
    </row>
    <row r="1304" spans="1:18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  <c r="R1304" s="2"/>
    </row>
    <row r="1305" spans="1:18" ht="38.25" hidden="1" thickBot="1" x14ac:dyDescent="0.3">
      <c r="A1305" s="985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  <c r="R1305" s="2"/>
    </row>
    <row r="1306" spans="1:18" ht="38.25" hidden="1" thickBot="1" x14ac:dyDescent="0.3">
      <c r="A1306" s="985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  <c r="R1306" s="2"/>
    </row>
    <row r="1307" spans="1:18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  <c r="R1307" s="2"/>
    </row>
    <row r="1308" spans="1:18" ht="19.5" hidden="1" thickBot="1" x14ac:dyDescent="0.3">
      <c r="A1308" s="985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  <c r="R1308" s="2"/>
    </row>
    <row r="1309" spans="1:18" ht="19.5" hidden="1" thickBot="1" x14ac:dyDescent="0.3">
      <c r="A1309" s="985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  <c r="R1309" s="2"/>
    </row>
    <row r="1310" spans="1:18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  <c r="R1310" s="2"/>
    </row>
    <row r="1311" spans="1:18" ht="19.5" hidden="1" thickBot="1" x14ac:dyDescent="0.3">
      <c r="A1311" s="985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  <c r="R1311" s="2"/>
    </row>
    <row r="1312" spans="1:18" ht="19.5" hidden="1" thickBot="1" x14ac:dyDescent="0.3">
      <c r="A1312" s="985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  <c r="R1312" s="2"/>
    </row>
    <row r="1313" spans="1:18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  <c r="R1313" s="2"/>
    </row>
    <row r="1314" spans="1:18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  <c r="R1314" s="2"/>
    </row>
    <row r="1315" spans="1:18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  <c r="R1315" s="2"/>
    </row>
    <row r="1316" spans="1:18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  <c r="R1316" s="2"/>
    </row>
    <row r="1317" spans="1:18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  <c r="R1317" s="2"/>
    </row>
    <row r="1318" spans="1:18" ht="19.5" hidden="1" thickBot="1" x14ac:dyDescent="0.3">
      <c r="A1318" s="985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  <c r="R1318" s="2"/>
    </row>
    <row r="1319" spans="1:18" ht="19.5" hidden="1" thickBot="1" x14ac:dyDescent="0.3">
      <c r="A1319" s="985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  <c r="R1319" s="2"/>
    </row>
    <row r="1320" spans="1:18" ht="19.5" hidden="1" thickBot="1" x14ac:dyDescent="0.3">
      <c r="A1320" s="985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  <c r="R1320" s="2"/>
    </row>
    <row r="1321" spans="1:18" ht="19.5" hidden="1" thickBot="1" x14ac:dyDescent="0.3">
      <c r="A1321" s="985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  <c r="R1321" s="2"/>
    </row>
    <row r="1322" spans="1:18" ht="19.5" hidden="1" thickBot="1" x14ac:dyDescent="0.3">
      <c r="A1322" s="985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  <c r="R1322" s="2"/>
    </row>
    <row r="1323" spans="1:18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  <c r="R1323" s="2"/>
    </row>
    <row r="1324" spans="1:18" ht="19.5" hidden="1" thickBot="1" x14ac:dyDescent="0.3">
      <c r="A1324" s="985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  <c r="R1324" s="2"/>
    </row>
    <row r="1325" spans="1:18" ht="19.5" hidden="1" thickBot="1" x14ac:dyDescent="0.3">
      <c r="A1325" s="985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  <c r="R1325" s="2"/>
    </row>
    <row r="1326" spans="1:18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  <c r="R1326" s="2"/>
    </row>
    <row r="1327" spans="1:18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  <c r="R1327" s="2"/>
    </row>
    <row r="1328" spans="1:18" ht="19.5" hidden="1" thickBot="1" x14ac:dyDescent="0.3">
      <c r="A1328" s="984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  <c r="R1328" s="2"/>
    </row>
    <row r="1329" spans="1:18" ht="19.5" hidden="1" thickBot="1" x14ac:dyDescent="0.3">
      <c r="A1329" s="984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  <c r="R1329" s="2"/>
    </row>
    <row r="1330" spans="1:18" ht="19.5" hidden="1" thickBot="1" x14ac:dyDescent="0.3">
      <c r="A1330" s="985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  <c r="R1330" s="2"/>
    </row>
    <row r="1331" spans="1:18" ht="19.5" hidden="1" thickBot="1" x14ac:dyDescent="0.3">
      <c r="A1331" s="985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  <c r="R1331" s="2"/>
    </row>
    <row r="1332" spans="1:18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  <c r="R1332" s="2"/>
    </row>
    <row r="1333" spans="1:18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  <c r="R1333" s="2"/>
    </row>
    <row r="1334" spans="1:18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  <c r="R1334" s="2"/>
    </row>
    <row r="1335" spans="1:18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  <c r="R1335" s="2"/>
    </row>
    <row r="1336" spans="1:18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  <c r="R1336" s="2"/>
    </row>
    <row r="1337" spans="1:18" ht="18.75" hidden="1" customHeight="1" thickBot="1" x14ac:dyDescent="0.3">
      <c r="A1337" s="985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1017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  <c r="R1337" s="2"/>
    </row>
    <row r="1338" spans="1:18" ht="19.5" hidden="1" thickBot="1" x14ac:dyDescent="0.3">
      <c r="A1338" s="985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1017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  <c r="R1338" s="2"/>
    </row>
    <row r="1339" spans="1:18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  <c r="R1339" s="2"/>
    </row>
    <row r="1340" spans="1:18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  <c r="R1340" s="2"/>
    </row>
    <row r="1341" spans="1:18" ht="19.5" hidden="1" thickBot="1" x14ac:dyDescent="0.3">
      <c r="A1341" s="984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  <c r="R1341" s="2"/>
    </row>
    <row r="1342" spans="1:18" ht="19.5" hidden="1" thickBot="1" x14ac:dyDescent="0.3">
      <c r="A1342" s="984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  <c r="R1342" s="2"/>
    </row>
    <row r="1343" spans="1:18" ht="19.5" hidden="1" thickBot="1" x14ac:dyDescent="0.3">
      <c r="A1343" s="984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  <c r="R1343" s="2"/>
    </row>
    <row r="1344" spans="1:18" ht="19.5" hidden="1" thickBot="1" x14ac:dyDescent="0.3">
      <c r="A1344" s="985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  <c r="R1344" s="2"/>
    </row>
    <row r="1345" spans="1:18" ht="19.5" hidden="1" thickBot="1" x14ac:dyDescent="0.3">
      <c r="A1345" s="985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  <c r="R1345" s="2"/>
    </row>
    <row r="1346" spans="1:18" ht="19.5" hidden="1" thickBot="1" x14ac:dyDescent="0.3">
      <c r="A1346" s="985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  <c r="R1346" s="2"/>
    </row>
    <row r="1347" spans="1:18" ht="19.5" hidden="1" thickBot="1" x14ac:dyDescent="0.3">
      <c r="A1347" s="984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  <c r="R1347" s="2"/>
    </row>
    <row r="1348" spans="1:18" ht="19.5" hidden="1" thickBot="1" x14ac:dyDescent="0.3">
      <c r="A1348" s="984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  <c r="R1348" s="2"/>
    </row>
    <row r="1349" spans="1:18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  <c r="R1349" s="2"/>
    </row>
    <row r="1350" spans="1:18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  <c r="R1350" s="2"/>
    </row>
    <row r="1351" spans="1:18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  <c r="R1351" s="2"/>
    </row>
    <row r="1352" spans="1:18" ht="19.5" hidden="1" thickBot="1" x14ac:dyDescent="0.3">
      <c r="A1352" s="984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  <c r="R1352" s="2"/>
    </row>
    <row r="1353" spans="1:18" ht="19.5" hidden="1" thickBot="1" x14ac:dyDescent="0.3">
      <c r="A1353" s="984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  <c r="R1353" s="2"/>
    </row>
    <row r="1354" spans="1:18" ht="19.5" hidden="1" thickBot="1" x14ac:dyDescent="0.3">
      <c r="A1354" s="985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  <c r="R1354" s="2"/>
    </row>
    <row r="1355" spans="1:18" ht="19.5" hidden="1" thickBot="1" x14ac:dyDescent="0.3">
      <c r="A1355" s="985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  <c r="R1355" s="2"/>
    </row>
    <row r="1356" spans="1:18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  <c r="R1356" s="2"/>
    </row>
    <row r="1357" spans="1:18" ht="19.5" hidden="1" thickBot="1" x14ac:dyDescent="0.3">
      <c r="A1357" s="985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  <c r="R1357" s="2"/>
    </row>
    <row r="1358" spans="1:18" ht="19.5" hidden="1" thickBot="1" x14ac:dyDescent="0.3">
      <c r="A1358" s="985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  <c r="R1358" s="2"/>
    </row>
    <row r="1359" spans="1:18" ht="19.5" hidden="1" thickBot="1" x14ac:dyDescent="0.3">
      <c r="A1359" s="984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  <c r="R1359" s="2"/>
    </row>
    <row r="1360" spans="1:18" ht="19.5" hidden="1" thickBot="1" x14ac:dyDescent="0.3">
      <c r="A1360" s="984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  <c r="R1360" s="2"/>
    </row>
    <row r="1361" spans="1:18" ht="19.5" hidden="1" thickBot="1" x14ac:dyDescent="0.3">
      <c r="A1361" s="985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  <c r="R1361" s="2"/>
    </row>
    <row r="1362" spans="1:18" ht="19.5" hidden="1" thickBot="1" x14ac:dyDescent="0.3">
      <c r="A1362" s="985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  <c r="R1362" s="2"/>
    </row>
    <row r="1363" spans="1:18" ht="19.5" hidden="1" thickBot="1" x14ac:dyDescent="0.3">
      <c r="A1363" s="984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  <c r="R1363" s="2"/>
    </row>
    <row r="1364" spans="1:18" ht="19.5" hidden="1" thickBot="1" x14ac:dyDescent="0.3">
      <c r="A1364" s="984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  <c r="R1364" s="2"/>
    </row>
    <row r="1365" spans="1:18" ht="19.5" hidden="1" thickBot="1" x14ac:dyDescent="0.3">
      <c r="A1365" s="984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  <c r="R1365" s="2"/>
    </row>
    <row r="1366" spans="1:18" ht="19.5" hidden="1" thickBot="1" x14ac:dyDescent="0.3">
      <c r="A1366" s="984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  <c r="R1366" s="2"/>
    </row>
    <row r="1367" spans="1:18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  <c r="R1367" s="2"/>
    </row>
    <row r="1368" spans="1:18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  <c r="R1368" s="2"/>
    </row>
    <row r="1369" spans="1:18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  <c r="R1369" s="2"/>
    </row>
    <row r="1370" spans="1:18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  <c r="R1370" s="2"/>
    </row>
    <row r="1371" spans="1:18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  <c r="R1371" s="2"/>
    </row>
    <row r="1372" spans="1:18" ht="19.5" hidden="1" thickBot="1" x14ac:dyDescent="0.3">
      <c r="A1372" s="984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  <c r="R1372" s="2"/>
    </row>
    <row r="1373" spans="1:18" ht="19.5" hidden="1" thickBot="1" x14ac:dyDescent="0.3">
      <c r="A1373" s="984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  <c r="R1373" s="2"/>
    </row>
    <row r="1374" spans="1:18" ht="19.5" hidden="1" thickBot="1" x14ac:dyDescent="0.3">
      <c r="A1374" s="985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  <c r="R1374" s="2"/>
    </row>
    <row r="1375" spans="1:18" ht="19.5" hidden="1" thickBot="1" x14ac:dyDescent="0.3">
      <c r="A1375" s="985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  <c r="R1375" s="2"/>
    </row>
    <row r="1376" spans="1:18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  <c r="R1376" s="2"/>
    </row>
    <row r="1377" spans="1:18" ht="18.75" hidden="1" customHeight="1" thickBot="1" x14ac:dyDescent="0.3">
      <c r="A1377" s="985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990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  <c r="R1377" s="2"/>
    </row>
    <row r="1378" spans="1:18" ht="19.5" hidden="1" thickBot="1" x14ac:dyDescent="0.3">
      <c r="A1378" s="985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990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  <c r="R1378" s="2"/>
    </row>
    <row r="1379" spans="1:18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  <c r="R1379" s="2"/>
    </row>
    <row r="1380" spans="1:18" ht="19.5" hidden="1" thickBot="1" x14ac:dyDescent="0.3">
      <c r="A1380" s="985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  <c r="R1380" s="2"/>
    </row>
    <row r="1381" spans="1:18" ht="19.5" hidden="1" thickBot="1" x14ac:dyDescent="0.3">
      <c r="A1381" s="985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  <c r="R1381" s="2"/>
    </row>
    <row r="1382" spans="1:18" ht="19.5" hidden="1" thickBot="1" x14ac:dyDescent="0.3">
      <c r="A1382" s="984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  <c r="R1382" s="2"/>
    </row>
    <row r="1383" spans="1:18" ht="19.5" hidden="1" thickBot="1" x14ac:dyDescent="0.3">
      <c r="A1383" s="984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  <c r="R1383" s="2"/>
    </row>
    <row r="1384" spans="1:18" ht="19.5" hidden="1" thickBot="1" x14ac:dyDescent="0.3">
      <c r="A1384" s="985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  <c r="R1384" s="2"/>
    </row>
    <row r="1385" spans="1:18" ht="19.5" hidden="1" thickBot="1" x14ac:dyDescent="0.3">
      <c r="A1385" s="985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  <c r="R1385" s="2"/>
    </row>
    <row r="1386" spans="1:18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  <c r="R1386" s="2"/>
    </row>
    <row r="1387" spans="1:18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  <c r="R1387" s="2"/>
    </row>
    <row r="1388" spans="1:18" ht="19.5" hidden="1" thickBot="1" x14ac:dyDescent="0.3">
      <c r="A1388" s="984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  <c r="R1388" s="2"/>
    </row>
    <row r="1389" spans="1:18" ht="19.5" hidden="1" thickBot="1" x14ac:dyDescent="0.3">
      <c r="A1389" s="984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  <c r="R1389" s="2"/>
    </row>
    <row r="1390" spans="1:18" ht="19.5" hidden="1" thickBot="1" x14ac:dyDescent="0.3">
      <c r="A1390" s="985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  <c r="R1390" s="2"/>
    </row>
    <row r="1391" spans="1:18" ht="19.5" hidden="1" thickBot="1" x14ac:dyDescent="0.3">
      <c r="A1391" s="985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  <c r="R1391" s="2"/>
    </row>
    <row r="1392" spans="1:18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  <c r="R1392" s="2"/>
    </row>
    <row r="1393" spans="1:18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  <c r="R1393" s="2"/>
    </row>
    <row r="1394" spans="1:18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  <c r="R1394" s="2"/>
    </row>
    <row r="1395" spans="1:18" ht="19.5" hidden="1" thickBot="1" x14ac:dyDescent="0.3">
      <c r="A1395" s="985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  <c r="R1395" s="2"/>
    </row>
    <row r="1396" spans="1:18" ht="19.5" hidden="1" thickBot="1" x14ac:dyDescent="0.3">
      <c r="A1396" s="985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  <c r="R1396" s="2"/>
    </row>
    <row r="1397" spans="1:18" ht="19.5" hidden="1" thickBot="1" x14ac:dyDescent="0.3">
      <c r="A1397" s="984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  <c r="R1397" s="2"/>
    </row>
    <row r="1398" spans="1:18" ht="19.5" hidden="1" thickBot="1" x14ac:dyDescent="0.3">
      <c r="A1398" s="984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  <c r="R1398" s="2"/>
    </row>
    <row r="1399" spans="1:18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  <c r="R1399" s="2"/>
    </row>
    <row r="1400" spans="1:18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  <c r="R1400" s="2"/>
    </row>
    <row r="1401" spans="1:18" ht="17.25" hidden="1" customHeight="1" thickBot="1" x14ac:dyDescent="0.3">
      <c r="A1401" s="985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990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  <c r="R1401" s="2"/>
    </row>
    <row r="1402" spans="1:18" ht="19.5" hidden="1" thickBot="1" x14ac:dyDescent="0.3">
      <c r="A1402" s="985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990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  <c r="R1402" s="2"/>
    </row>
    <row r="1403" spans="1:18" ht="19.5" hidden="1" thickBot="1" x14ac:dyDescent="0.3">
      <c r="A1403" s="985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990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  <c r="R1403" s="2"/>
    </row>
    <row r="1404" spans="1:18" ht="19.5" hidden="1" thickBot="1" x14ac:dyDescent="0.3">
      <c r="A1404" s="985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990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  <c r="R1404" s="2"/>
    </row>
    <row r="1405" spans="1:18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  <c r="R1405" s="2"/>
    </row>
    <row r="1406" spans="1:18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  <c r="R1406" s="2"/>
    </row>
    <row r="1407" spans="1:18" ht="19.5" hidden="1" thickBot="1" x14ac:dyDescent="0.3">
      <c r="A1407" s="984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  <c r="R1407" s="2"/>
    </row>
    <row r="1408" spans="1:18" ht="19.5" hidden="1" thickBot="1" x14ac:dyDescent="0.3">
      <c r="A1408" s="984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  <c r="R1408" s="2"/>
    </row>
    <row r="1409" spans="1:18" ht="19.5" hidden="1" thickBot="1" x14ac:dyDescent="0.3">
      <c r="A1409" s="985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  <c r="R1409" s="2"/>
    </row>
    <row r="1410" spans="1:18" ht="19.5" hidden="1" thickBot="1" x14ac:dyDescent="0.3">
      <c r="A1410" s="985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  <c r="R1410" s="2"/>
    </row>
    <row r="1411" spans="1:18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  <c r="R1411" s="2"/>
    </row>
    <row r="1412" spans="1:18" ht="19.5" hidden="1" thickBot="1" x14ac:dyDescent="0.3">
      <c r="A1412" s="985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  <c r="R1412" s="2"/>
    </row>
    <row r="1413" spans="1:18" ht="19.5" hidden="1" thickBot="1" x14ac:dyDescent="0.3">
      <c r="A1413" s="985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  <c r="R1413" s="2"/>
    </row>
    <row r="1414" spans="1:18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  <c r="R1414" s="2"/>
    </row>
    <row r="1415" spans="1:18" ht="19.5" hidden="1" thickBot="1" x14ac:dyDescent="0.3">
      <c r="A1415" s="985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  <c r="R1415" s="2"/>
    </row>
    <row r="1416" spans="1:18" ht="19.5" hidden="1" thickBot="1" x14ac:dyDescent="0.3">
      <c r="A1416" s="985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  <c r="R1416" s="2"/>
    </row>
    <row r="1417" spans="1:18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  <c r="R1417" s="2"/>
    </row>
    <row r="1418" spans="1:18" ht="19.5" hidden="1" customHeight="1" thickBot="1" x14ac:dyDescent="0.3">
      <c r="A1418" s="985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990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  <c r="R1418" s="2"/>
    </row>
    <row r="1419" spans="1:18" ht="19.5" hidden="1" thickBot="1" x14ac:dyDescent="0.3">
      <c r="A1419" s="985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990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  <c r="R1419" s="2"/>
    </row>
    <row r="1420" spans="1:18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  <c r="R1420" s="2"/>
    </row>
    <row r="1421" spans="1:18" ht="19.5" hidden="1" thickBot="1" x14ac:dyDescent="0.3">
      <c r="A1421" s="985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  <c r="R1421" s="2"/>
    </row>
    <row r="1422" spans="1:18" ht="19.5" hidden="1" thickBot="1" x14ac:dyDescent="0.3">
      <c r="A1422" s="985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  <c r="R1422" s="2"/>
    </row>
    <row r="1423" spans="1:18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  <c r="R1423" s="2"/>
    </row>
    <row r="1424" spans="1:18" ht="19.5" hidden="1" thickBot="1" x14ac:dyDescent="0.3">
      <c r="A1424" s="985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  <c r="R1424" s="2"/>
    </row>
    <row r="1425" spans="1:18" ht="19.5" hidden="1" thickBot="1" x14ac:dyDescent="0.3">
      <c r="A1425" s="985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  <c r="R1425" s="2"/>
    </row>
    <row r="1426" spans="1:18" ht="19.5" hidden="1" thickBot="1" x14ac:dyDescent="0.3">
      <c r="A1426" s="984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  <c r="R1426" s="2"/>
    </row>
    <row r="1427" spans="1:18" ht="19.5" hidden="1" thickBot="1" x14ac:dyDescent="0.3">
      <c r="A1427" s="984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  <c r="R1427" s="2"/>
    </row>
    <row r="1428" spans="1:18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  <c r="R1428" s="2"/>
    </row>
    <row r="1429" spans="1:18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  <c r="R1429" s="2"/>
    </row>
    <row r="1430" spans="1:18" ht="19.5" hidden="1" thickBot="1" x14ac:dyDescent="0.3">
      <c r="A1430" s="985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  <c r="R1430" s="2"/>
    </row>
    <row r="1431" spans="1:18" ht="19.5" hidden="1" thickBot="1" x14ac:dyDescent="0.3">
      <c r="A1431" s="985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  <c r="R1431" s="2"/>
    </row>
    <row r="1432" spans="1:18" ht="19.5" hidden="1" thickBot="1" x14ac:dyDescent="0.3">
      <c r="A1432" s="985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  <c r="R1432" s="2"/>
    </row>
    <row r="1433" spans="1:18" ht="75.75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  <c r="R1433" s="2"/>
    </row>
    <row r="1434" spans="1:18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  <c r="R1434" s="2"/>
    </row>
    <row r="1435" spans="1:18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  <c r="R1435" s="2"/>
    </row>
    <row r="1436" spans="1:18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  <c r="R1436" s="2"/>
    </row>
    <row r="1437" spans="1:18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  <c r="R1437" s="2"/>
    </row>
    <row r="1438" spans="1:18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  <c r="R1438" s="2"/>
    </row>
    <row r="1439" spans="1:18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  <c r="R1439" s="2"/>
    </row>
    <row r="1440" spans="1:18" ht="19.5" hidden="1" thickBot="1" x14ac:dyDescent="0.3">
      <c r="A1440" s="985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  <c r="R1440" s="2"/>
    </row>
    <row r="1441" spans="1:18" ht="19.5" hidden="1" thickBot="1" x14ac:dyDescent="0.3">
      <c r="A1441" s="985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  <c r="R1441" s="2"/>
    </row>
    <row r="1442" spans="1:18" ht="19.5" hidden="1" thickBot="1" x14ac:dyDescent="0.3">
      <c r="A1442" s="984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  <c r="R1442" s="2"/>
    </row>
    <row r="1443" spans="1:18" ht="19.5" hidden="1" thickBot="1" x14ac:dyDescent="0.3">
      <c r="A1443" s="984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  <c r="R1443" s="2"/>
    </row>
    <row r="1444" spans="1:18" ht="19.5" hidden="1" thickBot="1" x14ac:dyDescent="0.3">
      <c r="A1444" s="984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  <c r="R1444" s="2"/>
    </row>
    <row r="1445" spans="1:18" ht="19.5" hidden="1" thickBot="1" x14ac:dyDescent="0.3">
      <c r="A1445" s="984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  <c r="R1445" s="2"/>
    </row>
    <row r="1446" spans="1:18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  <c r="R1446" s="2"/>
    </row>
    <row r="1447" spans="1:18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  <c r="R1447" s="2"/>
    </row>
    <row r="1448" spans="1:18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  <c r="R1448" s="2"/>
    </row>
    <row r="1449" spans="1:18" ht="19.5" hidden="1" thickBot="1" x14ac:dyDescent="0.3">
      <c r="A1449" s="984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  <c r="R1449" s="2"/>
    </row>
    <row r="1450" spans="1:18" ht="19.5" hidden="1" thickBot="1" x14ac:dyDescent="0.3">
      <c r="A1450" s="984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  <c r="R1450" s="2"/>
    </row>
    <row r="1451" spans="1:18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  <c r="R1451" s="2"/>
    </row>
    <row r="1452" spans="1:18" ht="19.5" hidden="1" thickBot="1" x14ac:dyDescent="0.3">
      <c r="A1452" s="984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  <c r="R1452" s="2"/>
    </row>
    <row r="1453" spans="1:18" ht="19.5" hidden="1" thickBot="1" x14ac:dyDescent="0.3">
      <c r="A1453" s="984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  <c r="R1453" s="2"/>
    </row>
    <row r="1454" spans="1:18" ht="19.5" hidden="1" thickBot="1" x14ac:dyDescent="0.3">
      <c r="A1454" s="985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  <c r="R1454" s="2"/>
    </row>
    <row r="1455" spans="1:18" ht="19.5" hidden="1" thickBot="1" x14ac:dyDescent="0.3">
      <c r="A1455" s="985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  <c r="R1455" s="2"/>
    </row>
    <row r="1456" spans="1:18" ht="19.5" hidden="1" thickBot="1" x14ac:dyDescent="0.3">
      <c r="A1456" s="984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  <c r="R1456" s="2"/>
    </row>
    <row r="1457" spans="1:18" ht="19.5" hidden="1" thickBot="1" x14ac:dyDescent="0.3">
      <c r="A1457" s="984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  <c r="R1457" s="2"/>
    </row>
    <row r="1458" spans="1:18" ht="19.5" hidden="1" thickBot="1" x14ac:dyDescent="0.3">
      <c r="A1458" s="984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  <c r="R1458" s="2"/>
    </row>
    <row r="1459" spans="1:18" ht="18.75" hidden="1" customHeight="1" thickBot="1" x14ac:dyDescent="0.3">
      <c r="A1459" s="985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990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  <c r="R1459" s="2"/>
    </row>
    <row r="1460" spans="1:18" ht="19.5" hidden="1" thickBot="1" x14ac:dyDescent="0.3">
      <c r="A1460" s="985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990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  <c r="R1460" s="2"/>
    </row>
    <row r="1461" spans="1:18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  <c r="R1461" s="2"/>
    </row>
    <row r="1462" spans="1:18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  <c r="R1462" s="2"/>
    </row>
    <row r="1463" spans="1:18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  <c r="R1463" s="2"/>
    </row>
    <row r="1464" spans="1:18" ht="19.5" hidden="1" thickBot="1" x14ac:dyDescent="0.3">
      <c r="A1464" s="985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  <c r="R1464" s="2"/>
    </row>
    <row r="1465" spans="1:18" ht="19.5" hidden="1" thickBot="1" x14ac:dyDescent="0.3">
      <c r="A1465" s="985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  <c r="R1465" s="2"/>
    </row>
    <row r="1466" spans="1:18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  <c r="R1466" s="2"/>
    </row>
    <row r="1467" spans="1:18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  <c r="R1467" s="2"/>
    </row>
    <row r="1468" spans="1:18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  <c r="R1468" s="2"/>
    </row>
    <row r="1469" spans="1:18" ht="19.5" hidden="1" thickBot="1" x14ac:dyDescent="0.3">
      <c r="A1469" s="985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  <c r="R1469" s="2"/>
    </row>
    <row r="1470" spans="1:18" ht="19.5" hidden="1" thickBot="1" x14ac:dyDescent="0.3">
      <c r="A1470" s="985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  <c r="R1470" s="2"/>
    </row>
    <row r="1471" spans="1:18" ht="19.5" hidden="1" thickBot="1" x14ac:dyDescent="0.3">
      <c r="A1471" s="984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  <c r="R1471" s="2"/>
    </row>
    <row r="1472" spans="1:18" ht="19.5" hidden="1" thickBot="1" x14ac:dyDescent="0.3">
      <c r="A1472" s="984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  <c r="R1472" s="2"/>
    </row>
    <row r="1473" spans="1:18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  <c r="R1473" s="2"/>
    </row>
    <row r="1474" spans="1:18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  <c r="R1474" s="2"/>
    </row>
    <row r="1475" spans="1:18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  <c r="R1475" s="2"/>
    </row>
    <row r="1476" spans="1:18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  <c r="R1476" s="2"/>
    </row>
    <row r="1477" spans="1:18" ht="19.5" hidden="1" thickBot="1" x14ac:dyDescent="0.3">
      <c r="A1477" s="985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  <c r="R1477" s="2"/>
    </row>
    <row r="1478" spans="1:18" ht="19.5" hidden="1" thickBot="1" x14ac:dyDescent="0.3">
      <c r="A1478" s="985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  <c r="R1478" s="2"/>
    </row>
    <row r="1479" spans="1:18" ht="19.5" hidden="1" thickBot="1" x14ac:dyDescent="0.3">
      <c r="A1479" s="985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  <c r="R1479" s="2"/>
    </row>
    <row r="1480" spans="1:18" ht="19.5" hidden="1" thickBot="1" x14ac:dyDescent="0.3">
      <c r="A1480" s="985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  <c r="R1480" s="2"/>
    </row>
    <row r="1481" spans="1:18" ht="19.5" hidden="1" thickBot="1" x14ac:dyDescent="0.3">
      <c r="A1481" s="985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  <c r="R1481" s="2"/>
    </row>
    <row r="1482" spans="1:18" ht="19.5" hidden="1" thickBot="1" x14ac:dyDescent="0.3">
      <c r="A1482" s="985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  <c r="R1482" s="2"/>
    </row>
    <row r="1483" spans="1:18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  <c r="R1483" s="2"/>
    </row>
    <row r="1484" spans="1:18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  <c r="R1484" s="2"/>
    </row>
    <row r="1485" spans="1:18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  <c r="R1485" s="2"/>
    </row>
    <row r="1486" spans="1:18" ht="19.5" hidden="1" thickBot="1" x14ac:dyDescent="0.3">
      <c r="A1486" s="985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  <c r="R1486" s="2"/>
    </row>
    <row r="1487" spans="1:18" ht="19.5" hidden="1" thickBot="1" x14ac:dyDescent="0.3">
      <c r="A1487" s="985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  <c r="R1487" s="2"/>
    </row>
    <row r="1488" spans="1:18" ht="19.5" hidden="1" thickBot="1" x14ac:dyDescent="0.3">
      <c r="A1488" s="985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  <c r="R1488" s="2"/>
    </row>
    <row r="1489" spans="1:18" ht="19.5" hidden="1" thickBot="1" x14ac:dyDescent="0.3">
      <c r="A1489" s="984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  <c r="R1489" s="2"/>
    </row>
    <row r="1490" spans="1:18" ht="19.5" hidden="1" thickBot="1" x14ac:dyDescent="0.3">
      <c r="A1490" s="984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  <c r="R1490" s="2"/>
    </row>
    <row r="1491" spans="1:18" ht="19.5" hidden="1" thickBot="1" x14ac:dyDescent="0.3">
      <c r="A1491" s="985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  <c r="R1491" s="2"/>
    </row>
    <row r="1492" spans="1:18" ht="19.5" hidden="1" thickBot="1" x14ac:dyDescent="0.3">
      <c r="A1492" s="985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  <c r="R1492" s="2"/>
    </row>
    <row r="1493" spans="1:18" ht="18.75" hidden="1" customHeight="1" thickBot="1" x14ac:dyDescent="0.3">
      <c r="A1493" s="984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987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  <c r="R1493" s="2"/>
    </row>
    <row r="1494" spans="1:18" ht="19.5" hidden="1" thickBot="1" x14ac:dyDescent="0.3">
      <c r="A1494" s="984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987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  <c r="R1494" s="2"/>
    </row>
    <row r="1495" spans="1:18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  <c r="R1495" s="2"/>
    </row>
    <row r="1496" spans="1:18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  <c r="R1496" s="2"/>
    </row>
    <row r="1497" spans="1:18" ht="19.5" hidden="1" thickBot="1" x14ac:dyDescent="0.3">
      <c r="A1497" s="985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  <c r="R1497" s="2"/>
    </row>
    <row r="1498" spans="1:18" ht="19.5" hidden="1" thickBot="1" x14ac:dyDescent="0.3">
      <c r="A1498" s="985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  <c r="R1498" s="2"/>
    </row>
    <row r="1499" spans="1:18" ht="19.5" hidden="1" thickBot="1" x14ac:dyDescent="0.3">
      <c r="A1499" s="984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  <c r="R1499" s="2"/>
    </row>
    <row r="1500" spans="1:18" ht="19.5" hidden="1" thickBot="1" x14ac:dyDescent="0.3">
      <c r="A1500" s="984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  <c r="R1500" s="2"/>
    </row>
    <row r="1501" spans="1:18" ht="19.5" hidden="1" thickBot="1" x14ac:dyDescent="0.3">
      <c r="A1501" s="984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  <c r="R1501" s="2"/>
    </row>
    <row r="1502" spans="1:18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  <c r="R1502" s="2"/>
    </row>
    <row r="1503" spans="1:18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  <c r="R1503" s="2"/>
    </row>
    <row r="1504" spans="1:18" ht="19.5" hidden="1" thickBot="1" x14ac:dyDescent="0.3">
      <c r="A1504" s="985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  <c r="R1504" s="2"/>
    </row>
    <row r="1505" spans="1:18" ht="19.5" hidden="1" thickBot="1" x14ac:dyDescent="0.3">
      <c r="A1505" s="985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  <c r="R1505" s="2"/>
    </row>
    <row r="1506" spans="1:18" ht="19.5" hidden="1" thickBot="1" x14ac:dyDescent="0.3">
      <c r="A1506" s="985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  <c r="R1506" s="2"/>
    </row>
    <row r="1507" spans="1:18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  <c r="R1507" s="2"/>
    </row>
    <row r="1508" spans="1:18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  <c r="R1508" s="2"/>
    </row>
    <row r="1509" spans="1:18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  <c r="R1509" s="2"/>
    </row>
    <row r="1510" spans="1:18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  <c r="R1510" s="2"/>
    </row>
    <row r="1511" spans="1:18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  <c r="R1511" s="2"/>
    </row>
    <row r="1512" spans="1:18" ht="19.5" hidden="1" thickBot="1" x14ac:dyDescent="0.3">
      <c r="A1512" s="985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  <c r="R1512" s="2"/>
    </row>
    <row r="1513" spans="1:18" ht="19.5" hidden="1" thickBot="1" x14ac:dyDescent="0.3">
      <c r="A1513" s="985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  <c r="R1513" s="2"/>
    </row>
    <row r="1514" spans="1:18" ht="19.5" hidden="1" thickBot="1" x14ac:dyDescent="0.3">
      <c r="A1514" s="985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  <c r="R1514" s="2"/>
    </row>
    <row r="1515" spans="1:18" ht="19.5" hidden="1" thickBot="1" x14ac:dyDescent="0.3">
      <c r="A1515" s="985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  <c r="R1515" s="2"/>
    </row>
    <row r="1516" spans="1:18" ht="19.5" hidden="1" thickBot="1" x14ac:dyDescent="0.3">
      <c r="A1516" s="985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  <c r="R1516" s="2"/>
    </row>
    <row r="1517" spans="1:18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  <c r="R1517" s="2"/>
    </row>
    <row r="1518" spans="1:18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  <c r="R1518" s="2"/>
    </row>
    <row r="1519" spans="1:18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  <c r="R1519" s="2"/>
    </row>
    <row r="1520" spans="1:18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  <c r="R1520" s="2"/>
    </row>
    <row r="1521" spans="1:18" ht="19.5" hidden="1" thickBot="1" x14ac:dyDescent="0.3">
      <c r="A1521" s="984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  <c r="R1521" s="2"/>
    </row>
    <row r="1522" spans="1:18" ht="19.5" hidden="1" thickBot="1" x14ac:dyDescent="0.3">
      <c r="A1522" s="984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  <c r="R1522" s="2"/>
    </row>
    <row r="1523" spans="1:18" ht="19.5" hidden="1" thickBot="1" x14ac:dyDescent="0.3">
      <c r="A1523" s="985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  <c r="R1523" s="2"/>
    </row>
    <row r="1524" spans="1:18" ht="19.5" hidden="1" thickBot="1" x14ac:dyDescent="0.3">
      <c r="A1524" s="985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  <c r="R1524" s="2"/>
    </row>
    <row r="1525" spans="1:18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  <c r="R1525" s="2"/>
    </row>
    <row r="1526" spans="1:18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  <c r="R1526" s="2"/>
    </row>
    <row r="1527" spans="1:18" ht="19.5" hidden="1" thickBot="1" x14ac:dyDescent="0.3">
      <c r="A1527" s="984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  <c r="R1527" s="2"/>
    </row>
    <row r="1528" spans="1:18" ht="19.5" hidden="1" thickBot="1" x14ac:dyDescent="0.3">
      <c r="A1528" s="984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  <c r="R1528" s="2"/>
    </row>
    <row r="1529" spans="1:18" ht="19.5" hidden="1" thickBot="1" x14ac:dyDescent="0.3">
      <c r="A1529" s="984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  <c r="R1529" s="2"/>
    </row>
    <row r="1530" spans="1:18" ht="19.5" hidden="1" customHeight="1" thickBot="1" x14ac:dyDescent="0.3">
      <c r="A1530" s="985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990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  <c r="R1530" s="2"/>
    </row>
    <row r="1531" spans="1:18" ht="19.5" hidden="1" thickBot="1" x14ac:dyDescent="0.3">
      <c r="A1531" s="985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990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  <c r="R1531" s="2"/>
    </row>
    <row r="1532" spans="1:18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  <c r="R1532" s="2"/>
    </row>
    <row r="1533" spans="1:18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  <c r="R1533" s="2"/>
    </row>
    <row r="1534" spans="1:18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  <c r="R1534" s="2"/>
    </row>
    <row r="1535" spans="1:18" ht="19.5" hidden="1" thickBot="1" x14ac:dyDescent="0.3">
      <c r="A1535" s="985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  <c r="R1535" s="2"/>
    </row>
    <row r="1536" spans="1:18" ht="19.5" hidden="1" thickBot="1" x14ac:dyDescent="0.3">
      <c r="A1536" s="985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  <c r="R1536" s="2"/>
    </row>
    <row r="1537" spans="1:18" ht="19.5" hidden="1" thickBot="1" x14ac:dyDescent="0.3">
      <c r="A1537" s="985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  <c r="R1537" s="2"/>
    </row>
    <row r="1538" spans="1:18" ht="19.5" hidden="1" thickBot="1" x14ac:dyDescent="0.3">
      <c r="A1538" s="984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  <c r="R1538" s="2"/>
    </row>
    <row r="1539" spans="1:18" ht="19.5" hidden="1" thickBot="1" x14ac:dyDescent="0.3">
      <c r="A1539" s="984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  <c r="R1539" s="2"/>
    </row>
    <row r="1540" spans="1:18" ht="19.5" hidden="1" thickBot="1" x14ac:dyDescent="0.3">
      <c r="A1540" s="984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  <c r="R1540" s="2"/>
    </row>
    <row r="1541" spans="1:18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  <c r="R1541" s="2"/>
    </row>
    <row r="1542" spans="1:18" ht="19.5" hidden="1" thickBot="1" x14ac:dyDescent="0.3">
      <c r="A1542" s="984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  <c r="R1542" s="2"/>
    </row>
    <row r="1543" spans="1:18" ht="19.5" hidden="1" thickBot="1" x14ac:dyDescent="0.3">
      <c r="A1543" s="984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  <c r="R1543" s="2"/>
    </row>
    <row r="1544" spans="1:18" ht="19.5" hidden="1" thickBot="1" x14ac:dyDescent="0.3">
      <c r="A1544" s="985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  <c r="R1544" s="2"/>
    </row>
    <row r="1545" spans="1:18" ht="19.5" hidden="1" thickBot="1" x14ac:dyDescent="0.3">
      <c r="A1545" s="985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  <c r="R1545" s="2"/>
    </row>
    <row r="1546" spans="1:18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  <c r="R1546" s="2"/>
    </row>
    <row r="1547" spans="1:18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  <c r="R1547" s="2"/>
    </row>
    <row r="1548" spans="1:18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  <c r="R1548" s="2"/>
    </row>
    <row r="1549" spans="1:18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  <c r="R1549" s="2"/>
    </row>
    <row r="1550" spans="1:18" ht="19.5" hidden="1" thickBot="1" x14ac:dyDescent="0.3">
      <c r="A1550" s="984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  <c r="R1550" s="2"/>
    </row>
    <row r="1551" spans="1:18" ht="19.5" hidden="1" thickBot="1" x14ac:dyDescent="0.3">
      <c r="A1551" s="984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  <c r="R1551" s="2"/>
    </row>
    <row r="1552" spans="1:18" ht="19.5" hidden="1" thickBot="1" x14ac:dyDescent="0.3">
      <c r="A1552" s="984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  <c r="R1552" s="2"/>
    </row>
    <row r="1553" spans="1:18" ht="19.5" hidden="1" thickBot="1" x14ac:dyDescent="0.3">
      <c r="A1553" s="984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  <c r="R1553" s="2"/>
    </row>
    <row r="1554" spans="1:18" ht="19.5" hidden="1" thickBot="1" x14ac:dyDescent="0.3">
      <c r="A1554" s="984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  <c r="R1554" s="2"/>
    </row>
    <row r="1555" spans="1:18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  <c r="R1555" s="2"/>
    </row>
    <row r="1556" spans="1:18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  <c r="R1556" s="2"/>
    </row>
    <row r="1557" spans="1:18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  <c r="R1557" s="2"/>
    </row>
    <row r="1558" spans="1:18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  <c r="R1558" s="2"/>
    </row>
    <row r="1559" spans="1:18" ht="19.5" hidden="1" thickBot="1" x14ac:dyDescent="0.3">
      <c r="A1559" s="985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  <c r="R1559" s="2"/>
    </row>
    <row r="1560" spans="1:18" ht="19.5" hidden="1" thickBot="1" x14ac:dyDescent="0.3">
      <c r="A1560" s="985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  <c r="R1560" s="2"/>
    </row>
    <row r="1561" spans="1:18" ht="19.5" hidden="1" thickBot="1" x14ac:dyDescent="0.3">
      <c r="A1561" s="984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  <c r="R1561" s="2"/>
    </row>
    <row r="1562" spans="1:18" ht="19.5" hidden="1" thickBot="1" x14ac:dyDescent="0.3">
      <c r="A1562" s="984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  <c r="R1562" s="2"/>
    </row>
    <row r="1563" spans="1:18" ht="19.5" hidden="1" thickBot="1" x14ac:dyDescent="0.3">
      <c r="A1563" s="984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  <c r="R1563" s="2"/>
    </row>
    <row r="1564" spans="1:18" ht="19.5" hidden="1" thickBot="1" x14ac:dyDescent="0.3">
      <c r="A1564" s="985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  <c r="R1564" s="2"/>
    </row>
    <row r="1565" spans="1:18" ht="19.5" hidden="1" thickBot="1" x14ac:dyDescent="0.3">
      <c r="A1565" s="985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  <c r="R1565" s="2"/>
    </row>
    <row r="1566" spans="1:18" ht="19.5" hidden="1" thickBot="1" x14ac:dyDescent="0.3">
      <c r="A1566" s="984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  <c r="R1566" s="2"/>
    </row>
    <row r="1567" spans="1:18" ht="19.5" hidden="1" thickBot="1" x14ac:dyDescent="0.3">
      <c r="A1567" s="984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  <c r="R1567" s="2"/>
    </row>
    <row r="1568" spans="1:18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  <c r="R1568" s="2"/>
    </row>
    <row r="1569" spans="1:18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  <c r="R1569" s="2"/>
    </row>
    <row r="1570" spans="1:18" ht="19.5" hidden="1" thickBot="1" x14ac:dyDescent="0.3">
      <c r="A1570" s="985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  <c r="R1570" s="2"/>
    </row>
    <row r="1571" spans="1:18" ht="19.5" hidden="1" thickBot="1" x14ac:dyDescent="0.3">
      <c r="A1571" s="985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  <c r="R1571" s="2"/>
    </row>
    <row r="1572" spans="1:18" ht="19.5" hidden="1" thickBot="1" x14ac:dyDescent="0.3">
      <c r="A1572" s="984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  <c r="R1572" s="2"/>
    </row>
    <row r="1573" spans="1:18" ht="19.5" hidden="1" thickBot="1" x14ac:dyDescent="0.3">
      <c r="A1573" s="984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  <c r="R1573" s="2"/>
    </row>
    <row r="1574" spans="1:18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  <c r="R1574" s="2"/>
    </row>
    <row r="1575" spans="1:18" ht="19.5" hidden="1" thickBot="1" x14ac:dyDescent="0.3">
      <c r="A1575" s="984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  <c r="R1575" s="2"/>
    </row>
    <row r="1576" spans="1:18" ht="19.5" hidden="1" thickBot="1" x14ac:dyDescent="0.3">
      <c r="A1576" s="984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  <c r="R1576" s="2"/>
    </row>
    <row r="1577" spans="1:18" ht="19.5" hidden="1" customHeight="1" thickBot="1" x14ac:dyDescent="0.3">
      <c r="A1577" s="984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  <c r="R1577" s="2"/>
    </row>
    <row r="1578" spans="1:18" ht="19.5" hidden="1" thickBot="1" x14ac:dyDescent="0.3">
      <c r="A1578" s="984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  <c r="R1578" s="2"/>
    </row>
    <row r="1579" spans="1:18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  <c r="R1579" s="2"/>
    </row>
    <row r="1580" spans="1:18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  <c r="R1580" s="2"/>
    </row>
    <row r="1581" spans="1:18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  <c r="R1581" s="2"/>
    </row>
    <row r="1582" spans="1:18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  <c r="R1582" s="2"/>
    </row>
    <row r="1583" spans="1:18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  <c r="R1583" s="2"/>
    </row>
    <row r="1584" spans="1:18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  <c r="R1584" s="2"/>
    </row>
    <row r="1585" spans="1:18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  <c r="R1585" s="2"/>
    </row>
    <row r="1586" spans="1:18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  <c r="R1586" s="2"/>
    </row>
    <row r="1587" spans="1:18" ht="19.5" hidden="1" thickBot="1" x14ac:dyDescent="0.3">
      <c r="A1587" s="985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  <c r="R1587" s="2"/>
    </row>
    <row r="1588" spans="1:18" ht="19.5" hidden="1" thickBot="1" x14ac:dyDescent="0.3">
      <c r="A1588" s="985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  <c r="R1588" s="2"/>
    </row>
    <row r="1589" spans="1:18" ht="19.5" hidden="1" thickBot="1" x14ac:dyDescent="0.3">
      <c r="A1589" s="985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  <c r="R1589" s="2"/>
    </row>
    <row r="1590" spans="1:18" ht="19.5" hidden="1" thickBot="1" x14ac:dyDescent="0.3">
      <c r="A1590" s="985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  <c r="R1590" s="2"/>
    </row>
    <row r="1591" spans="1:18" ht="19.5" hidden="1" thickBot="1" x14ac:dyDescent="0.3">
      <c r="A1591" s="985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  <c r="R1591" s="2"/>
    </row>
    <row r="1592" spans="1:18" ht="19.5" hidden="1" thickBot="1" x14ac:dyDescent="0.3">
      <c r="A1592" s="985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  <c r="R1592" s="2"/>
    </row>
    <row r="1593" spans="1:18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  <c r="R1593" s="2"/>
    </row>
    <row r="1594" spans="1:18" ht="19.5" hidden="1" thickBot="1" x14ac:dyDescent="0.3">
      <c r="A1594" s="985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  <c r="R1594" s="2"/>
    </row>
    <row r="1595" spans="1:18" ht="19.5" hidden="1" thickBot="1" x14ac:dyDescent="0.3">
      <c r="A1595" s="985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  <c r="R1595" s="2"/>
    </row>
    <row r="1596" spans="1:18" ht="19.5" hidden="1" thickBot="1" x14ac:dyDescent="0.3">
      <c r="A1596" s="984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  <c r="R1596" s="2"/>
    </row>
    <row r="1597" spans="1:18" ht="19.5" hidden="1" thickBot="1" x14ac:dyDescent="0.3">
      <c r="A1597" s="984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  <c r="R1597" s="2"/>
    </row>
    <row r="1598" spans="1:18" ht="19.5" hidden="1" thickBot="1" x14ac:dyDescent="0.3">
      <c r="A1598" s="985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  <c r="R1598" s="2"/>
    </row>
    <row r="1599" spans="1:18" ht="19.5" hidden="1" thickBot="1" x14ac:dyDescent="0.3">
      <c r="A1599" s="985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  <c r="R1599" s="2"/>
    </row>
    <row r="1600" spans="1:18" ht="19.5" hidden="1" thickBot="1" x14ac:dyDescent="0.3">
      <c r="A1600" s="984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  <c r="R1600" s="2"/>
    </row>
    <row r="1601" spans="1:18" ht="19.5" hidden="1" thickBot="1" x14ac:dyDescent="0.3">
      <c r="A1601" s="984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  <c r="R1601" s="2"/>
    </row>
    <row r="1602" spans="1:18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  <c r="R1602" s="2"/>
    </row>
    <row r="1603" spans="1:18" ht="18.75" hidden="1" customHeight="1" thickBot="1" x14ac:dyDescent="0.3">
      <c r="A1603" s="984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987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  <c r="R1603" s="2"/>
    </row>
    <row r="1604" spans="1:18" ht="19.5" hidden="1" thickBot="1" x14ac:dyDescent="0.3">
      <c r="A1604" s="984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987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  <c r="R1604" s="2"/>
    </row>
    <row r="1605" spans="1:18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  <c r="R1605" s="2"/>
    </row>
    <row r="1606" spans="1:18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  <c r="R1606" s="2"/>
    </row>
    <row r="1607" spans="1:18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  <c r="R1607" s="2"/>
    </row>
    <row r="1608" spans="1:18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  <c r="R1608" s="2"/>
    </row>
    <row r="1609" spans="1:18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  <c r="R1609" s="2"/>
    </row>
    <row r="1610" spans="1:18" ht="19.5" hidden="1" thickBot="1" x14ac:dyDescent="0.3">
      <c r="A1610" s="984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  <c r="R1610" s="2"/>
    </row>
    <row r="1611" spans="1:18" ht="19.5" hidden="1" thickBot="1" x14ac:dyDescent="0.3">
      <c r="A1611" s="984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  <c r="R1611" s="2"/>
    </row>
    <row r="1612" spans="1:18" ht="19.5" hidden="1" thickBot="1" x14ac:dyDescent="0.3">
      <c r="A1612" s="984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  <c r="R1612" s="2"/>
    </row>
    <row r="1613" spans="1:18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  <c r="R1613" s="2"/>
    </row>
    <row r="1614" spans="1:18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  <c r="R1614" s="2"/>
    </row>
    <row r="1615" spans="1:18" ht="19.5" hidden="1" thickBot="1" x14ac:dyDescent="0.3">
      <c r="A1615" s="985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  <c r="R1615" s="2"/>
    </row>
    <row r="1616" spans="1:18" ht="19.5" hidden="1" thickBot="1" x14ac:dyDescent="0.3">
      <c r="A1616" s="985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  <c r="R1616" s="2"/>
    </row>
    <row r="1617" spans="1:18" ht="19.5" hidden="1" thickBot="1" x14ac:dyDescent="0.3">
      <c r="A1617" s="985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  <c r="R1617" s="2"/>
    </row>
    <row r="1618" spans="1:18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  <c r="R1618" s="2"/>
    </row>
    <row r="1619" spans="1:18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  <c r="R1619" s="2"/>
    </row>
    <row r="1620" spans="1:18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  <c r="R1620" s="2"/>
    </row>
    <row r="1621" spans="1:18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  <c r="R1621" s="2"/>
    </row>
    <row r="1622" spans="1:18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  <c r="R1622" s="2"/>
    </row>
    <row r="1623" spans="1:18" ht="19.5" hidden="1" thickBot="1" x14ac:dyDescent="0.3">
      <c r="A1623" s="985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  <c r="R1623" s="2"/>
    </row>
    <row r="1624" spans="1:18" ht="19.5" hidden="1" thickBot="1" x14ac:dyDescent="0.3">
      <c r="A1624" s="985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  <c r="R1624" s="2"/>
    </row>
    <row r="1625" spans="1:18" ht="19.5" hidden="1" thickBot="1" x14ac:dyDescent="0.3">
      <c r="A1625" s="985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  <c r="R1625" s="2"/>
    </row>
    <row r="1626" spans="1:18" ht="19.5" hidden="1" thickBot="1" x14ac:dyDescent="0.3">
      <c r="A1626" s="985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  <c r="R1626" s="2"/>
    </row>
    <row r="1627" spans="1:18" ht="19.5" hidden="1" thickBot="1" x14ac:dyDescent="0.3">
      <c r="A1627" s="985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  <c r="R1627" s="2"/>
    </row>
    <row r="1628" spans="1:18" ht="19.5" hidden="1" thickBot="1" x14ac:dyDescent="0.3">
      <c r="A1628" s="985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  <c r="R1628" s="2"/>
    </row>
    <row r="1629" spans="1:18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  <c r="R1629" s="2"/>
    </row>
    <row r="1630" spans="1:18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  <c r="R1630" s="2"/>
    </row>
    <row r="1631" spans="1:18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  <c r="R1631" s="2"/>
    </row>
    <row r="1632" spans="1:18" ht="19.5" hidden="1" thickBot="1" x14ac:dyDescent="0.3">
      <c r="A1632" s="985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  <c r="R1632" s="2"/>
    </row>
    <row r="1633" spans="1:18" ht="19.5" hidden="1" thickBot="1" x14ac:dyDescent="0.3">
      <c r="A1633" s="985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  <c r="R1633" s="2"/>
    </row>
    <row r="1634" spans="1:18" ht="19.5" hidden="1" thickBot="1" x14ac:dyDescent="0.3">
      <c r="A1634" s="984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  <c r="R1634" s="2"/>
    </row>
    <row r="1635" spans="1:18" ht="19.5" hidden="1" thickBot="1" x14ac:dyDescent="0.3">
      <c r="A1635" s="984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  <c r="R1635" s="2"/>
    </row>
    <row r="1636" spans="1:18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  <c r="R1636" s="2"/>
    </row>
    <row r="1637" spans="1:18" ht="19.5" hidden="1" thickBot="1" x14ac:dyDescent="0.3">
      <c r="A1637" s="984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  <c r="R1637" s="2"/>
    </row>
    <row r="1638" spans="1:18" ht="19.5" hidden="1" thickBot="1" x14ac:dyDescent="0.3">
      <c r="A1638" s="984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  <c r="R1638" s="2"/>
    </row>
    <row r="1639" spans="1:18" ht="19.5" hidden="1" thickBot="1" x14ac:dyDescent="0.3">
      <c r="A1639" s="985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  <c r="R1639" s="2"/>
    </row>
    <row r="1640" spans="1:18" ht="19.5" hidden="1" thickBot="1" x14ac:dyDescent="0.3">
      <c r="A1640" s="985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  <c r="R1640" s="2"/>
    </row>
    <row r="1641" spans="1:18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  <c r="R1641" s="2"/>
    </row>
    <row r="1642" spans="1:18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  <c r="R1642" s="2"/>
    </row>
    <row r="1643" spans="1:18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  <c r="R1643" s="2"/>
    </row>
    <row r="1644" spans="1:18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  <c r="R1644" s="2"/>
    </row>
    <row r="1645" spans="1:18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  <c r="R1645" s="2"/>
    </row>
    <row r="1646" spans="1:18" ht="19.5" hidden="1" thickBot="1" x14ac:dyDescent="0.3">
      <c r="A1646" s="985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  <c r="R1646" s="2"/>
    </row>
    <row r="1647" spans="1:18" ht="19.5" hidden="1" thickBot="1" x14ac:dyDescent="0.3">
      <c r="A1647" s="985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  <c r="R1647" s="2"/>
    </row>
    <row r="1648" spans="1:18" ht="19.5" hidden="1" thickBot="1" x14ac:dyDescent="0.3">
      <c r="A1648" s="985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  <c r="R1648" s="2"/>
    </row>
    <row r="1649" spans="1:18" ht="19.5" hidden="1" thickBot="1" x14ac:dyDescent="0.3">
      <c r="A1649" s="984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  <c r="R1649" s="2"/>
    </row>
    <row r="1650" spans="1:18" ht="19.5" hidden="1" thickBot="1" x14ac:dyDescent="0.3">
      <c r="A1650" s="984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  <c r="R1650" s="2"/>
    </row>
    <row r="1651" spans="1:18" ht="18.75" hidden="1" customHeight="1" thickBot="1" x14ac:dyDescent="0.3">
      <c r="A1651" s="985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990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  <c r="R1651" s="2"/>
    </row>
    <row r="1652" spans="1:18" ht="19.5" hidden="1" thickBot="1" x14ac:dyDescent="0.3">
      <c r="A1652" s="985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990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  <c r="R1652" s="2"/>
    </row>
    <row r="1653" spans="1:18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  <c r="R1653" s="2"/>
    </row>
    <row r="1654" spans="1:18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  <c r="R1654" s="2"/>
    </row>
    <row r="1655" spans="1:18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  <c r="R1655" s="2"/>
    </row>
    <row r="1656" spans="1:18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  <c r="R1656" s="2"/>
    </row>
    <row r="1657" spans="1:18" ht="19.5" hidden="1" thickBot="1" x14ac:dyDescent="0.3">
      <c r="A1657" s="984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  <c r="R1657" s="2"/>
    </row>
    <row r="1658" spans="1:18" ht="19.5" hidden="1" thickBot="1" x14ac:dyDescent="0.3">
      <c r="A1658" s="984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  <c r="R1658" s="2"/>
    </row>
    <row r="1659" spans="1:18" ht="19.5" hidden="1" thickBot="1" x14ac:dyDescent="0.3">
      <c r="A1659" s="984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  <c r="R1659" s="2"/>
    </row>
    <row r="1660" spans="1:18" ht="19.5" hidden="1" thickBot="1" x14ac:dyDescent="0.3">
      <c r="A1660" s="984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  <c r="R1660" s="2"/>
    </row>
    <row r="1661" spans="1:18" ht="19.5" hidden="1" thickBot="1" x14ac:dyDescent="0.3">
      <c r="A1661" s="984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  <c r="R1661" s="2"/>
    </row>
    <row r="1662" spans="1:18" ht="19.5" hidden="1" thickBot="1" x14ac:dyDescent="0.3">
      <c r="A1662" s="984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  <c r="R1662" s="2"/>
    </row>
    <row r="1663" spans="1:18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  <c r="R1663" s="2"/>
    </row>
    <row r="1664" spans="1:18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  <c r="R1664" s="2"/>
    </row>
    <row r="1665" spans="1:18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  <c r="R1665" s="2"/>
    </row>
    <row r="1666" spans="1:18" ht="19.5" hidden="1" thickBot="1" x14ac:dyDescent="0.3">
      <c r="A1666" s="984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  <c r="R1666" s="2"/>
    </row>
    <row r="1667" spans="1:18" ht="19.5" hidden="1" thickBot="1" x14ac:dyDescent="0.3">
      <c r="A1667" s="984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  <c r="R1667" s="2"/>
    </row>
    <row r="1668" spans="1:18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  <c r="R1668" s="2"/>
    </row>
    <row r="1669" spans="1:18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  <c r="R1669" s="2"/>
    </row>
    <row r="1670" spans="1:18" ht="19.5" hidden="1" thickBot="1" x14ac:dyDescent="0.3">
      <c r="A1670" s="985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  <c r="R1670" s="2"/>
    </row>
    <row r="1671" spans="1:18" ht="19.5" hidden="1" thickBot="1" x14ac:dyDescent="0.3">
      <c r="A1671" s="985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  <c r="R1671" s="2"/>
    </row>
    <row r="1672" spans="1:18" ht="19.5" hidden="1" thickBot="1" x14ac:dyDescent="0.3">
      <c r="A1672" s="985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  <c r="R1672" s="2"/>
    </row>
    <row r="1673" spans="1:18" ht="18.75" hidden="1" customHeight="1" thickBot="1" x14ac:dyDescent="0.3">
      <c r="A1673" s="984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987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  <c r="R1673" s="2"/>
    </row>
    <row r="1674" spans="1:18" ht="19.5" hidden="1" thickBot="1" x14ac:dyDescent="0.3">
      <c r="A1674" s="984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987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  <c r="R1674" s="2"/>
    </row>
    <row r="1675" spans="1:18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  <c r="R1675" s="2"/>
    </row>
    <row r="1676" spans="1:18" ht="19.5" hidden="1" thickBot="1" x14ac:dyDescent="0.3">
      <c r="A1676" s="984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  <c r="R1676" s="2"/>
    </row>
    <row r="1677" spans="1:18" ht="19.5" hidden="1" thickBot="1" x14ac:dyDescent="0.3">
      <c r="A1677" s="984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  <c r="R1677" s="2"/>
    </row>
    <row r="1678" spans="1:18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  <c r="R1678" s="2"/>
    </row>
    <row r="1679" spans="1:18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  <c r="R1679" s="2"/>
    </row>
    <row r="1680" spans="1:18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  <c r="R1680" s="2"/>
    </row>
    <row r="1681" spans="1:18" ht="19.5" hidden="1" thickBot="1" x14ac:dyDescent="0.3">
      <c r="A1681" s="984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  <c r="R1681" s="2"/>
    </row>
    <row r="1682" spans="1:18" ht="19.5" hidden="1" thickBot="1" x14ac:dyDescent="0.3">
      <c r="A1682" s="984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  <c r="R1682" s="2"/>
    </row>
    <row r="1683" spans="1:18" ht="19.5" hidden="1" thickBot="1" x14ac:dyDescent="0.3">
      <c r="A1683" s="984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  <c r="R1683" s="2"/>
    </row>
    <row r="1684" spans="1:18" ht="19.5" hidden="1" thickBot="1" x14ac:dyDescent="0.3">
      <c r="A1684" s="985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  <c r="R1684" s="2"/>
    </row>
    <row r="1685" spans="1:18" ht="19.5" hidden="1" thickBot="1" x14ac:dyDescent="0.3">
      <c r="A1685" s="985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  <c r="R1685" s="2"/>
    </row>
    <row r="1686" spans="1:18" ht="19.5" hidden="1" thickBot="1" x14ac:dyDescent="0.3">
      <c r="A1686" s="985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  <c r="R1686" s="2"/>
    </row>
    <row r="1687" spans="1:18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  <c r="R1687" s="2"/>
    </row>
    <row r="1688" spans="1:18" ht="19.5" hidden="1" thickBot="1" x14ac:dyDescent="0.3">
      <c r="A1688" s="985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  <c r="R1688" s="2"/>
    </row>
    <row r="1689" spans="1:18" ht="19.5" hidden="1" thickBot="1" x14ac:dyDescent="0.3">
      <c r="A1689" s="985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  <c r="R1689" s="2"/>
    </row>
    <row r="1690" spans="1:18" ht="19.5" hidden="1" thickBot="1" x14ac:dyDescent="0.3">
      <c r="A1690" s="985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  <c r="R1690" s="2"/>
    </row>
    <row r="1691" spans="1:18" ht="19.5" hidden="1" thickBot="1" x14ac:dyDescent="0.3">
      <c r="A1691" s="985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  <c r="R1691" s="2"/>
    </row>
    <row r="1692" spans="1:18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  <c r="R1692" s="2"/>
    </row>
    <row r="1693" spans="1:18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  <c r="R1693" s="2"/>
    </row>
    <row r="1694" spans="1:18" ht="19.5" hidden="1" thickBot="1" x14ac:dyDescent="0.3">
      <c r="A1694" s="984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  <c r="R1694" s="2"/>
    </row>
    <row r="1695" spans="1:18" ht="19.5" hidden="1" thickBot="1" x14ac:dyDescent="0.3">
      <c r="A1695" s="984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  <c r="R1695" s="2"/>
    </row>
    <row r="1696" spans="1:18" ht="19.5" hidden="1" thickBot="1" x14ac:dyDescent="0.3">
      <c r="A1696" s="984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  <c r="R1696" s="2"/>
    </row>
    <row r="1697" spans="1:18" ht="19.5" hidden="1" thickBot="1" x14ac:dyDescent="0.3">
      <c r="A1697" s="984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  <c r="R1697" s="2"/>
    </row>
    <row r="1698" spans="1:18" ht="19.5" hidden="1" thickBot="1" x14ac:dyDescent="0.3">
      <c r="A1698" s="984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  <c r="R1698" s="2"/>
    </row>
    <row r="1699" spans="1:18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  <c r="R1699" s="2"/>
    </row>
    <row r="1700" spans="1:18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  <c r="R1700" s="2"/>
    </row>
    <row r="1701" spans="1:18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  <c r="R1701" s="2"/>
    </row>
    <row r="1702" spans="1:18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  <c r="R1702" s="2"/>
    </row>
    <row r="1703" spans="1:18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  <c r="R1703" s="2"/>
    </row>
    <row r="1704" spans="1:18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  <c r="R1704" s="2"/>
    </row>
    <row r="1705" spans="1:18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  <c r="R1705" s="2"/>
    </row>
    <row r="1706" spans="1:18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  <c r="R1706" s="2"/>
    </row>
    <row r="1707" spans="1:18" ht="19.5" hidden="1" thickBot="1" x14ac:dyDescent="0.3">
      <c r="A1707" s="985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  <c r="R1707" s="2"/>
    </row>
    <row r="1708" spans="1:18" ht="19.5" hidden="1" thickBot="1" x14ac:dyDescent="0.3">
      <c r="A1708" s="985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  <c r="R1708" s="2"/>
    </row>
    <row r="1709" spans="1:18" ht="19.5" hidden="1" thickBot="1" x14ac:dyDescent="0.3">
      <c r="A1709" s="984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  <c r="R1709" s="2"/>
    </row>
    <row r="1710" spans="1:18" ht="19.5" hidden="1" thickBot="1" x14ac:dyDescent="0.3">
      <c r="A1710" s="984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  <c r="R1710" s="2"/>
    </row>
    <row r="1711" spans="1:18" ht="19.5" hidden="1" thickBot="1" x14ac:dyDescent="0.3">
      <c r="A1711" s="984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  <c r="R1711" s="2"/>
    </row>
    <row r="1712" spans="1:18" ht="18.75" hidden="1" customHeight="1" thickBot="1" x14ac:dyDescent="0.3">
      <c r="A1712" s="985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990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  <c r="R1712" s="2"/>
    </row>
    <row r="1713" spans="1:18" ht="19.5" hidden="1" thickBot="1" x14ac:dyDescent="0.3">
      <c r="A1713" s="985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990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  <c r="R1713" s="2"/>
    </row>
    <row r="1714" spans="1:18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  <c r="R1714" s="2"/>
    </row>
    <row r="1715" spans="1:18" ht="19.5" hidden="1" thickBot="1" x14ac:dyDescent="0.3">
      <c r="A1715" s="985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  <c r="R1715" s="2"/>
    </row>
    <row r="1716" spans="1:18" ht="19.5" hidden="1" thickBot="1" x14ac:dyDescent="0.3">
      <c r="A1716" s="985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  <c r="R1716" s="2"/>
    </row>
    <row r="1717" spans="1:18" ht="19.5" hidden="1" thickBot="1" x14ac:dyDescent="0.3">
      <c r="A1717" s="984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  <c r="R1717" s="2"/>
    </row>
    <row r="1718" spans="1:18" ht="19.5" hidden="1" thickBot="1" x14ac:dyDescent="0.3">
      <c r="A1718" s="984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  <c r="R1718" s="2"/>
    </row>
    <row r="1719" spans="1:18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  <c r="R1719" s="2"/>
    </row>
    <row r="1720" spans="1:18" ht="19.5" hidden="1" thickBot="1" x14ac:dyDescent="0.3">
      <c r="A1720" s="984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  <c r="R1720" s="2"/>
    </row>
    <row r="1721" spans="1:18" ht="19.5" hidden="1" thickBot="1" x14ac:dyDescent="0.3">
      <c r="A1721" s="984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  <c r="R1721" s="2"/>
    </row>
    <row r="1722" spans="1:18" ht="19.5" hidden="1" thickBot="1" x14ac:dyDescent="0.3">
      <c r="A1722" s="984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  <c r="R1722" s="2"/>
    </row>
    <row r="1723" spans="1:18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  <c r="R1723" s="2"/>
    </row>
    <row r="1724" spans="1:18" ht="19.5" hidden="1" thickBot="1" x14ac:dyDescent="0.3">
      <c r="A1724" s="984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  <c r="R1724" s="2"/>
    </row>
    <row r="1725" spans="1:18" ht="19.5" hidden="1" thickBot="1" x14ac:dyDescent="0.3">
      <c r="A1725" s="984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  <c r="R1725" s="2"/>
    </row>
    <row r="1726" spans="1:18" ht="19.5" hidden="1" thickBot="1" x14ac:dyDescent="0.3">
      <c r="A1726" s="985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  <c r="R1726" s="2"/>
    </row>
    <row r="1727" spans="1:18" ht="19.5" hidden="1" thickBot="1" x14ac:dyDescent="0.3">
      <c r="A1727" s="985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  <c r="R1727" s="2"/>
    </row>
    <row r="1728" spans="1:18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  <c r="R1728" s="2"/>
    </row>
    <row r="1729" spans="1:18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  <c r="R1729" s="2"/>
    </row>
    <row r="1730" spans="1:18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  <c r="R1730" s="2"/>
    </row>
    <row r="1731" spans="1:18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  <c r="R1731" s="2"/>
    </row>
    <row r="1732" spans="1:18" ht="19.5" hidden="1" thickBot="1" x14ac:dyDescent="0.3">
      <c r="A1732" s="984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  <c r="R1732" s="2"/>
    </row>
    <row r="1733" spans="1:18" ht="19.5" hidden="1" thickBot="1" x14ac:dyDescent="0.3">
      <c r="A1733" s="984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  <c r="R1733" s="2"/>
    </row>
    <row r="1734" spans="1:18" ht="19.5" hidden="1" thickBot="1" x14ac:dyDescent="0.3">
      <c r="A1734" s="984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  <c r="R1734" s="2"/>
    </row>
    <row r="1735" spans="1:18" ht="19.5" hidden="1" thickBot="1" x14ac:dyDescent="0.3">
      <c r="A1735" s="984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  <c r="R1735" s="2"/>
    </row>
    <row r="1736" spans="1:18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  <c r="R1736" s="2"/>
    </row>
    <row r="1737" spans="1:18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  <c r="R1737" s="2"/>
    </row>
    <row r="1738" spans="1:18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  <c r="R1738" s="2"/>
    </row>
    <row r="1739" spans="1:18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  <c r="R1739" s="2"/>
    </row>
    <row r="1740" spans="1:18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  <c r="R1740" s="2"/>
    </row>
    <row r="1741" spans="1:18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  <c r="R1741" s="2"/>
    </row>
    <row r="1742" spans="1:18" ht="19.5" hidden="1" thickBot="1" x14ac:dyDescent="0.3">
      <c r="A1742" s="985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  <c r="R1742" s="2"/>
    </row>
    <row r="1743" spans="1:18" ht="19.5" hidden="1" thickBot="1" x14ac:dyDescent="0.3">
      <c r="A1743" s="985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  <c r="R1743" s="2"/>
    </row>
    <row r="1744" spans="1:18" ht="19.5" hidden="1" thickBot="1" x14ac:dyDescent="0.3">
      <c r="A1744" s="984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  <c r="R1744" s="2"/>
    </row>
    <row r="1745" spans="1:18" ht="19.5" hidden="1" thickBot="1" x14ac:dyDescent="0.3">
      <c r="A1745" s="984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  <c r="R1745" s="2"/>
    </row>
    <row r="1746" spans="1:18" ht="19.5" hidden="1" thickBot="1" x14ac:dyDescent="0.3">
      <c r="A1746" s="985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  <c r="R1746" s="2"/>
    </row>
    <row r="1747" spans="1:18" ht="19.5" hidden="1" thickBot="1" x14ac:dyDescent="0.3">
      <c r="A1747" s="985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  <c r="R1747" s="2"/>
    </row>
    <row r="1748" spans="1:18" ht="19.5" hidden="1" thickBot="1" x14ac:dyDescent="0.3">
      <c r="A1748" s="984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  <c r="R1748" s="2"/>
    </row>
    <row r="1749" spans="1:18" ht="19.5" hidden="1" thickBot="1" x14ac:dyDescent="0.3">
      <c r="A1749" s="984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  <c r="R1749" s="2"/>
    </row>
    <row r="1750" spans="1:18" ht="19.5" hidden="1" customHeight="1" thickBot="1" x14ac:dyDescent="0.3">
      <c r="A1750" s="985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990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  <c r="R1750" s="2"/>
    </row>
    <row r="1751" spans="1:18" ht="19.5" hidden="1" thickBot="1" x14ac:dyDescent="0.3">
      <c r="A1751" s="985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990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  <c r="R1751" s="2"/>
    </row>
    <row r="1752" spans="1:18" ht="19.5" hidden="1" thickBot="1" x14ac:dyDescent="0.3">
      <c r="A1752" s="985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990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  <c r="R1752" s="2"/>
    </row>
    <row r="1753" spans="1:18" ht="19.5" hidden="1" thickBot="1" x14ac:dyDescent="0.3">
      <c r="A1753" s="984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  <c r="R1753" s="2"/>
    </row>
    <row r="1754" spans="1:18" ht="19.5" hidden="1" thickBot="1" x14ac:dyDescent="0.3">
      <c r="A1754" s="984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  <c r="R1754" s="2"/>
    </row>
    <row r="1755" spans="1:18" ht="19.5" hidden="1" thickBot="1" x14ac:dyDescent="0.3">
      <c r="A1755" s="985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  <c r="R1755" s="2"/>
    </row>
    <row r="1756" spans="1:18" ht="19.5" hidden="1" thickBot="1" x14ac:dyDescent="0.3">
      <c r="A1756" s="985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  <c r="R1756" s="2"/>
    </row>
    <row r="1757" spans="1:18" ht="19.5" hidden="1" thickBot="1" x14ac:dyDescent="0.3">
      <c r="A1757" s="985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  <c r="R1757" s="2"/>
    </row>
    <row r="1758" spans="1:18" ht="19.5" hidden="1" thickBot="1" x14ac:dyDescent="0.3">
      <c r="A1758" s="984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  <c r="R1758" s="2"/>
    </row>
    <row r="1759" spans="1:18" ht="19.5" hidden="1" thickBot="1" x14ac:dyDescent="0.3">
      <c r="A1759" s="984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  <c r="R1759" s="2"/>
    </row>
    <row r="1760" spans="1:18" ht="19.5" hidden="1" thickBot="1" x14ac:dyDescent="0.3">
      <c r="A1760" s="985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  <c r="R1760" s="2"/>
    </row>
    <row r="1761" spans="1:18" ht="19.5" hidden="1" thickBot="1" x14ac:dyDescent="0.3">
      <c r="A1761" s="985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  <c r="R1761" s="2"/>
    </row>
    <row r="1762" spans="1:18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  <c r="R1762" s="2"/>
    </row>
    <row r="1763" spans="1:18" ht="19.5" hidden="1" thickBot="1" x14ac:dyDescent="0.3">
      <c r="A1763" s="985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  <c r="R1763" s="2"/>
    </row>
    <row r="1764" spans="1:18" ht="19.5" hidden="1" thickBot="1" x14ac:dyDescent="0.3">
      <c r="A1764" s="985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  <c r="R1764" s="2"/>
    </row>
    <row r="1765" spans="1:18" ht="38.25" hidden="1" customHeight="1" thickBot="1" x14ac:dyDescent="0.3">
      <c r="A1765" s="984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987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  <c r="R1765" s="2"/>
    </row>
    <row r="1766" spans="1:18" ht="38.25" hidden="1" customHeight="1" thickBot="1" x14ac:dyDescent="0.3">
      <c r="A1766" s="984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987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  <c r="R1766" s="2"/>
    </row>
    <row r="1767" spans="1:18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  <c r="R1767" s="2"/>
    </row>
    <row r="1768" spans="1:18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  <c r="R1768" s="2"/>
    </row>
    <row r="1769" spans="1:18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  <c r="R1769" s="2"/>
    </row>
    <row r="1770" spans="1:18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  <c r="R1770" s="2"/>
    </row>
    <row r="1771" spans="1:18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  <c r="R1771" s="2"/>
    </row>
    <row r="1772" spans="1:18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  <c r="R1772" s="2"/>
    </row>
    <row r="1773" spans="1:18" ht="19.5" hidden="1" thickBot="1" x14ac:dyDescent="0.3">
      <c r="A1773" s="985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  <c r="R1773" s="2"/>
    </row>
    <row r="1774" spans="1:18" ht="19.5" hidden="1" thickBot="1" x14ac:dyDescent="0.3">
      <c r="A1774" s="985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  <c r="R1774" s="2"/>
    </row>
    <row r="1775" spans="1:18" ht="19.5" hidden="1" thickBot="1" x14ac:dyDescent="0.3">
      <c r="A1775" s="985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  <c r="R1775" s="2"/>
    </row>
    <row r="1776" spans="1:18" ht="19.5" hidden="1" thickBot="1" x14ac:dyDescent="0.3">
      <c r="A1776" s="985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  <c r="R1776" s="2"/>
    </row>
    <row r="1777" spans="1:18" ht="19.5" hidden="1" thickBot="1" x14ac:dyDescent="0.3">
      <c r="A1777" s="985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  <c r="R1777" s="2"/>
    </row>
    <row r="1778" spans="1:18" ht="19.5" hidden="1" thickBot="1" x14ac:dyDescent="0.3">
      <c r="A1778" s="985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  <c r="R1778" s="2"/>
    </row>
    <row r="1779" spans="1:18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  <c r="R1779" s="2"/>
    </row>
    <row r="1780" spans="1:18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  <c r="R1780" s="2"/>
    </row>
    <row r="1781" spans="1:18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  <c r="R1781" s="2"/>
    </row>
    <row r="1782" spans="1:18" ht="19.5" hidden="1" thickBot="1" x14ac:dyDescent="0.3">
      <c r="A1782" s="985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  <c r="R1782" s="2"/>
    </row>
    <row r="1783" spans="1:18" ht="19.5" hidden="1" thickBot="1" x14ac:dyDescent="0.3">
      <c r="A1783" s="985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  <c r="R1783" s="2"/>
    </row>
    <row r="1784" spans="1:18" ht="19.5" hidden="1" thickBot="1" x14ac:dyDescent="0.3">
      <c r="A1784" s="984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  <c r="R1784" s="2"/>
    </row>
    <row r="1785" spans="1:18" ht="19.5" hidden="1" thickBot="1" x14ac:dyDescent="0.3">
      <c r="A1785" s="984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  <c r="R1785" s="2"/>
    </row>
    <row r="1786" spans="1:18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  <c r="R1786" s="2"/>
    </row>
    <row r="1787" spans="1:18" ht="19.5" hidden="1" thickBot="1" x14ac:dyDescent="0.3">
      <c r="A1787" s="984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  <c r="R1787" s="2"/>
    </row>
    <row r="1788" spans="1:18" ht="19.5" hidden="1" thickBot="1" x14ac:dyDescent="0.3">
      <c r="A1788" s="984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  <c r="R1788" s="2"/>
    </row>
    <row r="1789" spans="1:18" ht="19.5" hidden="1" thickBot="1" x14ac:dyDescent="0.3">
      <c r="A1789" s="984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  <c r="R1789" s="2"/>
    </row>
    <row r="1790" spans="1:18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  <c r="R1790" s="2"/>
    </row>
    <row r="1791" spans="1:18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  <c r="R1791" s="2"/>
    </row>
    <row r="1792" spans="1:18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  <c r="R1792" s="2"/>
    </row>
    <row r="1793" spans="1:18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  <c r="R1793" s="2"/>
    </row>
    <row r="1794" spans="1:18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  <c r="R1794" s="2"/>
    </row>
    <row r="1795" spans="1:18" ht="19.5" hidden="1" thickBot="1" x14ac:dyDescent="0.3">
      <c r="A1795" s="984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  <c r="R1795" s="2"/>
    </row>
    <row r="1796" spans="1:18" ht="19.5" hidden="1" thickBot="1" x14ac:dyDescent="0.3">
      <c r="A1796" s="984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  <c r="R1796" s="2"/>
    </row>
    <row r="1797" spans="1:18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  <c r="R1797" s="2"/>
    </row>
    <row r="1798" spans="1:18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  <c r="R1798" s="2"/>
    </row>
    <row r="1799" spans="1:18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  <c r="R1799" s="2"/>
    </row>
    <row r="1800" spans="1:18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  <c r="R1800" s="2"/>
    </row>
    <row r="1801" spans="1:18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  <c r="R1801" s="2"/>
    </row>
    <row r="1802" spans="1:18" ht="19.5" hidden="1" thickBot="1" x14ac:dyDescent="0.3">
      <c r="A1802" s="984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  <c r="R1802" s="2"/>
    </row>
    <row r="1803" spans="1:18" ht="19.5" hidden="1" thickBot="1" x14ac:dyDescent="0.3">
      <c r="A1803" s="984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  <c r="R1803" s="2"/>
    </row>
    <row r="1804" spans="1:18" ht="19.5" hidden="1" thickBot="1" x14ac:dyDescent="0.3">
      <c r="A1804" s="984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  <c r="R1804" s="2"/>
    </row>
    <row r="1805" spans="1:18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  <c r="R1805" s="2"/>
    </row>
    <row r="1806" spans="1:18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  <c r="R1806" s="2"/>
    </row>
    <row r="1807" spans="1:18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  <c r="R1807" s="2"/>
    </row>
    <row r="1808" spans="1:18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  <c r="R1808" s="2"/>
    </row>
    <row r="1809" spans="1:18" ht="19.5" hidden="1" thickBot="1" x14ac:dyDescent="0.3">
      <c r="A1809" s="985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  <c r="R1809" s="2"/>
    </row>
    <row r="1810" spans="1:18" ht="19.5" hidden="1" thickBot="1" x14ac:dyDescent="0.3">
      <c r="A1810" s="985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  <c r="R1810" s="2"/>
    </row>
    <row r="1811" spans="1:18" ht="19.5" hidden="1" thickBot="1" x14ac:dyDescent="0.3">
      <c r="A1811" s="985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  <c r="R1811" s="2"/>
    </row>
    <row r="1812" spans="1:18" ht="19.5" hidden="1" thickBot="1" x14ac:dyDescent="0.3">
      <c r="A1812" s="985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  <c r="R1812" s="2"/>
    </row>
    <row r="1813" spans="1:18" ht="19.5" hidden="1" thickBot="1" x14ac:dyDescent="0.3">
      <c r="A1813" s="985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  <c r="R1813" s="2"/>
    </row>
    <row r="1814" spans="1:18" ht="19.5" hidden="1" thickBot="1" x14ac:dyDescent="0.3">
      <c r="A1814" s="985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  <c r="R1814" s="2"/>
    </row>
    <row r="1815" spans="1:18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  <c r="R1815" s="2"/>
    </row>
    <row r="1816" spans="1:18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  <c r="R1816" s="2"/>
    </row>
    <row r="1817" spans="1:18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  <c r="R1817" s="2"/>
    </row>
    <row r="1818" spans="1:18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  <c r="R1818" s="2"/>
    </row>
    <row r="1819" spans="1:18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  <c r="R1819" s="2"/>
    </row>
    <row r="1820" spans="1:18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  <c r="R1820" s="2"/>
    </row>
    <row r="1821" spans="1:18" ht="19.5" hidden="1" thickBot="1" x14ac:dyDescent="0.3">
      <c r="A1821" s="984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  <c r="R1821" s="2"/>
    </row>
    <row r="1822" spans="1:18" ht="19.5" hidden="1" thickBot="1" x14ac:dyDescent="0.3">
      <c r="A1822" s="984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  <c r="R1822" s="2"/>
    </row>
    <row r="1823" spans="1:18" ht="19.5" hidden="1" thickBot="1" x14ac:dyDescent="0.3">
      <c r="A1823" s="985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  <c r="R1823" s="2"/>
    </row>
    <row r="1824" spans="1:18" ht="19.5" hidden="1" thickBot="1" x14ac:dyDescent="0.3">
      <c r="A1824" s="985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  <c r="R1824" s="2"/>
    </row>
    <row r="1825" spans="1:18" ht="19.5" hidden="1" thickBot="1" x14ac:dyDescent="0.3">
      <c r="A1825" s="985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  <c r="R1825" s="2"/>
    </row>
    <row r="1826" spans="1:18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  <c r="R1826" s="2"/>
    </row>
    <row r="1827" spans="1:18" ht="18.75" hidden="1" customHeight="1" thickBot="1" x14ac:dyDescent="0.3">
      <c r="A1827" s="985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990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  <c r="R1827" s="2"/>
    </row>
    <row r="1828" spans="1:18" ht="19.5" hidden="1" thickBot="1" x14ac:dyDescent="0.3">
      <c r="A1828" s="985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990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  <c r="R1828" s="2"/>
    </row>
    <row r="1829" spans="1:18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  <c r="R1829" s="2"/>
    </row>
    <row r="1830" spans="1:18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  <c r="R1830" s="2"/>
    </row>
    <row r="1831" spans="1:18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  <c r="R1831" s="2"/>
    </row>
    <row r="1832" spans="1:18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  <c r="R1832" s="2"/>
    </row>
    <row r="1833" spans="1:18" ht="19.5" hidden="1" thickBot="1" x14ac:dyDescent="0.3">
      <c r="A1833" s="984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  <c r="R1833" s="2"/>
    </row>
    <row r="1834" spans="1:18" ht="19.5" hidden="1" thickBot="1" x14ac:dyDescent="0.3">
      <c r="A1834" s="984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  <c r="R1834" s="2"/>
    </row>
    <row r="1835" spans="1:18" ht="19.5" hidden="1" thickBot="1" x14ac:dyDescent="0.3">
      <c r="A1835" s="984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  <c r="R1835" s="2"/>
    </row>
    <row r="1836" spans="1:18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  <c r="R1836" s="2"/>
    </row>
    <row r="1837" spans="1:18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  <c r="R1837" s="2"/>
    </row>
    <row r="1838" spans="1:18" ht="19.5" hidden="1" thickBot="1" x14ac:dyDescent="0.3">
      <c r="A1838" s="985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  <c r="R1838" s="2"/>
    </row>
    <row r="1839" spans="1:18" ht="19.5" hidden="1" thickBot="1" x14ac:dyDescent="0.3">
      <c r="A1839" s="985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  <c r="R1839" s="2"/>
    </row>
    <row r="1840" spans="1:18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  <c r="R1840" s="2"/>
    </row>
    <row r="1841" spans="1:18" ht="19.5" hidden="1" thickBot="1" x14ac:dyDescent="0.3">
      <c r="A1841" s="985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  <c r="R1841" s="2"/>
    </row>
    <row r="1842" spans="1:18" ht="19.5" hidden="1" thickBot="1" x14ac:dyDescent="0.3">
      <c r="A1842" s="985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  <c r="R1842" s="2"/>
    </row>
    <row r="1843" spans="1:18" ht="19.5" hidden="1" thickBot="1" x14ac:dyDescent="0.3">
      <c r="A1843" s="985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  <c r="R1843" s="2"/>
    </row>
    <row r="1844" spans="1:18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  <c r="R1844" s="2"/>
    </row>
    <row r="1845" spans="1:18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  <c r="R1845" s="2"/>
    </row>
    <row r="1846" spans="1:18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  <c r="R1846" s="2"/>
    </row>
    <row r="1847" spans="1:18" ht="19.5" hidden="1" thickBot="1" x14ac:dyDescent="0.3">
      <c r="A1847" s="985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  <c r="R1847" s="2"/>
    </row>
    <row r="1848" spans="1:18" ht="19.5" hidden="1" thickBot="1" x14ac:dyDescent="0.3">
      <c r="A1848" s="985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  <c r="R1848" s="2"/>
    </row>
    <row r="1849" spans="1:18" ht="19.5" hidden="1" thickBot="1" x14ac:dyDescent="0.3">
      <c r="A1849" s="985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  <c r="R1849" s="2"/>
    </row>
    <row r="1850" spans="1:18" ht="19.5" hidden="1" thickBot="1" x14ac:dyDescent="0.3">
      <c r="A1850" s="985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  <c r="R1850" s="2"/>
    </row>
    <row r="1851" spans="1:18" ht="19.5" hidden="1" thickBot="1" x14ac:dyDescent="0.3">
      <c r="A1851" s="985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  <c r="R1851" s="2"/>
    </row>
    <row r="1852" spans="1:18" ht="19.5" hidden="1" thickBot="1" x14ac:dyDescent="0.3">
      <c r="A1852" s="985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  <c r="R1852" s="2"/>
    </row>
    <row r="1853" spans="1:18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  <c r="R1853" s="2"/>
    </row>
    <row r="1854" spans="1:18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  <c r="R1854" s="2"/>
    </row>
    <row r="1855" spans="1:18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  <c r="R1855" s="2"/>
    </row>
    <row r="1856" spans="1:18" ht="19.5" hidden="1" thickBot="1" x14ac:dyDescent="0.3">
      <c r="A1856" s="985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  <c r="R1856" s="2"/>
    </row>
    <row r="1857" spans="1:18" ht="19.5" hidden="1" thickBot="1" x14ac:dyDescent="0.3">
      <c r="A1857" s="985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  <c r="R1857" s="2"/>
    </row>
    <row r="1858" spans="1:18" ht="19.5" hidden="1" thickBot="1" x14ac:dyDescent="0.3">
      <c r="A1858" s="985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  <c r="R1858" s="2"/>
    </row>
    <row r="1859" spans="1:18" ht="19.5" hidden="1" thickBot="1" x14ac:dyDescent="0.3">
      <c r="A1859" s="984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  <c r="R1859" s="2"/>
    </row>
    <row r="1860" spans="1:18" ht="19.5" hidden="1" thickBot="1" x14ac:dyDescent="0.3">
      <c r="A1860" s="984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  <c r="R1860" s="2"/>
    </row>
    <row r="1861" spans="1:18" ht="19.5" hidden="1" customHeight="1" thickBot="1" x14ac:dyDescent="0.3">
      <c r="A1861" s="985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990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  <c r="R1861" s="2"/>
    </row>
    <row r="1862" spans="1:18" ht="19.5" hidden="1" thickBot="1" x14ac:dyDescent="0.3">
      <c r="A1862" s="985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990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  <c r="R1862" s="2"/>
    </row>
    <row r="1863" spans="1:18" ht="19.5" hidden="1" thickBot="1" x14ac:dyDescent="0.3">
      <c r="A1863" s="984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  <c r="R1863" s="2"/>
    </row>
    <row r="1864" spans="1:18" ht="19.5" hidden="1" thickBot="1" x14ac:dyDescent="0.3">
      <c r="A1864" s="984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  <c r="R1864" s="2"/>
    </row>
    <row r="1865" spans="1:18" ht="19.5" hidden="1" thickBot="1" x14ac:dyDescent="0.3">
      <c r="A1865" s="985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  <c r="R1865" s="2"/>
    </row>
    <row r="1866" spans="1:18" ht="19.5" hidden="1" thickBot="1" x14ac:dyDescent="0.3">
      <c r="A1866" s="985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  <c r="R1866" s="2"/>
    </row>
    <row r="1867" spans="1:18" ht="19.5" hidden="1" thickBot="1" x14ac:dyDescent="0.3">
      <c r="A1867" s="984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  <c r="R1867" s="2"/>
    </row>
    <row r="1868" spans="1:18" ht="19.5" hidden="1" thickBot="1" x14ac:dyDescent="0.3">
      <c r="A1868" s="984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  <c r="R1868" s="2"/>
    </row>
    <row r="1869" spans="1:18" ht="19.5" hidden="1" thickBot="1" x14ac:dyDescent="0.3">
      <c r="A1869" s="984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  <c r="R1869" s="2"/>
    </row>
    <row r="1870" spans="1:18" ht="19.5" hidden="1" thickBot="1" x14ac:dyDescent="0.3">
      <c r="A1870" s="985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  <c r="R1870" s="2"/>
    </row>
    <row r="1871" spans="1:18" ht="19.5" hidden="1" thickBot="1" x14ac:dyDescent="0.3">
      <c r="A1871" s="985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  <c r="R1871" s="2"/>
    </row>
    <row r="1872" spans="1:18" ht="19.5" hidden="1" thickBot="1" x14ac:dyDescent="0.3">
      <c r="A1872" s="985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  <c r="R1872" s="2"/>
    </row>
    <row r="1873" spans="1:18" ht="19.5" hidden="1" thickBot="1" x14ac:dyDescent="0.3">
      <c r="A1873" s="985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  <c r="R1873" s="2"/>
    </row>
    <row r="1874" spans="1:18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  <c r="R1874" s="2"/>
    </row>
    <row r="1875" spans="1:18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  <c r="R1875" s="2"/>
    </row>
    <row r="1876" spans="1:18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  <c r="R1876" s="2"/>
    </row>
    <row r="1877" spans="1:18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  <c r="R1877" s="2"/>
    </row>
    <row r="1878" spans="1:18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  <c r="R1878" s="2"/>
    </row>
    <row r="1879" spans="1:18" ht="19.5" hidden="1" thickBot="1" x14ac:dyDescent="0.3">
      <c r="A1879" s="985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  <c r="R1879" s="2"/>
    </row>
    <row r="1880" spans="1:18" ht="19.5" hidden="1" thickBot="1" x14ac:dyDescent="0.3">
      <c r="A1880" s="985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  <c r="R1880" s="2"/>
    </row>
    <row r="1881" spans="1:18" ht="19.5" hidden="1" thickBot="1" x14ac:dyDescent="0.3">
      <c r="A1881" s="985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  <c r="R1881" s="2"/>
    </row>
    <row r="1882" spans="1:18" ht="19.5" hidden="1" thickBot="1" x14ac:dyDescent="0.3">
      <c r="A1882" s="985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  <c r="R1882" s="2"/>
    </row>
    <row r="1883" spans="1:18" ht="19.5" hidden="1" thickBot="1" x14ac:dyDescent="0.3">
      <c r="A1883" s="985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  <c r="R1883" s="2"/>
    </row>
    <row r="1884" spans="1:18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  <c r="R1884" s="2"/>
    </row>
    <row r="1885" spans="1:18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  <c r="R1885" s="2"/>
    </row>
    <row r="1886" spans="1:18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  <c r="R1886" s="2"/>
    </row>
    <row r="1887" spans="1:18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  <c r="R1887" s="2"/>
    </row>
    <row r="1888" spans="1:18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  <c r="R1888" s="2"/>
    </row>
    <row r="1889" spans="1:18" ht="19.5" hidden="1" thickBot="1" x14ac:dyDescent="0.3">
      <c r="A1889" s="985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  <c r="R1889" s="2"/>
    </row>
    <row r="1890" spans="1:18" ht="19.5" hidden="1" thickBot="1" x14ac:dyDescent="0.3">
      <c r="A1890" s="985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  <c r="R1890" s="2"/>
    </row>
    <row r="1891" spans="1:18" ht="19.5" hidden="1" thickBot="1" x14ac:dyDescent="0.3">
      <c r="A1891" s="985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  <c r="R1891" s="2"/>
    </row>
    <row r="1892" spans="1:18" ht="19.5" hidden="1" thickBot="1" x14ac:dyDescent="0.3">
      <c r="A1892" s="984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  <c r="R1892" s="2"/>
    </row>
    <row r="1893" spans="1:18" ht="19.5" hidden="1" thickBot="1" x14ac:dyDescent="0.3">
      <c r="A1893" s="984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  <c r="R1893" s="2"/>
    </row>
    <row r="1894" spans="1:18" ht="18.75" hidden="1" customHeight="1" thickBot="1" x14ac:dyDescent="0.3">
      <c r="A1894" s="985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990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  <c r="R1894" s="2"/>
    </row>
    <row r="1895" spans="1:18" ht="19.5" hidden="1" thickBot="1" x14ac:dyDescent="0.3">
      <c r="A1895" s="985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990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  <c r="R1895" s="2"/>
    </row>
    <row r="1896" spans="1:18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  <c r="R1896" s="2"/>
    </row>
    <row r="1897" spans="1:18" ht="19.5" hidden="1" thickBot="1" x14ac:dyDescent="0.3">
      <c r="A1897" s="985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  <c r="R1897" s="2"/>
    </row>
    <row r="1898" spans="1:18" ht="19.5" hidden="1" thickBot="1" x14ac:dyDescent="0.3">
      <c r="A1898" s="985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  <c r="R1898" s="2"/>
    </row>
    <row r="1899" spans="1:18" ht="19.5" hidden="1" thickBot="1" x14ac:dyDescent="0.3">
      <c r="A1899" s="984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  <c r="R1899" s="2"/>
    </row>
    <row r="1900" spans="1:18" ht="19.5" hidden="1" thickBot="1" x14ac:dyDescent="0.3">
      <c r="A1900" s="984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  <c r="R1900" s="2"/>
    </row>
    <row r="1901" spans="1:18" ht="19.5" hidden="1" thickBot="1" x14ac:dyDescent="0.3">
      <c r="A1901" s="984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  <c r="R1901" s="2"/>
    </row>
    <row r="1902" spans="1:18" ht="19.5" hidden="1" thickBot="1" x14ac:dyDescent="0.3">
      <c r="A1902" s="984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  <c r="R1902" s="2"/>
    </row>
    <row r="1903" spans="1:18" ht="19.5" hidden="1" thickBot="1" x14ac:dyDescent="0.3">
      <c r="A1903" s="985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  <c r="R1903" s="2"/>
    </row>
    <row r="1904" spans="1:18" ht="19.5" hidden="1" thickBot="1" x14ac:dyDescent="0.3">
      <c r="A1904" s="985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  <c r="R1904" s="2"/>
    </row>
    <row r="1905" spans="1:18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  <c r="R1905" s="2"/>
    </row>
    <row r="1906" spans="1:18" ht="19.5" hidden="1" thickBot="1" x14ac:dyDescent="0.3">
      <c r="A1906" s="985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  <c r="R1906" s="2"/>
    </row>
    <row r="1907" spans="1:18" ht="19.5" hidden="1" thickBot="1" x14ac:dyDescent="0.3">
      <c r="A1907" s="985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  <c r="R1907" s="2"/>
    </row>
    <row r="1908" spans="1:18" ht="19.5" hidden="1" thickBot="1" x14ac:dyDescent="0.3">
      <c r="A1908" s="984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  <c r="R1908" s="2"/>
    </row>
    <row r="1909" spans="1:18" ht="19.5" hidden="1" thickBot="1" x14ac:dyDescent="0.3">
      <c r="A1909" s="984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  <c r="R1909" s="2"/>
    </row>
    <row r="1910" spans="1:18" ht="19.5" hidden="1" thickBot="1" x14ac:dyDescent="0.3">
      <c r="A1910" s="984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  <c r="R1910" s="2"/>
    </row>
    <row r="1911" spans="1:18" ht="19.5" hidden="1" thickBot="1" x14ac:dyDescent="0.3">
      <c r="A1911" s="985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  <c r="R1911" s="2"/>
    </row>
    <row r="1912" spans="1:18" ht="19.5" hidden="1" thickBot="1" x14ac:dyDescent="0.3">
      <c r="A1912" s="985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  <c r="R1912" s="2"/>
    </row>
    <row r="1913" spans="1:18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  <c r="R1913" s="2"/>
    </row>
    <row r="1914" spans="1:18" ht="19.5" hidden="1" thickBot="1" x14ac:dyDescent="0.3">
      <c r="A1914" s="985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  <c r="R1914" s="2"/>
    </row>
    <row r="1915" spans="1:18" ht="19.5" hidden="1" thickBot="1" x14ac:dyDescent="0.3">
      <c r="A1915" s="985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  <c r="R1915" s="2"/>
    </row>
    <row r="1916" spans="1:18" ht="19.5" hidden="1" thickBot="1" x14ac:dyDescent="0.3">
      <c r="A1916" s="985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  <c r="R1916" s="2"/>
    </row>
    <row r="1917" spans="1:18" ht="19.5" hidden="1" thickBot="1" x14ac:dyDescent="0.3">
      <c r="A1917" s="985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  <c r="R1917" s="2"/>
    </row>
    <row r="1918" spans="1:18" ht="18.75" hidden="1" customHeight="1" thickBot="1" x14ac:dyDescent="0.3">
      <c r="A1918" s="984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987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  <c r="R1918" s="2"/>
    </row>
    <row r="1919" spans="1:18" ht="19.5" hidden="1" thickBot="1" x14ac:dyDescent="0.3">
      <c r="A1919" s="984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987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  <c r="R1919" s="2"/>
    </row>
    <row r="1920" spans="1:18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  <c r="R1920" s="2"/>
    </row>
    <row r="1921" spans="1:18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  <c r="R1921" s="2"/>
    </row>
    <row r="1922" spans="1:18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  <c r="R1922" s="2"/>
    </row>
    <row r="1923" spans="1:18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  <c r="R1923" s="2"/>
    </row>
    <row r="1924" spans="1:18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  <c r="R1924" s="2"/>
    </row>
    <row r="1925" spans="1:18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  <c r="R1925" s="2"/>
    </row>
    <row r="1926" spans="1:18" ht="19.5" hidden="1" thickBot="1" x14ac:dyDescent="0.3">
      <c r="A1926" s="985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  <c r="R1926" s="2"/>
    </row>
    <row r="1927" spans="1:18" ht="19.5" hidden="1" thickBot="1" x14ac:dyDescent="0.3">
      <c r="A1927" s="985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  <c r="R1927" s="2"/>
    </row>
    <row r="1928" spans="1:18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  <c r="R1928" s="2"/>
    </row>
    <row r="1929" spans="1:18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  <c r="R1929" s="2"/>
    </row>
    <row r="1930" spans="1:18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  <c r="R1930" s="2"/>
    </row>
    <row r="1931" spans="1:18" ht="19.5" hidden="1" thickBot="1" x14ac:dyDescent="0.3">
      <c r="A1931" s="985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  <c r="R1931" s="2"/>
    </row>
    <row r="1932" spans="1:18" ht="19.5" hidden="1" thickBot="1" x14ac:dyDescent="0.3">
      <c r="A1932" s="985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  <c r="R1932" s="2"/>
    </row>
    <row r="1933" spans="1:18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  <c r="R1933" s="2"/>
    </row>
    <row r="1934" spans="1:18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  <c r="R1934" s="2"/>
    </row>
    <row r="1935" spans="1:18" ht="19.5" hidden="1" thickBot="1" x14ac:dyDescent="0.3">
      <c r="A1935" s="984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  <c r="R1935" s="2"/>
    </row>
    <row r="1936" spans="1:18" ht="19.5" hidden="1" thickBot="1" x14ac:dyDescent="0.3">
      <c r="A1936" s="984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  <c r="R1936" s="2"/>
    </row>
    <row r="1937" spans="1:18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  <c r="R1937" s="2"/>
    </row>
    <row r="1938" spans="1:18" ht="19.5" hidden="1" thickBot="1" x14ac:dyDescent="0.3">
      <c r="A1938" s="984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  <c r="R1938" s="2"/>
    </row>
    <row r="1939" spans="1:18" ht="19.5" hidden="1" thickBot="1" x14ac:dyDescent="0.3">
      <c r="A1939" s="984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  <c r="R1939" s="2"/>
    </row>
    <row r="1940" spans="1:18" ht="19.5" hidden="1" thickBot="1" x14ac:dyDescent="0.3">
      <c r="A1940" s="985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  <c r="R1940" s="2"/>
    </row>
    <row r="1941" spans="1:18" ht="19.5" hidden="1" thickBot="1" x14ac:dyDescent="0.3">
      <c r="A1941" s="985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  <c r="R1941" s="2"/>
    </row>
    <row r="1942" spans="1:18" ht="19.5" hidden="1" thickBot="1" x14ac:dyDescent="0.3">
      <c r="A1942" s="984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  <c r="R1942" s="2"/>
    </row>
    <row r="1943" spans="1:18" ht="19.5" hidden="1" thickBot="1" x14ac:dyDescent="0.3">
      <c r="A1943" s="984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  <c r="R1943" s="2"/>
    </row>
    <row r="1944" spans="1:18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  <c r="R1944" s="2"/>
    </row>
    <row r="1945" spans="1:18" ht="19.5" hidden="1" thickBot="1" x14ac:dyDescent="0.3">
      <c r="A1945" s="984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  <c r="R1945" s="2"/>
    </row>
    <row r="1946" spans="1:18" ht="19.5" hidden="1" thickBot="1" x14ac:dyDescent="0.3">
      <c r="A1946" s="984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  <c r="R1946" s="2"/>
    </row>
    <row r="1947" spans="1:18" ht="19.5" hidden="1" thickBot="1" x14ac:dyDescent="0.3">
      <c r="A1947" s="984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  <c r="R1947" s="2"/>
    </row>
    <row r="1948" spans="1:18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  <c r="R1948" s="2"/>
    </row>
    <row r="1949" spans="1:18" ht="19.5" hidden="1" thickBot="1" x14ac:dyDescent="0.3">
      <c r="A1949" s="984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  <c r="R1949" s="2"/>
    </row>
    <row r="1950" spans="1:18" ht="19.5" hidden="1" thickBot="1" x14ac:dyDescent="0.3">
      <c r="A1950" s="984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  <c r="R1950" s="2"/>
    </row>
    <row r="1951" spans="1:18" ht="57" hidden="1" thickBot="1" x14ac:dyDescent="0.3">
      <c r="A1951" s="985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  <c r="R1951" s="2"/>
    </row>
    <row r="1952" spans="1:18" ht="19.5" hidden="1" thickBot="1" x14ac:dyDescent="0.3">
      <c r="A1952" s="985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  <c r="R1952" s="2"/>
    </row>
    <row r="1953" spans="1:18" ht="19.5" hidden="1" thickBot="1" x14ac:dyDescent="0.3">
      <c r="A1953" s="985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  <c r="R1953" s="2"/>
    </row>
    <row r="1954" spans="1:18" ht="19.5" hidden="1" thickBot="1" x14ac:dyDescent="0.3">
      <c r="A1954" s="984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  <c r="R1954" s="2"/>
    </row>
    <row r="1955" spans="1:18" ht="19.5" hidden="1" thickBot="1" x14ac:dyDescent="0.3">
      <c r="A1955" s="984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  <c r="R1955" s="2"/>
    </row>
    <row r="1956" spans="1:18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  <c r="R1956" s="2"/>
    </row>
    <row r="1957" spans="1:18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  <c r="R1957" s="2"/>
    </row>
    <row r="1958" spans="1:18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  <c r="R1958" s="2"/>
    </row>
    <row r="1959" spans="1:18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  <c r="R1959" s="2"/>
    </row>
    <row r="1960" spans="1:18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  <c r="R1960" s="2"/>
    </row>
    <row r="1961" spans="1:18" ht="19.5" hidden="1" thickBot="1" x14ac:dyDescent="0.3">
      <c r="A1961" s="984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  <c r="R1961" s="2"/>
    </row>
    <row r="1962" spans="1:18" ht="19.5" hidden="1" thickBot="1" x14ac:dyDescent="0.3">
      <c r="A1962" s="984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  <c r="R1962" s="2"/>
    </row>
    <row r="1963" spans="1:18" ht="19.5" hidden="1" thickBot="1" x14ac:dyDescent="0.3">
      <c r="A1963" s="984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  <c r="R1963" s="2"/>
    </row>
    <row r="1964" spans="1:18" ht="19.5" hidden="1" thickBot="1" x14ac:dyDescent="0.3">
      <c r="A1964" s="984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  <c r="R1964" s="2"/>
    </row>
    <row r="1965" spans="1:18" ht="19.5" hidden="1" thickBot="1" x14ac:dyDescent="0.3">
      <c r="A1965" s="984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  <c r="R1965" s="2"/>
    </row>
    <row r="1966" spans="1:18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  <c r="R1966" s="2"/>
    </row>
    <row r="1967" spans="1:18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  <c r="R1967" s="2"/>
    </row>
    <row r="1968" spans="1:18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  <c r="R1968" s="2"/>
    </row>
    <row r="1969" spans="1:18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  <c r="R1969" s="2"/>
    </row>
    <row r="1970" spans="1:18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  <c r="R1970" s="2"/>
    </row>
    <row r="1971" spans="1:18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  <c r="R1971" s="2"/>
    </row>
    <row r="1972" spans="1:18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  <c r="R1972" s="2"/>
    </row>
    <row r="1973" spans="1:18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  <c r="R1973" s="2"/>
    </row>
    <row r="1974" spans="1:18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  <c r="R1974" s="2"/>
    </row>
    <row r="1975" spans="1:18" ht="19.5" hidden="1" thickBot="1" x14ac:dyDescent="0.3">
      <c r="A1975" s="984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  <c r="R1975" s="2"/>
    </row>
    <row r="1976" spans="1:18" ht="19.5" hidden="1" thickBot="1" x14ac:dyDescent="0.3">
      <c r="A1976" s="984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  <c r="R1976" s="2"/>
    </row>
    <row r="1977" spans="1:18" ht="19.5" hidden="1" thickBot="1" x14ac:dyDescent="0.3">
      <c r="A1977" s="985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  <c r="R1977" s="2"/>
    </row>
    <row r="1978" spans="1:18" ht="19.5" hidden="1" thickBot="1" x14ac:dyDescent="0.3">
      <c r="A1978" s="985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  <c r="R1978" s="2"/>
    </row>
    <row r="1979" spans="1:18" ht="19.5" hidden="1" thickBot="1" x14ac:dyDescent="0.3">
      <c r="A1979" s="984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  <c r="R1979" s="2"/>
    </row>
    <row r="1980" spans="1:18" ht="19.5" hidden="1" thickBot="1" x14ac:dyDescent="0.3">
      <c r="A1980" s="984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  <c r="R1980" s="2"/>
    </row>
    <row r="1981" spans="1:18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  <c r="R1981" s="2"/>
    </row>
    <row r="1982" spans="1:18" ht="19.5" hidden="1" thickBot="1" x14ac:dyDescent="0.3">
      <c r="A1982" s="984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  <c r="R1982" s="2"/>
    </row>
    <row r="1983" spans="1:18" ht="19.5" hidden="1" thickBot="1" x14ac:dyDescent="0.3">
      <c r="A1983" s="984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  <c r="R1983" s="2"/>
    </row>
    <row r="1984" spans="1:18" ht="19.5" hidden="1" thickBot="1" x14ac:dyDescent="0.3">
      <c r="A1984" s="985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  <c r="R1984" s="2"/>
    </row>
    <row r="1985" spans="1:18" ht="19.5" hidden="1" thickBot="1" x14ac:dyDescent="0.3">
      <c r="A1985" s="985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  <c r="R1985" s="2"/>
    </row>
    <row r="1986" spans="1:18" ht="19.5" hidden="1" thickBot="1" x14ac:dyDescent="0.3">
      <c r="A1986" s="984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  <c r="R1986" s="2"/>
    </row>
    <row r="1987" spans="1:18" ht="19.5" hidden="1" thickBot="1" x14ac:dyDescent="0.3">
      <c r="A1987" s="984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  <c r="R1987" s="2"/>
    </row>
    <row r="1988" spans="1:18" ht="19.5" hidden="1" thickBot="1" x14ac:dyDescent="0.3">
      <c r="A1988" s="984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  <c r="R1988" s="2"/>
    </row>
    <row r="1989" spans="1:18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  <c r="R1989" s="2"/>
    </row>
    <row r="1990" spans="1:18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  <c r="R1990" s="2"/>
    </row>
    <row r="1991" spans="1:18" ht="19.5" hidden="1" thickBot="1" x14ac:dyDescent="0.3">
      <c r="A1991" s="988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  <c r="R1991" s="2"/>
    </row>
    <row r="1992" spans="1:18" ht="19.5" hidden="1" thickBot="1" x14ac:dyDescent="0.3">
      <c r="A1992" s="988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  <c r="R1992" s="2"/>
    </row>
    <row r="1993" spans="1:18" ht="19.5" hidden="1" thickBot="1" x14ac:dyDescent="0.3">
      <c r="A1993" s="988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  <c r="R1993" s="2"/>
    </row>
    <row r="1994" spans="1:18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  <c r="R1994" s="2"/>
    </row>
    <row r="1995" spans="1:18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  <c r="R1995" s="2"/>
    </row>
    <row r="1996" spans="1:18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  <c r="R1996" s="2"/>
    </row>
    <row r="1997" spans="1:18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  <c r="R1997" s="2"/>
    </row>
    <row r="1998" spans="1:18" ht="19.5" hidden="1" thickBot="1" x14ac:dyDescent="0.3">
      <c r="A1998" s="984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  <c r="R1998" s="2"/>
    </row>
    <row r="1999" spans="1:18" ht="19.5" hidden="1" thickBot="1" x14ac:dyDescent="0.3">
      <c r="A1999" s="984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  <c r="R1999" s="2"/>
    </row>
    <row r="2000" spans="1:18" ht="19.5" hidden="1" thickBot="1" x14ac:dyDescent="0.3">
      <c r="A2000" s="984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  <c r="R2000" s="2"/>
    </row>
    <row r="2001" spans="1:18" ht="19.5" hidden="1" thickBot="1" x14ac:dyDescent="0.3">
      <c r="A2001" s="984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  <c r="R2001" s="2"/>
    </row>
    <row r="2002" spans="1:18" ht="19.5" hidden="1" customHeight="1" thickBot="1" x14ac:dyDescent="0.3">
      <c r="A2002" s="985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990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  <c r="R2002" s="2"/>
    </row>
    <row r="2003" spans="1:18" ht="19.5" hidden="1" thickBot="1" x14ac:dyDescent="0.3">
      <c r="A2003" s="985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990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  <c r="R2003" s="2"/>
    </row>
    <row r="2004" spans="1:18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  <c r="R2004" s="2"/>
    </row>
    <row r="2005" spans="1:18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  <c r="R2005" s="2"/>
    </row>
    <row r="2006" spans="1:18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  <c r="R2006" s="2"/>
    </row>
    <row r="2007" spans="1:18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  <c r="R2007" s="2"/>
    </row>
    <row r="2008" spans="1:18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  <c r="R2008" s="2"/>
    </row>
    <row r="2009" spans="1:18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  <c r="R2009" s="2"/>
    </row>
    <row r="2010" spans="1:18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  <c r="R2010" s="2"/>
    </row>
    <row r="2011" spans="1:18" ht="19.5" hidden="1" thickBot="1" x14ac:dyDescent="0.3">
      <c r="A2011" s="985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  <c r="R2011" s="2"/>
    </row>
    <row r="2012" spans="1:18" ht="19.5" hidden="1" thickBot="1" x14ac:dyDescent="0.3">
      <c r="A2012" s="985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  <c r="R2012" s="2"/>
    </row>
    <row r="2013" spans="1:18" ht="19.5" hidden="1" thickBot="1" x14ac:dyDescent="0.3">
      <c r="A2013" s="984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  <c r="R2013" s="2"/>
    </row>
    <row r="2014" spans="1:18" ht="19.5" hidden="1" thickBot="1" x14ac:dyDescent="0.3">
      <c r="A2014" s="984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  <c r="R2014" s="2"/>
    </row>
    <row r="2015" spans="1:18" ht="19.5" hidden="1" thickBot="1" x14ac:dyDescent="0.3">
      <c r="A2015" s="985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  <c r="R2015" s="2"/>
    </row>
    <row r="2016" spans="1:18" ht="19.5" hidden="1" thickBot="1" x14ac:dyDescent="0.3">
      <c r="A2016" s="985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  <c r="R2016" s="2"/>
    </row>
    <row r="2017" spans="1:18" ht="19.5" hidden="1" thickBot="1" x14ac:dyDescent="0.3">
      <c r="A2017" s="984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  <c r="R2017" s="2"/>
    </row>
    <row r="2018" spans="1:18" ht="19.5" hidden="1" thickBot="1" x14ac:dyDescent="0.3">
      <c r="A2018" s="984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  <c r="R2018" s="2"/>
    </row>
    <row r="2019" spans="1:18" ht="19.5" hidden="1" thickBot="1" x14ac:dyDescent="0.3">
      <c r="A2019" s="984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  <c r="R2019" s="2"/>
    </row>
    <row r="2020" spans="1:18" ht="19.5" hidden="1" customHeight="1" thickBot="1" x14ac:dyDescent="0.3">
      <c r="A2020" s="985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990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  <c r="R2020" s="2"/>
    </row>
    <row r="2021" spans="1:18" ht="19.5" hidden="1" thickBot="1" x14ac:dyDescent="0.3">
      <c r="A2021" s="985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990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  <c r="R2021" s="2"/>
    </row>
    <row r="2022" spans="1:18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  <c r="R2022" s="2"/>
    </row>
    <row r="2023" spans="1:18" ht="19.5" hidden="1" thickBot="1" x14ac:dyDescent="0.3">
      <c r="A2023" s="985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  <c r="R2023" s="2"/>
    </row>
    <row r="2024" spans="1:18" ht="19.5" hidden="1" thickBot="1" x14ac:dyDescent="0.3">
      <c r="A2024" s="985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  <c r="R2024" s="2"/>
    </row>
    <row r="2025" spans="1:18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  <c r="R2025" s="2"/>
    </row>
    <row r="2026" spans="1:18" ht="19.5" hidden="1" thickBot="1" x14ac:dyDescent="0.3">
      <c r="A2026" s="985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  <c r="R2026" s="2"/>
    </row>
    <row r="2027" spans="1:18" ht="19.5" hidden="1" thickBot="1" x14ac:dyDescent="0.3">
      <c r="A2027" s="985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  <c r="R2027" s="2"/>
    </row>
    <row r="2028" spans="1:18" ht="19.5" hidden="1" thickBot="1" x14ac:dyDescent="0.3">
      <c r="A2028" s="985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  <c r="R2028" s="2"/>
    </row>
    <row r="2029" spans="1:18" ht="19.5" hidden="1" thickBot="1" x14ac:dyDescent="0.3">
      <c r="A2029" s="984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  <c r="R2029" s="2"/>
    </row>
    <row r="2030" spans="1:18" ht="19.5" hidden="1" thickBot="1" x14ac:dyDescent="0.3">
      <c r="A2030" s="984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  <c r="R2030" s="2"/>
    </row>
    <row r="2031" spans="1:18" ht="19.5" hidden="1" thickBot="1" x14ac:dyDescent="0.3">
      <c r="A2031" s="985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  <c r="R2031" s="2"/>
    </row>
    <row r="2032" spans="1:18" ht="19.5" hidden="1" thickBot="1" x14ac:dyDescent="0.3">
      <c r="A2032" s="985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  <c r="R2032" s="2"/>
    </row>
    <row r="2033" spans="1:18" ht="19.5" hidden="1" thickBot="1" x14ac:dyDescent="0.3">
      <c r="A2033" s="984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  <c r="R2033" s="2"/>
    </row>
    <row r="2034" spans="1:18" ht="19.5" hidden="1" thickBot="1" x14ac:dyDescent="0.3">
      <c r="A2034" s="984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  <c r="R2034" s="2"/>
    </row>
    <row r="2035" spans="1:18" ht="19.5" hidden="1" thickBot="1" x14ac:dyDescent="0.3">
      <c r="A2035" s="984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  <c r="R2035" s="2"/>
    </row>
    <row r="2036" spans="1:18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  <c r="R2036" s="2"/>
    </row>
    <row r="2037" spans="1:18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  <c r="R2037" s="2"/>
    </row>
    <row r="2038" spans="1:18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  <c r="R2038" s="2"/>
    </row>
    <row r="2039" spans="1:18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  <c r="R2039" s="2"/>
    </row>
    <row r="2040" spans="1:18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  <c r="R2040" s="2"/>
    </row>
    <row r="2041" spans="1:18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  <c r="R2041" s="2"/>
    </row>
    <row r="2042" spans="1:18" ht="19.5" hidden="1" thickBot="1" x14ac:dyDescent="0.3">
      <c r="A2042" s="985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  <c r="R2042" s="2"/>
    </row>
    <row r="2043" spans="1:18" ht="19.5" hidden="1" thickBot="1" x14ac:dyDescent="0.3">
      <c r="A2043" s="985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  <c r="R2043" s="2"/>
    </row>
    <row r="2044" spans="1:18" ht="19.5" hidden="1" thickBot="1" x14ac:dyDescent="0.3">
      <c r="A2044" s="985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  <c r="R2044" s="2"/>
    </row>
    <row r="2045" spans="1:18" ht="19.5" hidden="1" thickBot="1" x14ac:dyDescent="0.3">
      <c r="A2045" s="985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  <c r="R2045" s="2"/>
    </row>
    <row r="2046" spans="1:18" ht="18.75" hidden="1" customHeight="1" thickBot="1" x14ac:dyDescent="0.3">
      <c r="A2046" s="984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987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  <c r="R2046" s="2"/>
    </row>
    <row r="2047" spans="1:18" ht="19.5" hidden="1" thickBot="1" x14ac:dyDescent="0.3">
      <c r="A2047" s="984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987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  <c r="R2047" s="2"/>
    </row>
    <row r="2048" spans="1:18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  <c r="R2048" s="2"/>
    </row>
    <row r="2049" spans="1:18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  <c r="R2049" s="2"/>
    </row>
    <row r="2050" spans="1:18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  <c r="R2050" s="2"/>
    </row>
    <row r="2051" spans="1:18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  <c r="R2051" s="2"/>
    </row>
    <row r="2052" spans="1:18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  <c r="R2052" s="2"/>
    </row>
    <row r="2053" spans="1:18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  <c r="R2053" s="2"/>
    </row>
    <row r="2054" spans="1:18" ht="19.5" hidden="1" thickBot="1" x14ac:dyDescent="0.3">
      <c r="A2054" s="985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  <c r="R2054" s="2"/>
    </row>
    <row r="2055" spans="1:18" ht="19.5" hidden="1" thickBot="1" x14ac:dyDescent="0.3">
      <c r="A2055" s="985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  <c r="R2055" s="2"/>
    </row>
    <row r="2056" spans="1:18" ht="19.5" hidden="1" thickBot="1" x14ac:dyDescent="0.3">
      <c r="A2056" s="984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  <c r="R2056" s="2"/>
    </row>
    <row r="2057" spans="1:18" ht="19.5" hidden="1" thickBot="1" x14ac:dyDescent="0.3">
      <c r="A2057" s="984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  <c r="R2057" s="2"/>
    </row>
    <row r="2058" spans="1:18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  <c r="R2058" s="2"/>
    </row>
    <row r="2059" spans="1:18" ht="19.5" hidden="1" thickBot="1" x14ac:dyDescent="0.3">
      <c r="A2059" s="984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  <c r="R2059" s="2"/>
    </row>
    <row r="2060" spans="1:18" ht="19.5" hidden="1" thickBot="1" x14ac:dyDescent="0.3">
      <c r="A2060" s="984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  <c r="R2060" s="2"/>
    </row>
    <row r="2061" spans="1:18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  <c r="R2061" s="2"/>
    </row>
    <row r="2062" spans="1:18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  <c r="R2062" s="2"/>
    </row>
    <row r="2063" spans="1:18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  <c r="R2063" s="2"/>
    </row>
    <row r="2064" spans="1:18" ht="19.5" hidden="1" thickBot="1" x14ac:dyDescent="0.3">
      <c r="A2064" s="984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  <c r="R2064" s="2"/>
    </row>
    <row r="2065" spans="1:18" ht="19.5" hidden="1" thickBot="1" x14ac:dyDescent="0.3">
      <c r="A2065" s="984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  <c r="R2065" s="2"/>
    </row>
    <row r="2066" spans="1:18" ht="19.5" hidden="1" thickBot="1" x14ac:dyDescent="0.3">
      <c r="A2066" s="985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  <c r="R2066" s="2"/>
    </row>
    <row r="2067" spans="1:18" ht="19.5" hidden="1" thickBot="1" x14ac:dyDescent="0.3">
      <c r="A2067" s="985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  <c r="R2067" s="2"/>
    </row>
    <row r="2068" spans="1:18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  <c r="R2068" s="2"/>
    </row>
    <row r="2069" spans="1:18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  <c r="R2069" s="2"/>
    </row>
    <row r="2070" spans="1:18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  <c r="R2070" s="2"/>
    </row>
    <row r="2071" spans="1:18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  <c r="R2071" s="2"/>
    </row>
    <row r="2072" spans="1:18" ht="19.5" hidden="1" thickBot="1" x14ac:dyDescent="0.3">
      <c r="A2072" s="984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  <c r="R2072" s="2"/>
    </row>
    <row r="2073" spans="1:18" ht="19.5" hidden="1" thickBot="1" x14ac:dyDescent="0.3">
      <c r="A2073" s="984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  <c r="R2073" s="2"/>
    </row>
    <row r="2074" spans="1:18" ht="19.5" hidden="1" thickBot="1" x14ac:dyDescent="0.3">
      <c r="A2074" s="984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  <c r="R2074" s="2"/>
    </row>
    <row r="2075" spans="1:18" ht="19.5" hidden="1" thickBot="1" x14ac:dyDescent="0.3">
      <c r="A2075" s="985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  <c r="R2075" s="2"/>
    </row>
    <row r="2076" spans="1:18" ht="19.5" hidden="1" thickBot="1" x14ac:dyDescent="0.3">
      <c r="A2076" s="985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  <c r="R2076" s="2"/>
    </row>
    <row r="2077" spans="1:18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  <c r="R2077" s="2"/>
    </row>
    <row r="2078" spans="1:18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  <c r="R2078" s="2"/>
    </row>
    <row r="2079" spans="1:18" ht="19.5" hidden="1" thickBot="1" x14ac:dyDescent="0.3">
      <c r="A2079" s="984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  <c r="R2079" s="2"/>
    </row>
    <row r="2080" spans="1:18" ht="19.5" hidden="1" thickBot="1" x14ac:dyDescent="0.3">
      <c r="A2080" s="984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  <c r="R2080" s="2"/>
    </row>
    <row r="2081" spans="1:18" ht="19.5" hidden="1" thickBot="1" x14ac:dyDescent="0.3">
      <c r="A2081" s="984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  <c r="R2081" s="2"/>
    </row>
    <row r="2082" spans="1:18" ht="19.5" hidden="1" thickBot="1" x14ac:dyDescent="0.3">
      <c r="A2082" s="984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  <c r="R2082" s="2"/>
    </row>
    <row r="2083" spans="1:18" ht="19.5" hidden="1" thickBot="1" x14ac:dyDescent="0.3">
      <c r="A2083" s="985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  <c r="R2083" s="2"/>
    </row>
    <row r="2084" spans="1:18" ht="19.5" hidden="1" thickBot="1" x14ac:dyDescent="0.3">
      <c r="A2084" s="985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  <c r="R2084" s="2"/>
    </row>
    <row r="2085" spans="1:18" ht="19.5" hidden="1" thickBot="1" x14ac:dyDescent="0.3">
      <c r="A2085" s="985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  <c r="R2085" s="2"/>
    </row>
    <row r="2086" spans="1:18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  <c r="R2086" s="2"/>
    </row>
    <row r="2087" spans="1:18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  <c r="R2087" s="2"/>
    </row>
    <row r="2088" spans="1:18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  <c r="R2088" s="2"/>
    </row>
    <row r="2089" spans="1:18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  <c r="R2089" s="2"/>
    </row>
    <row r="2090" spans="1:18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  <c r="R2090" s="2"/>
    </row>
    <row r="2091" spans="1:18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  <c r="R2091" s="2"/>
    </row>
    <row r="2092" spans="1:18" ht="19.5" hidden="1" thickBot="1" x14ac:dyDescent="0.3">
      <c r="A2092" s="984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  <c r="R2092" s="2"/>
    </row>
    <row r="2093" spans="1:18" ht="19.5" hidden="1" thickBot="1" x14ac:dyDescent="0.3">
      <c r="A2093" s="984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  <c r="R2093" s="2"/>
    </row>
    <row r="2094" spans="1:18" ht="19.5" hidden="1" thickBot="1" x14ac:dyDescent="0.3">
      <c r="A2094" s="985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  <c r="R2094" s="2"/>
    </row>
    <row r="2095" spans="1:18" ht="19.5" hidden="1" thickBot="1" x14ac:dyDescent="0.3">
      <c r="A2095" s="985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  <c r="R2095" s="2"/>
    </row>
    <row r="2096" spans="1:18" ht="19.5" hidden="1" thickBot="1" x14ac:dyDescent="0.3">
      <c r="A2096" s="984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  <c r="R2096" s="2"/>
    </row>
    <row r="2097" spans="1:18" ht="19.5" hidden="1" thickBot="1" x14ac:dyDescent="0.3">
      <c r="A2097" s="984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  <c r="R2097" s="2"/>
    </row>
    <row r="2098" spans="1:18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  <c r="R2098" s="2"/>
    </row>
    <row r="2099" spans="1:18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  <c r="R2099" s="2"/>
    </row>
    <row r="2100" spans="1:18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  <c r="R2100" s="2"/>
    </row>
    <row r="2101" spans="1:18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  <c r="R2101" s="2"/>
    </row>
    <row r="2102" spans="1:18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  <c r="R2102" s="2"/>
    </row>
    <row r="2103" spans="1:18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  <c r="R2103" s="2"/>
    </row>
    <row r="2104" spans="1:18" ht="19.5" hidden="1" thickBot="1" x14ac:dyDescent="0.3">
      <c r="A2104" s="985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  <c r="R2104" s="2"/>
    </row>
    <row r="2105" spans="1:18" ht="19.5" hidden="1" thickBot="1" x14ac:dyDescent="0.3">
      <c r="A2105" s="985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  <c r="R2105" s="2"/>
    </row>
    <row r="2106" spans="1:18" ht="19.5" hidden="1" thickBot="1" x14ac:dyDescent="0.3">
      <c r="A2106" s="984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  <c r="R2106" s="2"/>
    </row>
    <row r="2107" spans="1:18" ht="19.5" hidden="1" thickBot="1" x14ac:dyDescent="0.3">
      <c r="A2107" s="984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  <c r="R2107" s="2"/>
    </row>
    <row r="2108" spans="1:18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  <c r="R2108" s="2"/>
    </row>
    <row r="2109" spans="1:18" ht="19.5" hidden="1" thickBot="1" x14ac:dyDescent="0.3">
      <c r="A2109" s="984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  <c r="R2109" s="2"/>
    </row>
    <row r="2110" spans="1:18" ht="19.5" hidden="1" thickBot="1" x14ac:dyDescent="0.3">
      <c r="A2110" s="984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  <c r="R2110" s="2"/>
    </row>
    <row r="2111" spans="1:18" ht="19.5" hidden="1" thickBot="1" x14ac:dyDescent="0.3">
      <c r="A2111" s="984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  <c r="R2111" s="2"/>
    </row>
    <row r="2112" spans="1:18" ht="19.5" hidden="1" thickBot="1" x14ac:dyDescent="0.3">
      <c r="A2112" s="984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  <c r="R2112" s="2"/>
    </row>
    <row r="2113" spans="1:18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  <c r="R2113" s="2"/>
    </row>
    <row r="2114" spans="1:18" ht="19.5" hidden="1" thickBot="1" x14ac:dyDescent="0.3">
      <c r="A2114" s="984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  <c r="R2114" s="2"/>
    </row>
    <row r="2115" spans="1:18" ht="19.5" hidden="1" thickBot="1" x14ac:dyDescent="0.3">
      <c r="A2115" s="984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  <c r="R2115" s="2"/>
    </row>
    <row r="2116" spans="1:18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  <c r="R2116" s="2"/>
    </row>
    <row r="2117" spans="1:18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  <c r="R2117" s="2"/>
    </row>
    <row r="2118" spans="1:18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  <c r="R2118" s="2"/>
    </row>
    <row r="2119" spans="1:18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  <c r="R2119" s="2"/>
    </row>
    <row r="2120" spans="1:18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  <c r="R2120" s="2"/>
    </row>
    <row r="2121" spans="1:18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  <c r="R2121" s="2"/>
    </row>
    <row r="2122" spans="1:18" ht="19.5" hidden="1" thickBot="1" x14ac:dyDescent="0.3">
      <c r="A2122" s="985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  <c r="R2122" s="2"/>
    </row>
    <row r="2123" spans="1:18" ht="19.5" hidden="1" thickBot="1" x14ac:dyDescent="0.3">
      <c r="A2123" s="985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  <c r="R2123" s="2"/>
    </row>
    <row r="2124" spans="1:18" ht="19.5" hidden="1" thickBot="1" x14ac:dyDescent="0.3">
      <c r="A2124" s="985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  <c r="R2124" s="2"/>
    </row>
    <row r="2125" spans="1:18" ht="19.5" hidden="1" thickBot="1" x14ac:dyDescent="0.3">
      <c r="A2125" s="985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  <c r="R2125" s="2"/>
    </row>
    <row r="2126" spans="1:18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  <c r="R2126" s="2"/>
    </row>
    <row r="2127" spans="1:18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  <c r="R2127" s="2"/>
    </row>
    <row r="2128" spans="1:18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  <c r="R2128" s="2"/>
    </row>
    <row r="2129" spans="1:18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  <c r="R2129" s="2"/>
    </row>
    <row r="2130" spans="1:18" ht="19.5" hidden="1" thickBot="1" x14ac:dyDescent="0.3">
      <c r="A2130" s="984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  <c r="R2130" s="2"/>
    </row>
    <row r="2131" spans="1:18" ht="19.5" hidden="1" thickBot="1" x14ac:dyDescent="0.3">
      <c r="A2131" s="984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  <c r="R2131" s="2"/>
    </row>
    <row r="2132" spans="1:18" ht="19.5" hidden="1" thickBot="1" x14ac:dyDescent="0.3">
      <c r="A2132" s="985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  <c r="R2132" s="2"/>
    </row>
    <row r="2133" spans="1:18" ht="19.5" hidden="1" thickBot="1" x14ac:dyDescent="0.3">
      <c r="A2133" s="985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  <c r="R2133" s="2"/>
    </row>
    <row r="2134" spans="1:18" ht="19.5" hidden="1" thickBot="1" x14ac:dyDescent="0.3">
      <c r="A2134" s="984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  <c r="R2134" s="2"/>
    </row>
    <row r="2135" spans="1:18" ht="19.5" hidden="1" thickBot="1" x14ac:dyDescent="0.3">
      <c r="A2135" s="984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  <c r="R2135" s="2"/>
    </row>
    <row r="2136" spans="1:18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  <c r="R2136" s="2"/>
    </row>
    <row r="2137" spans="1:18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  <c r="R2137" s="2"/>
    </row>
    <row r="2138" spans="1:18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  <c r="R2138" s="2"/>
    </row>
    <row r="2139" spans="1:18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  <c r="R2139" s="2"/>
    </row>
    <row r="2140" spans="1:18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  <c r="R2140" s="2"/>
    </row>
    <row r="2141" spans="1:18" ht="38.25" hidden="1" thickBot="1" x14ac:dyDescent="0.3">
      <c r="A2141" s="984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  <c r="R2141" s="2"/>
    </row>
    <row r="2142" spans="1:18" ht="38.25" hidden="1" thickBot="1" x14ac:dyDescent="0.3">
      <c r="A2142" s="984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  <c r="R2142" s="2"/>
    </row>
    <row r="2143" spans="1:18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  <c r="R2143" s="2"/>
    </row>
    <row r="2144" spans="1:18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  <c r="R2144" s="2"/>
    </row>
    <row r="2145" spans="1:18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  <c r="R2145" s="2"/>
    </row>
    <row r="2146" spans="1:18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  <c r="R2146" s="2"/>
    </row>
    <row r="2147" spans="1:18" ht="19.5" hidden="1" thickBot="1" x14ac:dyDescent="0.3">
      <c r="A2147" s="985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  <c r="R2147" s="2"/>
    </row>
    <row r="2148" spans="1:18" ht="19.5" hidden="1" thickBot="1" x14ac:dyDescent="0.3">
      <c r="A2148" s="985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  <c r="R2148" s="2"/>
    </row>
    <row r="2149" spans="1:18" ht="19.5" hidden="1" thickBot="1" x14ac:dyDescent="0.3">
      <c r="A2149" s="984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  <c r="R2149" s="2"/>
    </row>
    <row r="2150" spans="1:18" ht="19.5" hidden="1" thickBot="1" x14ac:dyDescent="0.3">
      <c r="A2150" s="984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  <c r="R2150" s="2"/>
    </row>
    <row r="2151" spans="1:18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  <c r="R2151" s="2"/>
    </row>
    <row r="2152" spans="1:18" ht="19.5" hidden="1" thickBot="1" x14ac:dyDescent="0.3">
      <c r="A2152" s="984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  <c r="R2152" s="2"/>
    </row>
    <row r="2153" spans="1:18" ht="19.5" hidden="1" thickBot="1" x14ac:dyDescent="0.3">
      <c r="A2153" s="984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  <c r="R2153" s="2"/>
    </row>
    <row r="2154" spans="1:18" ht="19.5" hidden="1" thickBot="1" x14ac:dyDescent="0.3">
      <c r="A2154" s="984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  <c r="R2154" s="2"/>
    </row>
    <row r="2155" spans="1:18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  <c r="R2155" s="2"/>
    </row>
    <row r="2156" spans="1:18" ht="19.5" hidden="1" thickBot="1" x14ac:dyDescent="0.3">
      <c r="A2156" s="984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  <c r="R2156" s="2"/>
    </row>
    <row r="2157" spans="1:18" ht="19.5" hidden="1" thickBot="1" x14ac:dyDescent="0.3">
      <c r="A2157" s="984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  <c r="R2157" s="2"/>
    </row>
    <row r="2158" spans="1:18" ht="19.5" hidden="1" thickBot="1" x14ac:dyDescent="0.3">
      <c r="A2158" s="985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  <c r="R2158" s="2"/>
    </row>
    <row r="2159" spans="1:18" ht="19.5" hidden="1" thickBot="1" x14ac:dyDescent="0.3">
      <c r="A2159" s="985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  <c r="R2159" s="2"/>
    </row>
    <row r="2160" spans="1:18" ht="19.5" hidden="1" customHeight="1" thickBot="1" x14ac:dyDescent="0.3">
      <c r="A2160" s="997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998" t="s">
        <v>467</v>
      </c>
      <c r="H2160" s="414" t="s">
        <v>515</v>
      </c>
      <c r="I2160" s="415" t="s">
        <v>516</v>
      </c>
      <c r="J2160" s="999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  <c r="R2160" s="2"/>
    </row>
    <row r="2161" spans="1:18" ht="19.5" hidden="1" thickBot="1" x14ac:dyDescent="0.3">
      <c r="A2161" s="997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998"/>
      <c r="H2161" s="421" t="s">
        <v>515</v>
      </c>
      <c r="I2161" s="422" t="s">
        <v>516</v>
      </c>
      <c r="J2161" s="999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  <c r="R2161" s="2"/>
    </row>
    <row r="2162" spans="1:18" ht="19.5" hidden="1" thickBot="1" x14ac:dyDescent="0.3">
      <c r="A2162" s="997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998"/>
      <c r="H2162" s="429" t="s">
        <v>515</v>
      </c>
      <c r="I2162" s="430" t="s">
        <v>516</v>
      </c>
      <c r="J2162" s="999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  <c r="R2162" s="2"/>
    </row>
    <row r="2163" spans="1:18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  <c r="R2163" s="2"/>
    </row>
    <row r="2164" spans="1:18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  <c r="R2164" s="2"/>
    </row>
    <row r="2165" spans="1:18" ht="18.75" hidden="1" customHeight="1" thickBot="1" x14ac:dyDescent="0.3">
      <c r="A2165" s="997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998" t="s">
        <v>467</v>
      </c>
      <c r="H2165" s="414" t="s">
        <v>516</v>
      </c>
      <c r="I2165" s="415" t="s">
        <v>516</v>
      </c>
      <c r="J2165" s="999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  <c r="R2165" s="2"/>
    </row>
    <row r="2166" spans="1:18" ht="19.5" hidden="1" thickBot="1" x14ac:dyDescent="0.3">
      <c r="A2166" s="997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998"/>
      <c r="H2166" s="429" t="s">
        <v>516</v>
      </c>
      <c r="I2166" s="430" t="s">
        <v>516</v>
      </c>
      <c r="J2166" s="999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  <c r="R2166" s="2"/>
    </row>
    <row r="2167" spans="1:18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  <c r="R2167" s="2"/>
    </row>
    <row r="2168" spans="1:18" ht="19.5" hidden="1" thickBot="1" x14ac:dyDescent="0.3">
      <c r="A2168" s="985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  <c r="R2168" s="2"/>
    </row>
    <row r="2169" spans="1:18" ht="19.5" hidden="1" thickBot="1" x14ac:dyDescent="0.3">
      <c r="A2169" s="985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  <c r="R2169" s="2"/>
    </row>
    <row r="2170" spans="1:18" ht="19.5" hidden="1" thickBot="1" x14ac:dyDescent="0.3">
      <c r="A2170" s="985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  <c r="R2170" s="2"/>
    </row>
    <row r="2171" spans="1:18" ht="19.5" hidden="1" thickBot="1" x14ac:dyDescent="0.3">
      <c r="A2171" s="984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  <c r="R2171" s="2"/>
    </row>
    <row r="2172" spans="1:18" ht="19.5" hidden="1" thickBot="1" x14ac:dyDescent="0.3">
      <c r="A2172" s="984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  <c r="R2172" s="2"/>
    </row>
    <row r="2173" spans="1:18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  <c r="R2173" s="2"/>
    </row>
    <row r="2174" spans="1:18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  <c r="R2174" s="2"/>
    </row>
    <row r="2175" spans="1:18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  <c r="R2175" s="2"/>
    </row>
    <row r="2176" spans="1:18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  <c r="R2176" s="2"/>
    </row>
    <row r="2177" spans="1:18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  <c r="R2177" s="2"/>
    </row>
    <row r="2178" spans="1:18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  <c r="R2178" s="2"/>
    </row>
    <row r="2179" spans="1:18" ht="19.5" hidden="1" thickBot="1" x14ac:dyDescent="0.3">
      <c r="A2179" s="985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  <c r="R2179" s="2"/>
    </row>
    <row r="2180" spans="1:18" ht="19.5" hidden="1" thickBot="1" x14ac:dyDescent="0.3">
      <c r="A2180" s="985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  <c r="R2180" s="2"/>
    </row>
    <row r="2181" spans="1:18" ht="19.5" hidden="1" thickBot="1" x14ac:dyDescent="0.3">
      <c r="A2181" s="984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  <c r="R2181" s="2"/>
    </row>
    <row r="2182" spans="1:18" ht="19.5" hidden="1" thickBot="1" x14ac:dyDescent="0.3">
      <c r="A2182" s="984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  <c r="R2182" s="2"/>
    </row>
    <row r="2183" spans="1:18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  <c r="R2183" s="2"/>
    </row>
    <row r="2184" spans="1:18" ht="19.5" hidden="1" thickBot="1" x14ac:dyDescent="0.3">
      <c r="A2184" s="984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  <c r="R2184" s="2"/>
    </row>
    <row r="2185" spans="1:18" ht="19.5" hidden="1" thickBot="1" x14ac:dyDescent="0.3">
      <c r="A2185" s="984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  <c r="R2185" s="2"/>
    </row>
    <row r="2186" spans="1:18" ht="38.25" hidden="1" customHeight="1" thickBot="1" x14ac:dyDescent="0.3">
      <c r="A2186" s="985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990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  <c r="R2186" s="2"/>
    </row>
    <row r="2187" spans="1:18" ht="38.25" hidden="1" customHeight="1" thickBot="1" x14ac:dyDescent="0.3">
      <c r="A2187" s="985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990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  <c r="R2187" s="2"/>
    </row>
    <row r="2188" spans="1:18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  <c r="R2188" s="2"/>
    </row>
    <row r="2189" spans="1:18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  <c r="R2189" s="2"/>
    </row>
    <row r="2190" spans="1:18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  <c r="R2190" s="2"/>
    </row>
    <row r="2191" spans="1:18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  <c r="R2191" s="2"/>
    </row>
    <row r="2192" spans="1:18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  <c r="R2192" s="2"/>
    </row>
    <row r="2193" spans="1:18" ht="19.5" hidden="1" thickBot="1" x14ac:dyDescent="0.3">
      <c r="A2193" s="985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  <c r="R2193" s="2"/>
    </row>
    <row r="2194" spans="1:18" ht="19.5" hidden="1" thickBot="1" x14ac:dyDescent="0.3">
      <c r="A2194" s="985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  <c r="R2194" s="2"/>
    </row>
    <row r="2195" spans="1:18" ht="19.5" hidden="1" thickBot="1" x14ac:dyDescent="0.3">
      <c r="A2195" s="985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  <c r="R2195" s="2"/>
    </row>
    <row r="2196" spans="1:18" ht="19.5" hidden="1" customHeight="1" thickBot="1" x14ac:dyDescent="0.3">
      <c r="A2196" s="984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987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  <c r="R2196" s="2"/>
    </row>
    <row r="2197" spans="1:18" ht="19.5" hidden="1" thickBot="1" x14ac:dyDescent="0.3">
      <c r="A2197" s="984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987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  <c r="R2197" s="2"/>
    </row>
    <row r="2198" spans="1:18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  <c r="R2198" s="2"/>
    </row>
    <row r="2199" spans="1:18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  <c r="R2199" s="2"/>
    </row>
    <row r="2200" spans="1:18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  <c r="R2200" s="2"/>
    </row>
    <row r="2201" spans="1:18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  <c r="R2201" s="2"/>
    </row>
    <row r="2202" spans="1:18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  <c r="R2202" s="2"/>
    </row>
    <row r="2203" spans="1:18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  <c r="R2203" s="2"/>
    </row>
    <row r="2204" spans="1:18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  <c r="R2204" s="2"/>
    </row>
    <row r="2205" spans="1:18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  <c r="R2205" s="2"/>
    </row>
    <row r="2206" spans="1:18" ht="19.5" hidden="1" customHeight="1" thickBot="1" x14ac:dyDescent="0.3">
      <c r="A2206" s="985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995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  <c r="R2206" s="2"/>
    </row>
    <row r="2207" spans="1:18" ht="19.5" hidden="1" thickBot="1" x14ac:dyDescent="0.3">
      <c r="A2207" s="985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995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  <c r="R2207" s="2"/>
    </row>
    <row r="2208" spans="1:18" ht="19.5" hidden="1" customHeight="1" thickBot="1" x14ac:dyDescent="0.3">
      <c r="A2208" s="984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996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  <c r="R2208" s="2"/>
    </row>
    <row r="2209" spans="1:18" ht="19.5" hidden="1" thickBot="1" x14ac:dyDescent="0.3">
      <c r="A2209" s="984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996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  <c r="R2209" s="2"/>
    </row>
    <row r="2210" spans="1:18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  <c r="R2210" s="2"/>
    </row>
    <row r="2211" spans="1:18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  <c r="R2211" s="2"/>
    </row>
    <row r="2212" spans="1:18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  <c r="R2212" s="2"/>
    </row>
    <row r="2213" spans="1:18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  <c r="R2213" s="2"/>
    </row>
    <row r="2214" spans="1:18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  <c r="R2214" s="2"/>
    </row>
    <row r="2215" spans="1:18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  <c r="R2215" s="2"/>
    </row>
    <row r="2216" spans="1:18" ht="19.5" hidden="1" thickBot="1" x14ac:dyDescent="0.3">
      <c r="A2216" s="985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  <c r="R2216" s="2"/>
    </row>
    <row r="2217" spans="1:18" ht="19.5" hidden="1" thickBot="1" x14ac:dyDescent="0.3">
      <c r="A2217" s="985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  <c r="R2217" s="2"/>
    </row>
    <row r="2218" spans="1:18" ht="19.5" hidden="1" thickBot="1" x14ac:dyDescent="0.3">
      <c r="A2218" s="985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  <c r="R2218" s="2"/>
    </row>
    <row r="2219" spans="1:18" ht="19.5" hidden="1" thickBot="1" x14ac:dyDescent="0.3">
      <c r="A2219" s="985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  <c r="R2219" s="2"/>
    </row>
    <row r="2220" spans="1:18" ht="19.5" hidden="1" thickBot="1" x14ac:dyDescent="0.3">
      <c r="A2220" s="984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  <c r="R2220" s="2"/>
    </row>
    <row r="2221" spans="1:18" ht="19.5" hidden="1" thickBot="1" x14ac:dyDescent="0.3">
      <c r="A2221" s="984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  <c r="R2221" s="2"/>
    </row>
    <row r="2222" spans="1:18" ht="19.5" hidden="1" thickBot="1" x14ac:dyDescent="0.3">
      <c r="A2222" s="985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  <c r="R2222" s="2"/>
    </row>
    <row r="2223" spans="1:18" ht="19.5" hidden="1" thickBot="1" x14ac:dyDescent="0.3">
      <c r="A2223" s="985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  <c r="R2223" s="2"/>
    </row>
    <row r="2224" spans="1:18" ht="19.5" hidden="1" thickBot="1" x14ac:dyDescent="0.3">
      <c r="A2224" s="984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  <c r="R2224" s="2"/>
    </row>
    <row r="2225" spans="1:18" ht="19.5" hidden="1" thickBot="1" x14ac:dyDescent="0.3">
      <c r="A2225" s="984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  <c r="R2225" s="2"/>
    </row>
    <row r="2226" spans="1:18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  <c r="R2226" s="2"/>
    </row>
    <row r="2227" spans="1:18" ht="19.5" hidden="1" thickBot="1" x14ac:dyDescent="0.3">
      <c r="A2227" s="984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  <c r="R2227" s="2"/>
    </row>
    <row r="2228" spans="1:18" ht="19.5" hidden="1" thickBot="1" x14ac:dyDescent="0.3">
      <c r="A2228" s="984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  <c r="R2228" s="2"/>
    </row>
    <row r="2229" spans="1:18" ht="19.5" hidden="1" thickBot="1" x14ac:dyDescent="0.3">
      <c r="A2229" s="984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  <c r="R2229" s="2"/>
    </row>
    <row r="2230" spans="1:18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  <c r="R2230" s="2"/>
    </row>
    <row r="2231" spans="1:18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  <c r="R2231" s="2"/>
    </row>
    <row r="2232" spans="1:18" ht="19.5" hidden="1" thickBot="1" x14ac:dyDescent="0.3">
      <c r="A2232" s="985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  <c r="R2232" s="2"/>
    </row>
    <row r="2233" spans="1:18" ht="19.5" hidden="1" thickBot="1" x14ac:dyDescent="0.3">
      <c r="A2233" s="985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  <c r="R2233" s="2"/>
    </row>
    <row r="2234" spans="1:18" ht="19.5" hidden="1" thickBot="1" x14ac:dyDescent="0.3">
      <c r="A2234" s="985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  <c r="R2234" s="2"/>
    </row>
    <row r="2235" spans="1:18" ht="19.5" hidden="1" thickBot="1" x14ac:dyDescent="0.3">
      <c r="A2235" s="984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  <c r="R2235" s="2"/>
    </row>
    <row r="2236" spans="1:18" ht="19.5" hidden="1" thickBot="1" x14ac:dyDescent="0.3">
      <c r="A2236" s="984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  <c r="R2236" s="2"/>
    </row>
    <row r="2237" spans="1:18" ht="19.5" hidden="1" thickBot="1" x14ac:dyDescent="0.3">
      <c r="A2237" s="984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  <c r="R2237" s="2"/>
    </row>
    <row r="2238" spans="1:18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  <c r="R2238" s="2"/>
    </row>
    <row r="2239" spans="1:18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  <c r="R2239" s="2"/>
    </row>
    <row r="2240" spans="1:18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  <c r="R2240" s="2"/>
    </row>
    <row r="2241" spans="1:18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  <c r="R2241" s="2"/>
    </row>
    <row r="2242" spans="1:18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  <c r="R2242" s="2"/>
    </row>
    <row r="2243" spans="1:18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  <c r="R2243" s="2"/>
    </row>
    <row r="2244" spans="1:18" ht="19.5" hidden="1" thickBot="1" x14ac:dyDescent="0.3">
      <c r="A2244" s="985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  <c r="R2244" s="2"/>
    </row>
    <row r="2245" spans="1:18" ht="19.5" hidden="1" thickBot="1" x14ac:dyDescent="0.3">
      <c r="A2245" s="985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  <c r="R2245" s="2"/>
    </row>
    <row r="2246" spans="1:18" ht="19.5" hidden="1" thickBot="1" x14ac:dyDescent="0.3">
      <c r="A2246" s="984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  <c r="R2246" s="2"/>
    </row>
    <row r="2247" spans="1:18" ht="19.5" hidden="1" thickBot="1" x14ac:dyDescent="0.3">
      <c r="A2247" s="984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  <c r="R2247" s="2"/>
    </row>
    <row r="2248" spans="1:18" ht="19.5" hidden="1" thickBot="1" x14ac:dyDescent="0.3">
      <c r="A2248" s="984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  <c r="R2248" s="2"/>
    </row>
    <row r="2249" spans="1:18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  <c r="R2249" s="2"/>
    </row>
    <row r="2250" spans="1:18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  <c r="R2250" s="2"/>
    </row>
    <row r="2251" spans="1:18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  <c r="R2251" s="2"/>
    </row>
    <row r="2252" spans="1:18" ht="19.5" hidden="1" thickBot="1" x14ac:dyDescent="0.3">
      <c r="A2252" s="984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  <c r="R2252" s="2"/>
    </row>
    <row r="2253" spans="1:18" ht="19.5" hidden="1" thickBot="1" x14ac:dyDescent="0.3">
      <c r="A2253" s="984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  <c r="R2253" s="2"/>
    </row>
    <row r="2254" spans="1:18" ht="19.5" hidden="1" thickBot="1" x14ac:dyDescent="0.3">
      <c r="A2254" s="984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  <c r="R2254" s="2"/>
    </row>
    <row r="2255" spans="1:18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  <c r="R2255" s="2"/>
    </row>
    <row r="2256" spans="1:18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  <c r="R2256" s="2"/>
    </row>
    <row r="2257" spans="1:18" ht="19.5" hidden="1" thickBot="1" x14ac:dyDescent="0.3">
      <c r="A2257" s="985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  <c r="R2257" s="2"/>
    </row>
    <row r="2258" spans="1:18" ht="19.5" hidden="1" thickBot="1" x14ac:dyDescent="0.3">
      <c r="A2258" s="985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  <c r="R2258" s="2"/>
    </row>
    <row r="2259" spans="1:18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  <c r="R2259" s="2"/>
    </row>
    <row r="2260" spans="1:18" ht="19.5" hidden="1" thickBot="1" x14ac:dyDescent="0.3">
      <c r="A2260" s="985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  <c r="R2260" s="2"/>
    </row>
    <row r="2261" spans="1:18" ht="19.5" hidden="1" thickBot="1" x14ac:dyDescent="0.3">
      <c r="A2261" s="985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  <c r="R2261" s="2"/>
    </row>
    <row r="2262" spans="1:18" ht="19.5" hidden="1" thickBot="1" x14ac:dyDescent="0.3">
      <c r="A2262" s="984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  <c r="R2262" s="2"/>
    </row>
    <row r="2263" spans="1:18" ht="19.5" hidden="1" thickBot="1" x14ac:dyDescent="0.3">
      <c r="A2263" s="984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  <c r="R2263" s="2"/>
    </row>
    <row r="2264" spans="1:18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  <c r="R2264" s="2"/>
    </row>
    <row r="2265" spans="1:18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  <c r="R2265" s="2"/>
    </row>
    <row r="2266" spans="1:18" ht="19.5" hidden="1" thickBot="1" x14ac:dyDescent="0.3">
      <c r="A2266" s="985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  <c r="R2266" s="2"/>
    </row>
    <row r="2267" spans="1:18" ht="19.5" hidden="1" thickBot="1" x14ac:dyDescent="0.3">
      <c r="A2267" s="985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  <c r="R2267" s="2"/>
    </row>
    <row r="2268" spans="1:18" ht="19.5" hidden="1" thickBot="1" x14ac:dyDescent="0.3">
      <c r="A2268" s="985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  <c r="R2268" s="2"/>
    </row>
    <row r="2269" spans="1:18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  <c r="R2269" s="2"/>
    </row>
    <row r="2270" spans="1:18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  <c r="R2270" s="2"/>
    </row>
    <row r="2271" spans="1:18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  <c r="R2271" s="2"/>
    </row>
    <row r="2272" spans="1:18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  <c r="R2272" s="2"/>
    </row>
    <row r="2273" spans="1:18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  <c r="R2273" s="2"/>
    </row>
    <row r="2274" spans="1:18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  <c r="R2274" s="2"/>
    </row>
    <row r="2275" spans="1:18" ht="19.5" hidden="1" thickBot="1" x14ac:dyDescent="0.3">
      <c r="A2275" s="984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  <c r="R2275" s="2"/>
    </row>
    <row r="2276" spans="1:18" ht="19.5" hidden="1" thickBot="1" x14ac:dyDescent="0.3">
      <c r="A2276" s="984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  <c r="R2276" s="2"/>
    </row>
    <row r="2277" spans="1:18" ht="19.5" hidden="1" thickBot="1" x14ac:dyDescent="0.3">
      <c r="A2277" s="984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  <c r="R2277" s="2"/>
    </row>
    <row r="2278" spans="1:18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  <c r="R2278" s="2"/>
    </row>
    <row r="2279" spans="1:18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  <c r="R2279" s="2"/>
    </row>
    <row r="2280" spans="1:18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  <c r="R2280" s="2"/>
    </row>
    <row r="2281" spans="1:18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  <c r="R2281" s="2"/>
    </row>
    <row r="2282" spans="1:18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  <c r="R2282" s="2"/>
    </row>
    <row r="2283" spans="1:18" ht="19.5" hidden="1" thickBot="1" x14ac:dyDescent="0.3">
      <c r="A2283" s="984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  <c r="R2283" s="2"/>
    </row>
    <row r="2284" spans="1:18" ht="19.5" hidden="1" thickBot="1" x14ac:dyDescent="0.3">
      <c r="A2284" s="984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  <c r="R2284" s="2"/>
    </row>
    <row r="2285" spans="1:18" ht="19.5" hidden="1" thickBot="1" x14ac:dyDescent="0.3">
      <c r="A2285" s="984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  <c r="R2285" s="2"/>
    </row>
    <row r="2286" spans="1:18" ht="19.5" hidden="1" thickBot="1" x14ac:dyDescent="0.3">
      <c r="A2286" s="985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  <c r="R2286" s="2"/>
    </row>
    <row r="2287" spans="1:18" ht="19.5" hidden="1" thickBot="1" x14ac:dyDescent="0.3">
      <c r="A2287" s="985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  <c r="R2287" s="2"/>
    </row>
    <row r="2288" spans="1:18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  <c r="R2288" s="2"/>
    </row>
    <row r="2289" spans="1:18" ht="19.5" hidden="1" thickBot="1" x14ac:dyDescent="0.3">
      <c r="A2289" s="985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  <c r="R2289" s="2"/>
    </row>
    <row r="2290" spans="1:18" ht="38.25" hidden="1" thickBot="1" x14ac:dyDescent="0.3">
      <c r="A2290" s="985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  <c r="R2290" s="2"/>
    </row>
    <row r="2291" spans="1:18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  <c r="R2291" s="2"/>
    </row>
    <row r="2292" spans="1:18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  <c r="R2292" s="2"/>
    </row>
    <row r="2293" spans="1:18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  <c r="R2293" s="2"/>
    </row>
    <row r="2294" spans="1:18" ht="19.5" hidden="1" thickBot="1" x14ac:dyDescent="0.3">
      <c r="A2294" s="985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  <c r="R2294" s="2"/>
    </row>
    <row r="2295" spans="1:18" ht="19.5" hidden="1" thickBot="1" x14ac:dyDescent="0.3">
      <c r="A2295" s="985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  <c r="R2295" s="2"/>
    </row>
    <row r="2296" spans="1:18" ht="19.5" hidden="1" thickBot="1" x14ac:dyDescent="0.3">
      <c r="A2296" s="985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  <c r="R2296" s="2"/>
    </row>
    <row r="2297" spans="1:18" ht="19.5" hidden="1" thickBot="1" x14ac:dyDescent="0.3">
      <c r="A2297" s="984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  <c r="R2297" s="2"/>
    </row>
    <row r="2298" spans="1:18" ht="19.5" hidden="1" thickBot="1" x14ac:dyDescent="0.3">
      <c r="A2298" s="984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  <c r="R2298" s="2"/>
    </row>
    <row r="2299" spans="1:18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  <c r="R2299" s="2"/>
    </row>
    <row r="2300" spans="1:18" ht="19.5" hidden="1" thickBot="1" x14ac:dyDescent="0.3">
      <c r="A2300" s="984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  <c r="R2300" s="2"/>
    </row>
    <row r="2301" spans="1:18" ht="19.5" hidden="1" thickBot="1" x14ac:dyDescent="0.3">
      <c r="A2301" s="984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  <c r="R2301" s="2"/>
    </row>
    <row r="2302" spans="1:18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  <c r="R2302" s="2"/>
    </row>
    <row r="2303" spans="1:18" ht="19.5" hidden="1" thickBot="1" x14ac:dyDescent="0.3">
      <c r="A2303" s="984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  <c r="R2303" s="2"/>
    </row>
    <row r="2304" spans="1:18" ht="19.5" hidden="1" thickBot="1" x14ac:dyDescent="0.3">
      <c r="A2304" s="984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  <c r="R2304" s="2"/>
    </row>
    <row r="2305" spans="1:18" ht="19.5" hidden="1" thickBot="1" x14ac:dyDescent="0.3">
      <c r="A2305" s="984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  <c r="R2305" s="2"/>
    </row>
    <row r="2306" spans="1:18" ht="19.5" hidden="1" thickBot="1" x14ac:dyDescent="0.3">
      <c r="A2306" s="985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  <c r="R2306" s="2"/>
    </row>
    <row r="2307" spans="1:18" ht="19.5" hidden="1" thickBot="1" x14ac:dyDescent="0.3">
      <c r="A2307" s="985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  <c r="R2307" s="2"/>
    </row>
    <row r="2308" spans="1:18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  <c r="R2308" s="2"/>
    </row>
    <row r="2309" spans="1:18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  <c r="R2309" s="2"/>
    </row>
    <row r="2310" spans="1:18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  <c r="R2310" s="2"/>
    </row>
    <row r="2311" spans="1:18" ht="19.5" hidden="1" thickBot="1" x14ac:dyDescent="0.3">
      <c r="A2311" s="985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  <c r="R2311" s="2"/>
    </row>
    <row r="2312" spans="1:18" ht="19.5" hidden="1" thickBot="1" x14ac:dyDescent="0.3">
      <c r="A2312" s="985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  <c r="R2312" s="2"/>
    </row>
    <row r="2313" spans="1:18" ht="19.5" hidden="1" thickBot="1" x14ac:dyDescent="0.3">
      <c r="A2313" s="985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  <c r="R2313" s="2"/>
    </row>
    <row r="2314" spans="1:18" ht="19.5" hidden="1" thickBot="1" x14ac:dyDescent="0.3">
      <c r="A2314" s="984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  <c r="R2314" s="2"/>
    </row>
    <row r="2315" spans="1:18" ht="19.5" hidden="1" thickBot="1" x14ac:dyDescent="0.3">
      <c r="A2315" s="984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  <c r="R2315" s="2"/>
    </row>
    <row r="2316" spans="1:18" ht="19.5" hidden="1" thickBot="1" x14ac:dyDescent="0.3">
      <c r="A2316" s="984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  <c r="R2316" s="2"/>
    </row>
    <row r="2317" spans="1:18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  <c r="R2317" s="2"/>
    </row>
    <row r="2318" spans="1:18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  <c r="R2318" s="2"/>
    </row>
    <row r="2319" spans="1:18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  <c r="R2319" s="2"/>
    </row>
    <row r="2320" spans="1:18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  <c r="R2320" s="2"/>
    </row>
    <row r="2321" spans="1:18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  <c r="R2321" s="2"/>
    </row>
    <row r="2322" spans="1:18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  <c r="R2322" s="2"/>
    </row>
    <row r="2323" spans="1:18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  <c r="R2323" s="2"/>
    </row>
    <row r="2324" spans="1:18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  <c r="R2324" s="2"/>
    </row>
    <row r="2325" spans="1:18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  <c r="R2325" s="2"/>
    </row>
    <row r="2326" spans="1:18" ht="19.5" hidden="1" thickBot="1" x14ac:dyDescent="0.3">
      <c r="A2326" s="984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  <c r="R2326" s="2"/>
    </row>
    <row r="2327" spans="1:18" ht="19.5" hidden="1" thickBot="1" x14ac:dyDescent="0.3">
      <c r="A2327" s="984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  <c r="R2327" s="2"/>
    </row>
    <row r="2328" spans="1:18" ht="19.5" hidden="1" thickBot="1" x14ac:dyDescent="0.3">
      <c r="A2328" s="988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  <c r="R2328" s="2"/>
    </row>
    <row r="2329" spans="1:18" ht="19.5" hidden="1" thickBot="1" x14ac:dyDescent="0.3">
      <c r="A2329" s="988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  <c r="R2329" s="2"/>
    </row>
    <row r="2330" spans="1:18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  <c r="R2330" s="2"/>
    </row>
    <row r="2331" spans="1:18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  <c r="R2331" s="2"/>
    </row>
    <row r="2332" spans="1:18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  <c r="R2332" s="2"/>
    </row>
    <row r="2333" spans="1:18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  <c r="R2333" s="2"/>
    </row>
    <row r="2334" spans="1:18" ht="19.5" hidden="1" thickBot="1" x14ac:dyDescent="0.3">
      <c r="A2334" s="984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  <c r="R2334" s="2"/>
    </row>
    <row r="2335" spans="1:18" ht="19.5" hidden="1" thickBot="1" x14ac:dyDescent="0.3">
      <c r="A2335" s="984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  <c r="R2335" s="2"/>
    </row>
    <row r="2336" spans="1:18" ht="19.5" hidden="1" thickBot="1" x14ac:dyDescent="0.3">
      <c r="A2336" s="984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  <c r="R2336" s="2"/>
    </row>
    <row r="2337" spans="1:18" ht="19.5" hidden="1" thickBot="1" x14ac:dyDescent="0.3">
      <c r="A2337" s="985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  <c r="R2337" s="2"/>
    </row>
    <row r="2338" spans="1:18" ht="19.5" hidden="1" thickBot="1" x14ac:dyDescent="0.3">
      <c r="A2338" s="985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  <c r="R2338" s="2"/>
    </row>
    <row r="2339" spans="1:18" ht="19.5" hidden="1" thickBot="1" x14ac:dyDescent="0.3">
      <c r="A2339" s="984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  <c r="R2339" s="2"/>
    </row>
    <row r="2340" spans="1:18" ht="19.5" hidden="1" thickBot="1" x14ac:dyDescent="0.3">
      <c r="A2340" s="984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  <c r="R2340" s="2"/>
    </row>
    <row r="2341" spans="1:18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  <c r="R2341" s="2"/>
    </row>
    <row r="2342" spans="1:18" ht="19.5" hidden="1" thickBot="1" x14ac:dyDescent="0.3">
      <c r="A2342" s="984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  <c r="R2342" s="2"/>
    </row>
    <row r="2343" spans="1:18" ht="19.5" hidden="1" thickBot="1" x14ac:dyDescent="0.3">
      <c r="A2343" s="984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  <c r="R2343" s="2"/>
    </row>
    <row r="2344" spans="1:18" ht="19.5" hidden="1" thickBot="1" x14ac:dyDescent="0.3">
      <c r="A2344" s="984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  <c r="R2344" s="2"/>
    </row>
    <row r="2345" spans="1:18" ht="38.25" hidden="1" thickBot="1" x14ac:dyDescent="0.3">
      <c r="A2345" s="984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  <c r="R2345" s="2"/>
    </row>
    <row r="2346" spans="1:18" ht="38.25" hidden="1" thickBot="1" x14ac:dyDescent="0.3">
      <c r="A2346" s="984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  <c r="R2346" s="2"/>
    </row>
    <row r="2347" spans="1:18" ht="19.5" hidden="1" thickBot="1" x14ac:dyDescent="0.3">
      <c r="A2347" s="985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  <c r="R2347" s="2"/>
    </row>
    <row r="2348" spans="1:18" ht="19.5" hidden="1" thickBot="1" x14ac:dyDescent="0.3">
      <c r="A2348" s="985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  <c r="R2348" s="2"/>
    </row>
    <row r="2349" spans="1:18" ht="38.25" hidden="1" thickBot="1" x14ac:dyDescent="0.3">
      <c r="A2349" s="985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  <c r="R2349" s="2"/>
    </row>
    <row r="2350" spans="1:18" ht="38.25" hidden="1" thickBot="1" x14ac:dyDescent="0.3">
      <c r="A2350" s="985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  <c r="R2350" s="2"/>
    </row>
    <row r="2351" spans="1:18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  <c r="R2351" s="2"/>
    </row>
    <row r="2352" spans="1:18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  <c r="R2352" s="2"/>
    </row>
    <row r="2353" spans="1:18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  <c r="R2353" s="2"/>
    </row>
    <row r="2354" spans="1:18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  <c r="R2354" s="2"/>
    </row>
    <row r="2355" spans="1:18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  <c r="R2355" s="2"/>
    </row>
    <row r="2356" spans="1:18" ht="19.5" hidden="1" thickBot="1" x14ac:dyDescent="0.3">
      <c r="A2356" s="985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  <c r="R2356" s="2"/>
    </row>
    <row r="2357" spans="1:18" ht="19.5" hidden="1" thickBot="1" x14ac:dyDescent="0.3">
      <c r="A2357" s="985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  <c r="R2357" s="2"/>
    </row>
    <row r="2358" spans="1:18" ht="19.5" hidden="1" thickBot="1" x14ac:dyDescent="0.3">
      <c r="A2358" s="985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  <c r="R2358" s="2"/>
    </row>
    <row r="2359" spans="1:18" ht="19.5" hidden="1" thickBot="1" x14ac:dyDescent="0.3">
      <c r="A2359" s="985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  <c r="R2359" s="2"/>
    </row>
    <row r="2360" spans="1:18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  <c r="R2360" s="2"/>
    </row>
    <row r="2361" spans="1:18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  <c r="R2361" s="2"/>
    </row>
    <row r="2362" spans="1:18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  <c r="R2362" s="2"/>
    </row>
    <row r="2363" spans="1:18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  <c r="R2363" s="2"/>
    </row>
    <row r="2364" spans="1:18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  <c r="R2364" s="2"/>
    </row>
    <row r="2365" spans="1:18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  <c r="R2365" s="2"/>
    </row>
    <row r="2366" spans="1:18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  <c r="R2366" s="2"/>
    </row>
    <row r="2367" spans="1:18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  <c r="R2367" s="2"/>
    </row>
    <row r="2368" spans="1:18" ht="19.5" hidden="1" thickBot="1" x14ac:dyDescent="0.3">
      <c r="A2368" s="986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  <c r="R2368" s="2"/>
    </row>
    <row r="2369" spans="1:18" ht="19.5" hidden="1" thickBot="1" x14ac:dyDescent="0.3">
      <c r="A2369" s="986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  <c r="R2369" s="2"/>
    </row>
    <row r="2370" spans="1:18" ht="19.5" hidden="1" thickBot="1" x14ac:dyDescent="0.3">
      <c r="A2370" s="986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  <c r="R2370" s="2"/>
    </row>
    <row r="2371" spans="1:18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  <c r="R2371" s="2"/>
    </row>
    <row r="2372" spans="1:18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  <c r="R2372" s="2"/>
    </row>
    <row r="2373" spans="1:18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  <c r="R2373" s="2"/>
    </row>
    <row r="2374" spans="1:18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  <c r="R2374" s="2"/>
    </row>
    <row r="2375" spans="1:18" ht="19.5" hidden="1" thickBot="1" x14ac:dyDescent="0.3">
      <c r="A2375" s="985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  <c r="R2375" s="2"/>
    </row>
    <row r="2376" spans="1:18" ht="38.25" hidden="1" thickBot="1" x14ac:dyDescent="0.3">
      <c r="A2376" s="985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  <c r="R2376" s="2"/>
    </row>
    <row r="2377" spans="1:18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  <c r="R2377" s="2"/>
    </row>
    <row r="2378" spans="1:18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  <c r="R2378" s="2"/>
    </row>
    <row r="2379" spans="1:18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  <c r="R2379" s="2"/>
    </row>
    <row r="2380" spans="1:18" ht="19.5" hidden="1" thickBot="1" x14ac:dyDescent="0.3">
      <c r="A2380" s="985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  <c r="R2380" s="2"/>
    </row>
    <row r="2381" spans="1:18" ht="19.5" hidden="1" thickBot="1" x14ac:dyDescent="0.3">
      <c r="A2381" s="985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  <c r="R2381" s="2"/>
    </row>
    <row r="2382" spans="1:18" ht="19.5" hidden="1" thickBot="1" x14ac:dyDescent="0.3">
      <c r="A2382" s="985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  <c r="R2382" s="2"/>
    </row>
    <row r="2383" spans="1:18" ht="19.5" hidden="1" thickBot="1" x14ac:dyDescent="0.3">
      <c r="A2383" s="984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  <c r="R2383" s="2"/>
    </row>
    <row r="2384" spans="1:18" ht="19.5" hidden="1" thickBot="1" x14ac:dyDescent="0.3">
      <c r="A2384" s="984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  <c r="R2384" s="2"/>
    </row>
    <row r="2385" spans="1:18" ht="19.5" hidden="1" thickBot="1" x14ac:dyDescent="0.3">
      <c r="A2385" s="985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  <c r="R2385" s="2"/>
    </row>
    <row r="2386" spans="1:18" ht="19.5" hidden="1" thickBot="1" x14ac:dyDescent="0.3">
      <c r="A2386" s="985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  <c r="R2386" s="2"/>
    </row>
    <row r="2387" spans="1:18" ht="38.25" hidden="1" thickBot="1" x14ac:dyDescent="0.3">
      <c r="A2387" s="985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  <c r="R2387" s="2"/>
    </row>
    <row r="2388" spans="1:18" ht="19.5" hidden="1" thickBot="1" x14ac:dyDescent="0.3">
      <c r="A2388" s="984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  <c r="R2388" s="2"/>
    </row>
    <row r="2389" spans="1:18" ht="19.5" hidden="1" thickBot="1" x14ac:dyDescent="0.3">
      <c r="A2389" s="984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  <c r="R2389" s="2"/>
    </row>
    <row r="2390" spans="1:18" ht="19.5" hidden="1" thickBot="1" x14ac:dyDescent="0.3">
      <c r="A2390" s="984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  <c r="R2390" s="2"/>
    </row>
    <row r="2391" spans="1:18" ht="38.25" hidden="1" thickBot="1" x14ac:dyDescent="0.3">
      <c r="A2391" s="984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  <c r="R2391" s="2"/>
    </row>
    <row r="2392" spans="1:18" ht="38.25" hidden="1" thickBot="1" x14ac:dyDescent="0.3">
      <c r="A2392" s="984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  <c r="R2392" s="2"/>
    </row>
    <row r="2393" spans="1:18" ht="19.5" hidden="1" thickBot="1" x14ac:dyDescent="0.3">
      <c r="A2393" s="985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  <c r="R2393" s="2"/>
    </row>
    <row r="2394" spans="1:18" ht="38.25" hidden="1" thickBot="1" x14ac:dyDescent="0.3">
      <c r="A2394" s="985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  <c r="R2394" s="2"/>
    </row>
    <row r="2395" spans="1:18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  <c r="R2395" s="2"/>
    </row>
    <row r="2396" spans="1:18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  <c r="R2396" s="2"/>
    </row>
    <row r="2397" spans="1:18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  <c r="R2397" s="2"/>
    </row>
    <row r="2398" spans="1:18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  <c r="R2398" s="2"/>
    </row>
    <row r="2399" spans="1:18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  <c r="R2399" s="2"/>
    </row>
    <row r="2400" spans="1:18" ht="19.5" hidden="1" thickBot="1" x14ac:dyDescent="0.3">
      <c r="A2400" s="985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  <c r="R2400" s="2"/>
    </row>
    <row r="2401" spans="1:18" ht="19.5" hidden="1" thickBot="1" x14ac:dyDescent="0.3">
      <c r="A2401" s="985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  <c r="R2401" s="2"/>
    </row>
    <row r="2402" spans="1:18" ht="19.5" hidden="1" thickBot="1" x14ac:dyDescent="0.3">
      <c r="A2402" s="985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  <c r="R2402" s="2"/>
    </row>
    <row r="2403" spans="1:18" ht="19.5" hidden="1" thickBot="1" x14ac:dyDescent="0.3">
      <c r="A2403" s="986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  <c r="R2403" s="2"/>
    </row>
    <row r="2404" spans="1:18" ht="19.5" hidden="1" thickBot="1" x14ac:dyDescent="0.3">
      <c r="A2404" s="986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  <c r="R2404" s="2"/>
    </row>
    <row r="2405" spans="1:18" ht="19.5" hidden="1" thickBot="1" x14ac:dyDescent="0.3">
      <c r="A2405" s="986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  <c r="R2405" s="2"/>
    </row>
    <row r="2406" spans="1:18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  <c r="R2406" s="2"/>
    </row>
    <row r="2407" spans="1:18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  <c r="R2407" s="2"/>
    </row>
    <row r="2408" spans="1:18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  <c r="R2408" s="2"/>
    </row>
    <row r="2409" spans="1:18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  <c r="R2409" s="2"/>
    </row>
    <row r="2410" spans="1:18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  <c r="R2410" s="2"/>
    </row>
    <row r="2411" spans="1:18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  <c r="R2411" s="2"/>
    </row>
    <row r="2412" spans="1:18" ht="19.5" hidden="1" thickBot="1" x14ac:dyDescent="0.3">
      <c r="A2412" s="985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  <c r="R2412" s="2"/>
    </row>
    <row r="2413" spans="1:18" ht="19.5" hidden="1" thickBot="1" x14ac:dyDescent="0.3">
      <c r="A2413" s="985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  <c r="R2413" s="2"/>
    </row>
    <row r="2414" spans="1:18" ht="19.5" hidden="1" thickBot="1" x14ac:dyDescent="0.3">
      <c r="A2414" s="986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  <c r="R2414" s="2"/>
    </row>
    <row r="2415" spans="1:18" ht="19.5" hidden="1" thickBot="1" x14ac:dyDescent="0.3">
      <c r="A2415" s="986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  <c r="R2415" s="2"/>
    </row>
    <row r="2416" spans="1:18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  <c r="R2416" s="2"/>
    </row>
    <row r="2417" spans="1:18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  <c r="R2417" s="2"/>
    </row>
    <row r="2418" spans="1:18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  <c r="R2418" s="2"/>
    </row>
    <row r="2419" spans="1:18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  <c r="R2419" s="2"/>
    </row>
    <row r="2420" spans="1:18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  <c r="R2420" s="2"/>
    </row>
    <row r="2421" spans="1:18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  <c r="R2421" s="2"/>
    </row>
    <row r="2422" spans="1:18" ht="19.5" hidden="1" thickBot="1" x14ac:dyDescent="0.3">
      <c r="A2422" s="985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  <c r="R2422" s="2"/>
    </row>
    <row r="2423" spans="1:18" ht="19.5" hidden="1" thickBot="1" x14ac:dyDescent="0.3">
      <c r="A2423" s="985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  <c r="R2423" s="2"/>
    </row>
    <row r="2424" spans="1:18" ht="19.5" hidden="1" thickBot="1" x14ac:dyDescent="0.3">
      <c r="A2424" s="985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  <c r="R2424" s="2"/>
    </row>
    <row r="2425" spans="1:18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  <c r="R2425" s="2"/>
    </row>
    <row r="2426" spans="1:18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  <c r="R2426" s="2"/>
    </row>
    <row r="2427" spans="1:18" ht="19.5" hidden="1" thickBot="1" x14ac:dyDescent="0.3">
      <c r="A2427" s="984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  <c r="R2427" s="2"/>
    </row>
    <row r="2428" spans="1:18" ht="19.5" hidden="1" thickBot="1" x14ac:dyDescent="0.3">
      <c r="A2428" s="984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  <c r="R2428" s="2"/>
    </row>
    <row r="2429" spans="1:18" ht="38.25" hidden="1" thickBot="1" x14ac:dyDescent="0.3">
      <c r="A2429" s="984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  <c r="R2429" s="2"/>
    </row>
    <row r="2430" spans="1:18" ht="38.25" hidden="1" thickBot="1" x14ac:dyDescent="0.3">
      <c r="A2430" s="984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  <c r="R2430" s="2"/>
    </row>
    <row r="2431" spans="1:18" ht="19.5" hidden="1" thickBot="1" x14ac:dyDescent="0.3">
      <c r="A2431" s="985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  <c r="R2431" s="2"/>
    </row>
    <row r="2432" spans="1:18" ht="19.5" hidden="1" thickBot="1" x14ac:dyDescent="0.3">
      <c r="A2432" s="985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  <c r="R2432" s="2"/>
    </row>
    <row r="2433" spans="1:18" ht="19.5" hidden="1" thickBot="1" x14ac:dyDescent="0.3">
      <c r="A2433" s="985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  <c r="R2433" s="2"/>
    </row>
    <row r="2434" spans="1:18" ht="38.25" hidden="1" thickBot="1" x14ac:dyDescent="0.3">
      <c r="A2434" s="985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  <c r="R2434" s="2"/>
    </row>
    <row r="2435" spans="1:18" ht="38.25" hidden="1" thickBot="1" x14ac:dyDescent="0.3">
      <c r="A2435" s="985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  <c r="R2435" s="2"/>
    </row>
    <row r="2436" spans="1:18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  <c r="R2436" s="2"/>
    </row>
    <row r="2437" spans="1:18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  <c r="R2437" s="2"/>
    </row>
    <row r="2438" spans="1:18" ht="19.5" hidden="1" thickBot="1" x14ac:dyDescent="0.3">
      <c r="A2438" s="984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  <c r="R2438" s="2"/>
    </row>
    <row r="2439" spans="1:18" ht="19.5" hidden="1" thickBot="1" x14ac:dyDescent="0.3">
      <c r="A2439" s="984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  <c r="R2439" s="2"/>
    </row>
    <row r="2440" spans="1:18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  <c r="R2440" s="2"/>
    </row>
    <row r="2441" spans="1:18" ht="19.5" hidden="1" thickBot="1" x14ac:dyDescent="0.3">
      <c r="A2441" s="984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  <c r="R2441" s="2"/>
    </row>
    <row r="2442" spans="1:18" ht="19.5" hidden="1" thickBot="1" x14ac:dyDescent="0.3">
      <c r="A2442" s="984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  <c r="R2442" s="2"/>
    </row>
    <row r="2443" spans="1:18" ht="19.5" hidden="1" thickBot="1" x14ac:dyDescent="0.3">
      <c r="A2443" s="984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  <c r="R2443" s="2"/>
    </row>
    <row r="2444" spans="1:18" ht="19.5" hidden="1" thickBot="1" x14ac:dyDescent="0.3">
      <c r="A2444" s="984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  <c r="R2444" s="2"/>
    </row>
    <row r="2445" spans="1:18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  <c r="R2445" s="2"/>
    </row>
    <row r="2446" spans="1:18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  <c r="R2446" s="2"/>
    </row>
    <row r="2447" spans="1:18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  <c r="R2447" s="2"/>
    </row>
    <row r="2448" spans="1:18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  <c r="R2448" s="2"/>
    </row>
    <row r="2449" spans="1:18" ht="19.5" hidden="1" thickBot="1" x14ac:dyDescent="0.3">
      <c r="A2449" s="985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  <c r="R2449" s="2"/>
    </row>
    <row r="2450" spans="1:18" ht="19.5" hidden="1" thickBot="1" x14ac:dyDescent="0.3">
      <c r="A2450" s="985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  <c r="R2450" s="2"/>
    </row>
    <row r="2451" spans="1:18" ht="19.5" hidden="1" thickBot="1" x14ac:dyDescent="0.3">
      <c r="A2451" s="984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  <c r="R2451" s="2"/>
    </row>
    <row r="2452" spans="1:18" ht="19.5" hidden="1" thickBot="1" x14ac:dyDescent="0.3">
      <c r="A2452" s="984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  <c r="R2452" s="2"/>
    </row>
    <row r="2453" spans="1:18" ht="19.5" hidden="1" thickBot="1" x14ac:dyDescent="0.3">
      <c r="A2453" s="988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  <c r="R2453" s="2"/>
    </row>
    <row r="2454" spans="1:18" ht="19.5" hidden="1" thickBot="1" x14ac:dyDescent="0.3">
      <c r="A2454" s="988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  <c r="R2454" s="2"/>
    </row>
    <row r="2455" spans="1:18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  <c r="R2455" s="2"/>
    </row>
    <row r="2456" spans="1:18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  <c r="R2456" s="2"/>
    </row>
    <row r="2457" spans="1:18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  <c r="R2457" s="2"/>
    </row>
    <row r="2458" spans="1:18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  <c r="R2458" s="2"/>
    </row>
    <row r="2459" spans="1:18" ht="19.5" hidden="1" thickBot="1" x14ac:dyDescent="0.3">
      <c r="A2459" s="984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  <c r="R2459" s="2"/>
    </row>
    <row r="2460" spans="1:18" ht="19.5" hidden="1" thickBot="1" x14ac:dyDescent="0.3">
      <c r="A2460" s="984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  <c r="R2460" s="2"/>
    </row>
    <row r="2461" spans="1:18" ht="19.5" hidden="1" thickBot="1" x14ac:dyDescent="0.3">
      <c r="A2461" s="984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  <c r="R2461" s="2"/>
    </row>
    <row r="2462" spans="1:18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  <c r="R2462" s="2"/>
    </row>
    <row r="2463" spans="1:18" ht="19.5" hidden="1" thickBot="1" x14ac:dyDescent="0.3">
      <c r="A2463" s="984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  <c r="R2463" s="2"/>
    </row>
    <row r="2464" spans="1:18" ht="19.5" hidden="1" thickBot="1" x14ac:dyDescent="0.3">
      <c r="A2464" s="984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  <c r="R2464" s="2"/>
    </row>
    <row r="2465" spans="1:18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  <c r="R2465" s="2"/>
    </row>
    <row r="2466" spans="1:18" ht="19.5" hidden="1" thickBot="1" x14ac:dyDescent="0.3">
      <c r="A2466" s="984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  <c r="R2466" s="2"/>
    </row>
    <row r="2467" spans="1:18" ht="19.5" hidden="1" thickBot="1" x14ac:dyDescent="0.3">
      <c r="A2467" s="984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  <c r="R2467" s="2"/>
    </row>
    <row r="2468" spans="1:18" ht="19.5" hidden="1" thickBot="1" x14ac:dyDescent="0.3">
      <c r="A2468" s="985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  <c r="R2468" s="2"/>
    </row>
    <row r="2469" spans="1:18" ht="19.5" hidden="1" thickBot="1" x14ac:dyDescent="0.3">
      <c r="A2469" s="985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  <c r="R2469" s="2"/>
    </row>
    <row r="2470" spans="1:18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  <c r="R2470" s="2"/>
    </row>
    <row r="2471" spans="1:18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  <c r="R2471" s="2"/>
    </row>
    <row r="2472" spans="1:18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  <c r="R2472" s="2"/>
    </row>
    <row r="2473" spans="1:18" ht="19.5" hidden="1" thickBot="1" x14ac:dyDescent="0.3">
      <c r="A2473" s="985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  <c r="R2473" s="2"/>
    </row>
    <row r="2474" spans="1:18" ht="19.5" hidden="1" thickBot="1" x14ac:dyDescent="0.3">
      <c r="A2474" s="985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  <c r="R2474" s="2"/>
    </row>
    <row r="2475" spans="1:18" ht="19.5" hidden="1" thickBot="1" x14ac:dyDescent="0.3">
      <c r="A2475" s="985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  <c r="R2475" s="2"/>
    </row>
    <row r="2476" spans="1:18" ht="19.5" hidden="1" thickBot="1" x14ac:dyDescent="0.3">
      <c r="A2476" s="984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  <c r="R2476" s="2"/>
    </row>
    <row r="2477" spans="1:18" ht="19.5" hidden="1" thickBot="1" x14ac:dyDescent="0.3">
      <c r="A2477" s="984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  <c r="R2477" s="2"/>
    </row>
    <row r="2478" spans="1:18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  <c r="R2478" s="2"/>
    </row>
    <row r="2479" spans="1:18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  <c r="R2479" s="2"/>
    </row>
    <row r="2480" spans="1:18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  <c r="R2480" s="2"/>
    </row>
    <row r="2481" spans="1:18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  <c r="R2481" s="2"/>
    </row>
    <row r="2482" spans="1:18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  <c r="R2482" s="2"/>
    </row>
    <row r="2483" spans="1:18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  <c r="R2483" s="2"/>
    </row>
    <row r="2484" spans="1:18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  <c r="R2484" s="2"/>
    </row>
    <row r="2485" spans="1:18" ht="19.5" hidden="1" thickBot="1" x14ac:dyDescent="0.3">
      <c r="A2485" s="985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  <c r="R2485" s="2"/>
    </row>
    <row r="2486" spans="1:18" ht="19.5" hidden="1" thickBot="1" x14ac:dyDescent="0.3">
      <c r="A2486" s="985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  <c r="R2486" s="2"/>
    </row>
    <row r="2487" spans="1:18" ht="19.5" hidden="1" thickBot="1" x14ac:dyDescent="0.3">
      <c r="A2487" s="984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  <c r="R2487" s="2"/>
    </row>
    <row r="2488" spans="1:18" ht="19.5" hidden="1" thickBot="1" x14ac:dyDescent="0.3">
      <c r="A2488" s="984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  <c r="R2488" s="2"/>
    </row>
    <row r="2489" spans="1:18" ht="19.5" hidden="1" thickBot="1" x14ac:dyDescent="0.3">
      <c r="A2489" s="988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  <c r="R2489" s="2"/>
    </row>
    <row r="2490" spans="1:18" ht="19.5" hidden="1" thickBot="1" x14ac:dyDescent="0.3">
      <c r="A2490" s="988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  <c r="R2490" s="2"/>
    </row>
    <row r="2491" spans="1:18" ht="19.5" hidden="1" thickBot="1" x14ac:dyDescent="0.3">
      <c r="A2491" s="984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  <c r="R2491" s="2"/>
    </row>
    <row r="2492" spans="1:18" ht="38.25" hidden="1" thickBot="1" x14ac:dyDescent="0.3">
      <c r="A2492" s="984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  <c r="R2492" s="2"/>
    </row>
    <row r="2493" spans="1:18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  <c r="R2493" s="2"/>
    </row>
    <row r="2494" spans="1:18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  <c r="R2494" s="2"/>
    </row>
    <row r="2495" spans="1:18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  <c r="R2495" s="2"/>
    </row>
    <row r="2496" spans="1:18" ht="19.5" hidden="1" thickBot="1" x14ac:dyDescent="0.3">
      <c r="A2496" s="984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  <c r="R2496" s="2"/>
    </row>
    <row r="2497" spans="1:18" ht="19.5" hidden="1" thickBot="1" x14ac:dyDescent="0.3">
      <c r="A2497" s="984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  <c r="R2497" s="2"/>
    </row>
    <row r="2498" spans="1:18" ht="19.5" hidden="1" thickBot="1" x14ac:dyDescent="0.3">
      <c r="A2498" s="984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  <c r="R2498" s="2"/>
    </row>
    <row r="2499" spans="1:18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  <c r="R2499" s="2"/>
    </row>
    <row r="2500" spans="1:18" ht="19.5" hidden="1" thickBot="1" x14ac:dyDescent="0.3">
      <c r="A2500" s="984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  <c r="R2500" s="2"/>
    </row>
    <row r="2501" spans="1:18" ht="19.5" hidden="1" thickBot="1" x14ac:dyDescent="0.3">
      <c r="A2501" s="984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  <c r="R2501" s="2"/>
    </row>
    <row r="2502" spans="1:18" ht="19.5" hidden="1" thickBot="1" x14ac:dyDescent="0.3">
      <c r="A2502" s="985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  <c r="R2502" s="2"/>
    </row>
    <row r="2503" spans="1:18" ht="19.5" hidden="1" thickBot="1" x14ac:dyDescent="0.3">
      <c r="A2503" s="985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  <c r="R2503" s="2"/>
    </row>
    <row r="2504" spans="1:18" ht="19.5" hidden="1" thickBot="1" x14ac:dyDescent="0.3">
      <c r="A2504" s="985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  <c r="R2504" s="2"/>
    </row>
    <row r="2505" spans="1:18" ht="19.5" hidden="1" thickBot="1" x14ac:dyDescent="0.3">
      <c r="A2505" s="984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  <c r="R2505" s="2"/>
    </row>
    <row r="2506" spans="1:18" ht="19.5" hidden="1" thickBot="1" x14ac:dyDescent="0.3">
      <c r="A2506" s="984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  <c r="R2506" s="2"/>
    </row>
    <row r="2507" spans="1:18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  <c r="R2507" s="2"/>
    </row>
    <row r="2508" spans="1:18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  <c r="R2508" s="2"/>
    </row>
    <row r="2509" spans="1:18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  <c r="R2509" s="2"/>
    </row>
    <row r="2510" spans="1:18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  <c r="R2510" s="2"/>
    </row>
    <row r="2511" spans="1:18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  <c r="R2511" s="2"/>
    </row>
    <row r="2512" spans="1:18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  <c r="R2512" s="2"/>
    </row>
    <row r="2513" spans="1:18" ht="19.5" hidden="1" thickBot="1" x14ac:dyDescent="0.3">
      <c r="A2513" s="985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  <c r="R2513" s="2"/>
    </row>
    <row r="2514" spans="1:18" ht="19.5" hidden="1" thickBot="1" x14ac:dyDescent="0.3">
      <c r="A2514" s="985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  <c r="R2514" s="2"/>
    </row>
    <row r="2515" spans="1:18" ht="19.5" hidden="1" thickBot="1" x14ac:dyDescent="0.3">
      <c r="A2515" s="985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  <c r="R2515" s="2"/>
    </row>
    <row r="2516" spans="1:18" ht="19.5" hidden="1" thickBot="1" x14ac:dyDescent="0.3">
      <c r="A2516" s="985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  <c r="R2516" s="2"/>
    </row>
    <row r="2517" spans="1:18" ht="19.5" hidden="1" thickBot="1" x14ac:dyDescent="0.3">
      <c r="A2517" s="985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  <c r="R2517" s="2"/>
    </row>
    <row r="2518" spans="1:18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  <c r="R2518" s="2"/>
    </row>
    <row r="2519" spans="1:18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  <c r="R2519" s="2"/>
    </row>
    <row r="2520" spans="1:18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  <c r="R2520" s="2"/>
    </row>
    <row r="2521" spans="1:18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  <c r="R2521" s="2"/>
    </row>
    <row r="2522" spans="1:18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  <c r="R2522" s="2"/>
    </row>
    <row r="2523" spans="1:18" ht="19.5" hidden="1" thickBot="1" x14ac:dyDescent="0.3">
      <c r="A2523" s="988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  <c r="R2523" s="2"/>
    </row>
    <row r="2524" spans="1:18" ht="19.5" hidden="1" thickBot="1" x14ac:dyDescent="0.3">
      <c r="A2524" s="988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  <c r="R2524" s="2"/>
    </row>
    <row r="2525" spans="1:18" ht="19.5" hidden="1" thickBot="1" x14ac:dyDescent="0.3">
      <c r="A2525" s="988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  <c r="R2525" s="2"/>
    </row>
    <row r="2526" spans="1:18" ht="19.5" hidden="1" thickBot="1" x14ac:dyDescent="0.3">
      <c r="A2526" s="984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  <c r="R2526" s="2"/>
    </row>
    <row r="2527" spans="1:18" ht="38.25" hidden="1" thickBot="1" x14ac:dyDescent="0.3">
      <c r="A2527" s="984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  <c r="R2527" s="2"/>
    </row>
    <row r="2528" spans="1:18" ht="19.5" hidden="1" thickBot="1" x14ac:dyDescent="0.3">
      <c r="A2528" s="984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  <c r="R2528" s="2"/>
    </row>
    <row r="2529" spans="1:18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  <c r="R2529" s="2"/>
    </row>
    <row r="2530" spans="1:18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  <c r="R2530" s="2"/>
    </row>
    <row r="2531" spans="1:18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  <c r="R2531" s="2"/>
    </row>
    <row r="2532" spans="1:18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  <c r="R2532" s="2"/>
    </row>
    <row r="2533" spans="1:18" ht="19.5" hidden="1" thickBot="1" x14ac:dyDescent="0.3">
      <c r="A2533" s="985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  <c r="R2533" s="2"/>
    </row>
    <row r="2534" spans="1:18" ht="19.5" hidden="1" thickBot="1" x14ac:dyDescent="0.3">
      <c r="A2534" s="985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  <c r="R2534" s="2"/>
    </row>
    <row r="2535" spans="1:18" ht="19.5" hidden="1" thickBot="1" x14ac:dyDescent="0.3">
      <c r="A2535" s="984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  <c r="R2535" s="2"/>
    </row>
    <row r="2536" spans="1:18" ht="19.5" hidden="1" thickBot="1" x14ac:dyDescent="0.3">
      <c r="A2536" s="984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  <c r="R2536" s="2"/>
    </row>
    <row r="2537" spans="1:18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  <c r="R2537" s="2"/>
    </row>
    <row r="2538" spans="1:18" ht="19.5" hidden="1" thickBot="1" x14ac:dyDescent="0.3">
      <c r="A2538" s="984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  <c r="R2538" s="2"/>
    </row>
    <row r="2539" spans="1:18" ht="19.5" hidden="1" thickBot="1" x14ac:dyDescent="0.3">
      <c r="A2539" s="984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  <c r="R2539" s="2"/>
    </row>
    <row r="2540" spans="1:18" ht="19.5" hidden="1" thickBot="1" x14ac:dyDescent="0.3">
      <c r="A2540" s="984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  <c r="R2540" s="2"/>
    </row>
    <row r="2541" spans="1:18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  <c r="R2541" s="2"/>
    </row>
    <row r="2542" spans="1:18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  <c r="R2542" s="2"/>
    </row>
    <row r="2543" spans="1:18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  <c r="R2543" s="2"/>
    </row>
    <row r="2544" spans="1:18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  <c r="R2544" s="2"/>
    </row>
    <row r="2545" spans="1:18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  <c r="R2545" s="2"/>
    </row>
    <row r="2546" spans="1:18" ht="19.5" hidden="1" customHeight="1" thickBot="1" x14ac:dyDescent="0.3">
      <c r="A2546" s="984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987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  <c r="R2546" s="2"/>
    </row>
    <row r="2547" spans="1:18" ht="19.5" hidden="1" thickBot="1" x14ac:dyDescent="0.3">
      <c r="A2547" s="984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987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  <c r="R2547" s="2"/>
    </row>
    <row r="2548" spans="1:18" ht="19.5" hidden="1" thickBot="1" x14ac:dyDescent="0.3">
      <c r="A2548" s="984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987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  <c r="R2548" s="2"/>
    </row>
    <row r="2549" spans="1:18" ht="19.5" hidden="1" thickBot="1" x14ac:dyDescent="0.3">
      <c r="A2549" s="988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  <c r="R2549" s="2"/>
    </row>
    <row r="2550" spans="1:18" ht="19.5" hidden="1" thickBot="1" x14ac:dyDescent="0.3">
      <c r="A2550" s="988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  <c r="R2550" s="2"/>
    </row>
    <row r="2551" spans="1:18" ht="19.5" hidden="1" thickBot="1" x14ac:dyDescent="0.3">
      <c r="A2551" s="988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  <c r="R2551" s="2"/>
    </row>
    <row r="2552" spans="1:18" ht="19.5" hidden="1" thickBot="1" x14ac:dyDescent="0.3">
      <c r="A2552" s="988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  <c r="R2552" s="2"/>
    </row>
    <row r="2553" spans="1:18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  <c r="R2553" s="2"/>
    </row>
    <row r="2554" spans="1:18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  <c r="R2554" s="2"/>
    </row>
    <row r="2555" spans="1:18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  <c r="R2555" s="2"/>
    </row>
    <row r="2556" spans="1:18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  <c r="R2556" s="2"/>
    </row>
    <row r="2557" spans="1:18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  <c r="R2557" s="2"/>
    </row>
    <row r="2558" spans="1:18" ht="19.5" hidden="1" thickBot="1" x14ac:dyDescent="0.3">
      <c r="A2558" s="985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  <c r="R2558" s="2"/>
    </row>
    <row r="2559" spans="1:18" ht="19.5" hidden="1" thickBot="1" x14ac:dyDescent="0.3">
      <c r="A2559" s="985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  <c r="R2559" s="2"/>
    </row>
    <row r="2560" spans="1:18" ht="19.5" hidden="1" thickBot="1" x14ac:dyDescent="0.3">
      <c r="A2560" s="984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  <c r="R2560" s="2"/>
    </row>
    <row r="2561" spans="1:18" ht="19.5" hidden="1" thickBot="1" x14ac:dyDescent="0.3">
      <c r="A2561" s="984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  <c r="R2561" s="2"/>
    </row>
    <row r="2562" spans="1:18" ht="19.5" hidden="1" thickBot="1" x14ac:dyDescent="0.3">
      <c r="A2562" s="988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  <c r="R2562" s="2"/>
    </row>
    <row r="2563" spans="1:18" ht="19.5" hidden="1" thickBot="1" x14ac:dyDescent="0.3">
      <c r="A2563" s="988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  <c r="R2563" s="2"/>
    </row>
    <row r="2564" spans="1:18" ht="19.5" hidden="1" customHeight="1" thickBot="1" x14ac:dyDescent="0.3">
      <c r="A2564" s="984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987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  <c r="R2564" s="2"/>
    </row>
    <row r="2565" spans="1:18" ht="19.5" hidden="1" thickBot="1" x14ac:dyDescent="0.3">
      <c r="A2565" s="984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987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  <c r="R2565" s="2"/>
    </row>
    <row r="2566" spans="1:18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  <c r="R2566" s="2"/>
    </row>
    <row r="2567" spans="1:18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  <c r="R2567" s="2"/>
    </row>
    <row r="2568" spans="1:18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  <c r="R2568" s="2"/>
    </row>
    <row r="2569" spans="1:18" ht="19.5" hidden="1" thickBot="1" x14ac:dyDescent="0.3">
      <c r="A2569" s="984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  <c r="R2569" s="2"/>
    </row>
    <row r="2570" spans="1:18" ht="19.5" hidden="1" thickBot="1" x14ac:dyDescent="0.3">
      <c r="A2570" s="984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  <c r="R2570" s="2"/>
    </row>
    <row r="2571" spans="1:18" ht="19.5" hidden="1" thickBot="1" x14ac:dyDescent="0.3">
      <c r="A2571" s="985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  <c r="R2571" s="2"/>
    </row>
    <row r="2572" spans="1:18" ht="19.5" hidden="1" thickBot="1" x14ac:dyDescent="0.3">
      <c r="A2572" s="985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  <c r="R2572" s="2"/>
    </row>
    <row r="2573" spans="1:18" ht="19.5" hidden="1" thickBot="1" x14ac:dyDescent="0.3">
      <c r="A2573" s="984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  <c r="R2573" s="2"/>
    </row>
    <row r="2574" spans="1:18" ht="19.5" hidden="1" thickBot="1" x14ac:dyDescent="0.3">
      <c r="A2574" s="984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  <c r="R2574" s="2"/>
    </row>
    <row r="2575" spans="1:18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  <c r="R2575" s="2"/>
    </row>
    <row r="2576" spans="1:18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  <c r="R2576" s="2"/>
    </row>
    <row r="2577" spans="1:18" ht="19.5" hidden="1" thickBot="1" x14ac:dyDescent="0.3">
      <c r="A2577" s="985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  <c r="R2577" s="2"/>
    </row>
    <row r="2578" spans="1:18" ht="19.5" hidden="1" thickBot="1" x14ac:dyDescent="0.3">
      <c r="A2578" s="985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  <c r="R2578" s="2"/>
    </row>
    <row r="2579" spans="1:18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  <c r="R2579" s="2"/>
    </row>
    <row r="2580" spans="1:18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  <c r="R2580" s="2"/>
    </row>
    <row r="2581" spans="1:18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  <c r="R2581" s="2"/>
    </row>
    <row r="2582" spans="1:18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  <c r="R2582" s="2"/>
    </row>
    <row r="2583" spans="1:18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  <c r="R2583" s="2"/>
    </row>
    <row r="2584" spans="1:18" ht="19.5" hidden="1" thickBot="1" x14ac:dyDescent="0.3">
      <c r="A2584" s="985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  <c r="R2584" s="2"/>
    </row>
    <row r="2585" spans="1:18" ht="19.5" hidden="1" thickBot="1" x14ac:dyDescent="0.3">
      <c r="A2585" s="985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  <c r="R2585" s="2"/>
    </row>
    <row r="2586" spans="1:18" ht="19.5" hidden="1" thickBot="1" x14ac:dyDescent="0.3">
      <c r="A2586" s="985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  <c r="R2586" s="2"/>
    </row>
    <row r="2587" spans="1:18" ht="19.5" hidden="1" thickBot="1" x14ac:dyDescent="0.3">
      <c r="A2587" s="985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  <c r="R2587" s="2"/>
    </row>
    <row r="2588" spans="1:18" ht="18.75" hidden="1" customHeight="1" thickBot="1" x14ac:dyDescent="0.3">
      <c r="A2588" s="993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994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  <c r="R2588" s="2"/>
    </row>
    <row r="2589" spans="1:18" ht="19.5" hidden="1" thickBot="1" x14ac:dyDescent="0.3">
      <c r="A2589" s="993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994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  <c r="R2589" s="2"/>
    </row>
    <row r="2590" spans="1:18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  <c r="R2590" s="2"/>
    </row>
    <row r="2591" spans="1:18" ht="19.5" hidden="1" thickBot="1" x14ac:dyDescent="0.3">
      <c r="A2591" s="984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  <c r="R2591" s="2"/>
    </row>
    <row r="2592" spans="1:18" ht="19.5" hidden="1" thickBot="1" x14ac:dyDescent="0.3">
      <c r="A2592" s="984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  <c r="R2592" s="2"/>
    </row>
    <row r="2593" spans="1:18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  <c r="R2593" s="2"/>
    </row>
    <row r="2594" spans="1:18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  <c r="R2594" s="2"/>
    </row>
    <row r="2595" spans="1:18" ht="18.75" hidden="1" customHeight="1" thickBot="1" x14ac:dyDescent="0.3">
      <c r="A2595" s="985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990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  <c r="R2595" s="2"/>
    </row>
    <row r="2596" spans="1:18" ht="19.5" hidden="1" thickBot="1" x14ac:dyDescent="0.3">
      <c r="A2596" s="985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990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  <c r="R2596" s="2"/>
    </row>
    <row r="2597" spans="1:18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  <c r="R2597" s="2"/>
    </row>
    <row r="2598" spans="1:18" ht="19.5" hidden="1" thickBot="1" x14ac:dyDescent="0.3">
      <c r="A2598" s="985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  <c r="R2598" s="2"/>
    </row>
    <row r="2599" spans="1:18" ht="19.5" hidden="1" thickBot="1" x14ac:dyDescent="0.3">
      <c r="A2599" s="985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  <c r="R2599" s="2"/>
    </row>
    <row r="2600" spans="1:18" ht="19.5" hidden="1" thickBot="1" x14ac:dyDescent="0.3">
      <c r="A2600" s="986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  <c r="R2600" s="2"/>
    </row>
    <row r="2601" spans="1:18" ht="19.5" hidden="1" thickBot="1" x14ac:dyDescent="0.3">
      <c r="A2601" s="986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  <c r="R2601" s="2"/>
    </row>
    <row r="2602" spans="1:18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  <c r="R2602" s="2"/>
    </row>
    <row r="2603" spans="1:18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  <c r="R2603" s="2"/>
    </row>
    <row r="2604" spans="1:18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  <c r="R2604" s="2"/>
    </row>
    <row r="2605" spans="1:18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  <c r="R2605" s="2"/>
    </row>
    <row r="2606" spans="1:18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  <c r="R2606" s="2"/>
    </row>
    <row r="2607" spans="1:18" ht="19.5" hidden="1" thickBot="1" x14ac:dyDescent="0.3">
      <c r="A2607" s="984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  <c r="R2607" s="2"/>
    </row>
    <row r="2608" spans="1:18" ht="19.5" hidden="1" thickBot="1" x14ac:dyDescent="0.3">
      <c r="A2608" s="984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  <c r="R2608" s="2"/>
    </row>
    <row r="2609" spans="1:18" ht="19.5" hidden="1" thickBot="1" x14ac:dyDescent="0.3">
      <c r="A2609" s="984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  <c r="R2609" s="2"/>
    </row>
    <row r="2610" spans="1:18" ht="19.5" hidden="1" thickBot="1" x14ac:dyDescent="0.3">
      <c r="A2610" s="985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  <c r="R2610" s="2"/>
    </row>
    <row r="2611" spans="1:18" ht="19.5" hidden="1" thickBot="1" x14ac:dyDescent="0.3">
      <c r="A2611" s="985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  <c r="R2611" s="2"/>
    </row>
    <row r="2612" spans="1:18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  <c r="R2612" s="2"/>
    </row>
    <row r="2613" spans="1:18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  <c r="R2613" s="2"/>
    </row>
    <row r="2614" spans="1:18" ht="19.5" hidden="1" thickBot="1" x14ac:dyDescent="0.3">
      <c r="A2614" s="984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  <c r="R2614" s="2"/>
    </row>
    <row r="2615" spans="1:18" ht="19.5" hidden="1" thickBot="1" x14ac:dyDescent="0.3">
      <c r="A2615" s="984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  <c r="R2615" s="2"/>
    </row>
    <row r="2616" spans="1:18" ht="19.5" hidden="1" thickBot="1" x14ac:dyDescent="0.3">
      <c r="A2616" s="988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  <c r="R2616" s="2"/>
    </row>
    <row r="2617" spans="1:18" ht="19.5" hidden="1" thickBot="1" x14ac:dyDescent="0.3">
      <c r="A2617" s="988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  <c r="R2617" s="2"/>
    </row>
    <row r="2618" spans="1:18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  <c r="R2618" s="2"/>
    </row>
    <row r="2619" spans="1:18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  <c r="R2619" s="2"/>
    </row>
    <row r="2620" spans="1:18" ht="19.5" hidden="1" thickBot="1" x14ac:dyDescent="0.3">
      <c r="A2620" s="984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  <c r="R2620" s="2"/>
    </row>
    <row r="2621" spans="1:18" ht="19.5" hidden="1" thickBot="1" x14ac:dyDescent="0.3">
      <c r="A2621" s="984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  <c r="R2621" s="2"/>
    </row>
    <row r="2622" spans="1:18" ht="19.5" hidden="1" thickBot="1" x14ac:dyDescent="0.3">
      <c r="A2622" s="984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  <c r="R2622" s="2"/>
    </row>
    <row r="2623" spans="1:18" ht="19.5" hidden="1" thickBot="1" x14ac:dyDescent="0.3">
      <c r="A2623" s="984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  <c r="R2623" s="2"/>
    </row>
    <row r="2624" spans="1:18" ht="17.25" hidden="1" customHeight="1" thickBot="1" x14ac:dyDescent="0.3">
      <c r="A2624" s="988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989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  <c r="R2624" s="2"/>
    </row>
    <row r="2625" spans="1:18" ht="19.5" hidden="1" thickBot="1" x14ac:dyDescent="0.3">
      <c r="A2625" s="988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989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  <c r="R2625" s="2"/>
    </row>
    <row r="2626" spans="1:18" ht="19.5" hidden="1" thickBot="1" x14ac:dyDescent="0.3">
      <c r="A2626" s="984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  <c r="R2626" s="2"/>
    </row>
    <row r="2627" spans="1:18" ht="19.5" hidden="1" thickBot="1" x14ac:dyDescent="0.3">
      <c r="A2627" s="984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  <c r="R2627" s="2"/>
    </row>
    <row r="2628" spans="1:18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  <c r="R2628" s="2"/>
    </row>
    <row r="2629" spans="1:18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  <c r="R2629" s="2"/>
    </row>
    <row r="2630" spans="1:18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  <c r="R2630" s="2"/>
    </row>
    <row r="2631" spans="1:18" ht="19.5" hidden="1" customHeight="1" thickBot="1" x14ac:dyDescent="0.3">
      <c r="A2631" s="984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987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  <c r="R2631" s="2"/>
    </row>
    <row r="2632" spans="1:18" ht="19.5" hidden="1" thickBot="1" x14ac:dyDescent="0.3">
      <c r="A2632" s="984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987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  <c r="R2632" s="2"/>
    </row>
    <row r="2633" spans="1:18" ht="19.5" hidden="1" thickBot="1" x14ac:dyDescent="0.3">
      <c r="A2633" s="985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  <c r="R2633" s="2"/>
    </row>
    <row r="2634" spans="1:18" ht="19.5" hidden="1" thickBot="1" x14ac:dyDescent="0.3">
      <c r="A2634" s="985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  <c r="R2634" s="2"/>
    </row>
    <row r="2635" spans="1:18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  <c r="R2635" s="2"/>
    </row>
    <row r="2636" spans="1:18" ht="19.5" hidden="1" thickBot="1" x14ac:dyDescent="0.3">
      <c r="A2636" s="985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  <c r="R2636" s="2"/>
    </row>
    <row r="2637" spans="1:18" ht="19.5" hidden="1" thickBot="1" x14ac:dyDescent="0.3">
      <c r="A2637" s="985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  <c r="R2637" s="2"/>
    </row>
    <row r="2638" spans="1:18" ht="19.5" hidden="1" thickBot="1" x14ac:dyDescent="0.3">
      <c r="A2638" s="986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  <c r="R2638" s="2"/>
    </row>
    <row r="2639" spans="1:18" ht="19.5" hidden="1" thickBot="1" x14ac:dyDescent="0.3">
      <c r="A2639" s="986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  <c r="R2639" s="2"/>
    </row>
    <row r="2640" spans="1:18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  <c r="R2640" s="2"/>
    </row>
    <row r="2641" spans="1:18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  <c r="R2641" s="2"/>
    </row>
    <row r="2642" spans="1:18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  <c r="R2642" s="2"/>
    </row>
    <row r="2643" spans="1:18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  <c r="R2643" s="2"/>
    </row>
    <row r="2644" spans="1:18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  <c r="R2644" s="2"/>
    </row>
    <row r="2645" spans="1:18" ht="19.5" hidden="1" thickBot="1" x14ac:dyDescent="0.3">
      <c r="A2645" s="984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  <c r="R2645" s="2"/>
    </row>
    <row r="2646" spans="1:18" ht="19.5" hidden="1" thickBot="1" x14ac:dyDescent="0.3">
      <c r="A2646" s="984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  <c r="R2646" s="2"/>
    </row>
    <row r="2647" spans="1:18" ht="19.5" hidden="1" thickBot="1" x14ac:dyDescent="0.3">
      <c r="A2647" s="985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  <c r="R2647" s="2"/>
    </row>
    <row r="2648" spans="1:18" ht="19.5" hidden="1" thickBot="1" x14ac:dyDescent="0.3">
      <c r="A2648" s="985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  <c r="R2648" s="2"/>
    </row>
    <row r="2649" spans="1:18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  <c r="R2649" s="2"/>
    </row>
    <row r="2650" spans="1:18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  <c r="R2650" s="2"/>
    </row>
    <row r="2651" spans="1:18" ht="19.5" hidden="1" thickBot="1" x14ac:dyDescent="0.3">
      <c r="A2651" s="984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  <c r="R2651" s="2"/>
    </row>
    <row r="2652" spans="1:18" ht="19.5" hidden="1" thickBot="1" x14ac:dyDescent="0.3">
      <c r="A2652" s="984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  <c r="R2652" s="2"/>
    </row>
    <row r="2653" spans="1:18" ht="19.5" hidden="1" thickBot="1" x14ac:dyDescent="0.3">
      <c r="A2653" s="984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  <c r="R2653" s="2"/>
    </row>
    <row r="2654" spans="1:18" ht="19.5" hidden="1" thickBot="1" x14ac:dyDescent="0.3">
      <c r="A2654" s="985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  <c r="R2654" s="2"/>
    </row>
    <row r="2655" spans="1:18" ht="19.5" hidden="1" thickBot="1" x14ac:dyDescent="0.3">
      <c r="A2655" s="985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  <c r="R2655" s="2"/>
    </row>
    <row r="2656" spans="1:18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  <c r="R2656" s="2"/>
    </row>
    <row r="2657" spans="1:18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  <c r="R2657" s="2"/>
    </row>
    <row r="2658" spans="1:18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  <c r="R2658" s="2"/>
    </row>
    <row r="2659" spans="1:18" ht="19.5" hidden="1" thickBot="1" x14ac:dyDescent="0.3">
      <c r="A2659" s="985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  <c r="R2659" s="2"/>
    </row>
    <row r="2660" spans="1:18" ht="19.5" hidden="1" thickBot="1" x14ac:dyDescent="0.3">
      <c r="A2660" s="985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  <c r="R2660" s="2"/>
    </row>
    <row r="2661" spans="1:18" ht="19.5" hidden="1" thickBot="1" x14ac:dyDescent="0.3">
      <c r="A2661" s="985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  <c r="R2661" s="2"/>
    </row>
    <row r="2662" spans="1:18" ht="19.5" hidden="1" thickBot="1" x14ac:dyDescent="0.3">
      <c r="A2662" s="985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  <c r="R2662" s="2"/>
    </row>
    <row r="2663" spans="1:18" ht="19.5" hidden="1" thickBot="1" x14ac:dyDescent="0.3">
      <c r="A2663" s="985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  <c r="R2663" s="2"/>
    </row>
    <row r="2664" spans="1:18" ht="19.5" hidden="1" thickBot="1" x14ac:dyDescent="0.3">
      <c r="A2664" s="984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  <c r="R2664" s="2"/>
    </row>
    <row r="2665" spans="1:18" ht="19.5" hidden="1" thickBot="1" x14ac:dyDescent="0.3">
      <c r="A2665" s="984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  <c r="R2665" s="2"/>
    </row>
    <row r="2666" spans="1:18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  <c r="R2666" s="2"/>
    </row>
    <row r="2667" spans="1:18" ht="18.75" hidden="1" customHeight="1" thickBot="1" x14ac:dyDescent="0.3">
      <c r="A2667" s="984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987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  <c r="R2667" s="2"/>
    </row>
    <row r="2668" spans="1:18" ht="19.5" hidden="1" thickBot="1" x14ac:dyDescent="0.3">
      <c r="A2668" s="984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987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  <c r="R2668" s="2"/>
    </row>
    <row r="2669" spans="1:18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  <c r="R2669" s="2"/>
    </row>
    <row r="2670" spans="1:18" ht="19.5" hidden="1" thickBot="1" x14ac:dyDescent="0.3">
      <c r="A2670" s="984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  <c r="R2670" s="2"/>
    </row>
    <row r="2671" spans="1:18" ht="19.5" hidden="1" thickBot="1" x14ac:dyDescent="0.3">
      <c r="A2671" s="984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  <c r="R2671" s="2"/>
    </row>
    <row r="2672" spans="1:18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  <c r="R2672" s="2"/>
    </row>
    <row r="2673" spans="1:18" ht="19.5" hidden="1" thickBot="1" x14ac:dyDescent="0.3">
      <c r="A2673" s="984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  <c r="R2673" s="2"/>
    </row>
    <row r="2674" spans="1:18" ht="19.5" hidden="1" thickBot="1" x14ac:dyDescent="0.3">
      <c r="A2674" s="984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  <c r="R2674" s="2"/>
    </row>
    <row r="2675" spans="1:18" ht="19.5" hidden="1" thickBot="1" x14ac:dyDescent="0.3">
      <c r="A2675" s="988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  <c r="R2675" s="2"/>
    </row>
    <row r="2676" spans="1:18" ht="19.5" hidden="1" thickBot="1" x14ac:dyDescent="0.3">
      <c r="A2676" s="988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  <c r="R2676" s="2"/>
    </row>
    <row r="2677" spans="1:18" ht="19.5" hidden="1" thickBot="1" x14ac:dyDescent="0.3">
      <c r="A2677" s="988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  <c r="R2677" s="2"/>
    </row>
    <row r="2678" spans="1:18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  <c r="R2678" s="2"/>
    </row>
    <row r="2679" spans="1:18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  <c r="R2679" s="2"/>
    </row>
    <row r="2680" spans="1:18" ht="19.5" hidden="1" thickBot="1" x14ac:dyDescent="0.3">
      <c r="A2680" s="984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  <c r="R2680" s="2"/>
    </row>
    <row r="2681" spans="1:18" ht="19.5" hidden="1" thickBot="1" x14ac:dyDescent="0.3">
      <c r="A2681" s="984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  <c r="R2681" s="2"/>
    </row>
    <row r="2682" spans="1:18" ht="19.5" hidden="1" thickBot="1" x14ac:dyDescent="0.3">
      <c r="A2682" s="985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  <c r="R2682" s="2"/>
    </row>
    <row r="2683" spans="1:18" ht="19.5" hidden="1" thickBot="1" x14ac:dyDescent="0.3">
      <c r="A2683" s="985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  <c r="R2683" s="2"/>
    </row>
    <row r="2684" spans="1:18" ht="19.5" hidden="1" thickBot="1" x14ac:dyDescent="0.3">
      <c r="A2684" s="985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  <c r="R2684" s="2"/>
    </row>
    <row r="2685" spans="1:18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  <c r="R2685" s="2"/>
    </row>
    <row r="2686" spans="1:18" ht="19.5" hidden="1" thickBot="1" x14ac:dyDescent="0.3">
      <c r="A2686" s="985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  <c r="R2686" s="2"/>
    </row>
    <row r="2687" spans="1:18" ht="19.5" hidden="1" thickBot="1" x14ac:dyDescent="0.3">
      <c r="A2687" s="985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  <c r="R2687" s="2"/>
    </row>
    <row r="2688" spans="1:18" ht="19.5" hidden="1" thickBot="1" x14ac:dyDescent="0.3">
      <c r="A2688" s="984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  <c r="R2688" s="2"/>
    </row>
    <row r="2689" spans="1:18" ht="19.5" hidden="1" thickBot="1" x14ac:dyDescent="0.3">
      <c r="A2689" s="984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  <c r="R2689" s="2"/>
    </row>
    <row r="2690" spans="1:18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  <c r="R2690" s="2"/>
    </row>
    <row r="2691" spans="1:18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  <c r="R2691" s="2"/>
    </row>
    <row r="2692" spans="1:18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  <c r="R2692" s="2"/>
    </row>
    <row r="2693" spans="1:18" ht="19.5" hidden="1" thickBot="1" x14ac:dyDescent="0.3">
      <c r="A2693" s="986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  <c r="R2693" s="2"/>
    </row>
    <row r="2694" spans="1:18" ht="19.5" hidden="1" thickBot="1" x14ac:dyDescent="0.3">
      <c r="A2694" s="986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  <c r="R2694" s="2"/>
    </row>
    <row r="2695" spans="1:18" ht="19.5" hidden="1" thickBot="1" x14ac:dyDescent="0.3">
      <c r="A2695" s="986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  <c r="R2695" s="2"/>
    </row>
    <row r="2696" spans="1:18" ht="19.5" hidden="1" thickBot="1" x14ac:dyDescent="0.3">
      <c r="A2696" s="986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  <c r="R2696" s="2"/>
    </row>
    <row r="2697" spans="1:18" ht="19.5" hidden="1" thickBot="1" x14ac:dyDescent="0.3">
      <c r="A2697" s="986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  <c r="R2697" s="2"/>
    </row>
    <row r="2698" spans="1:18" ht="19.5" hidden="1" thickBot="1" x14ac:dyDescent="0.3">
      <c r="A2698" s="986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  <c r="R2698" s="2"/>
    </row>
    <row r="2699" spans="1:18" ht="19.5" hidden="1" thickBot="1" x14ac:dyDescent="0.3">
      <c r="A2699" s="985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  <c r="R2699" s="2"/>
    </row>
    <row r="2700" spans="1:18" ht="19.5" hidden="1" thickBot="1" x14ac:dyDescent="0.3">
      <c r="A2700" s="985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  <c r="R2700" s="2"/>
    </row>
    <row r="2701" spans="1:18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  <c r="R2701" s="2"/>
    </row>
    <row r="2702" spans="1:18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  <c r="R2702" s="2"/>
    </row>
    <row r="2703" spans="1:18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  <c r="R2703" s="2"/>
    </row>
    <row r="2704" spans="1:18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  <c r="R2704" s="2"/>
    </row>
    <row r="2705" spans="1:18" ht="19.5" hidden="1" thickBot="1" x14ac:dyDescent="0.3">
      <c r="A2705" s="992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  <c r="R2705" s="2"/>
    </row>
    <row r="2706" spans="1:18" ht="19.5" hidden="1" thickBot="1" x14ac:dyDescent="0.3">
      <c r="A2706" s="992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  <c r="R2706" s="2"/>
    </row>
    <row r="2707" spans="1:18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  <c r="R2707" s="2"/>
    </row>
    <row r="2708" spans="1:18" ht="19.5" hidden="1" thickBot="1" x14ac:dyDescent="0.3">
      <c r="A2708" s="984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  <c r="R2708" s="2"/>
    </row>
    <row r="2709" spans="1:18" ht="19.5" hidden="1" thickBot="1" x14ac:dyDescent="0.3">
      <c r="A2709" s="984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  <c r="R2709" s="2"/>
    </row>
    <row r="2710" spans="1:18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  <c r="R2710" s="2"/>
    </row>
    <row r="2711" spans="1:18" ht="19.5" hidden="1" thickBot="1" x14ac:dyDescent="0.3">
      <c r="A2711" s="984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  <c r="R2711" s="2"/>
    </row>
    <row r="2712" spans="1:18" ht="19.5" hidden="1" thickBot="1" x14ac:dyDescent="0.3">
      <c r="A2712" s="984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  <c r="R2712" s="2"/>
    </row>
    <row r="2713" spans="1:18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  <c r="R2713" s="2"/>
    </row>
    <row r="2714" spans="1:18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  <c r="R2714" s="2"/>
    </row>
    <row r="2715" spans="1:18" ht="19.5" hidden="1" thickBot="1" x14ac:dyDescent="0.3">
      <c r="A2715" s="985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  <c r="R2715" s="2"/>
    </row>
    <row r="2716" spans="1:18" ht="19.5" hidden="1" thickBot="1" x14ac:dyDescent="0.3">
      <c r="A2716" s="985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  <c r="R2716" s="2"/>
    </row>
    <row r="2717" spans="1:18" ht="19.5" hidden="1" thickBot="1" x14ac:dyDescent="0.3">
      <c r="A2717" s="984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  <c r="R2717" s="2"/>
    </row>
    <row r="2718" spans="1:18" ht="19.5" hidden="1" thickBot="1" x14ac:dyDescent="0.3">
      <c r="A2718" s="984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  <c r="R2718" s="2"/>
    </row>
    <row r="2719" spans="1:18" ht="19.5" hidden="1" thickBot="1" x14ac:dyDescent="0.3">
      <c r="A2719" s="984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  <c r="R2719" s="2"/>
    </row>
    <row r="2720" spans="1:18" ht="19.5" hidden="1" thickBot="1" x14ac:dyDescent="0.3">
      <c r="A2720" s="984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  <c r="R2720" s="2"/>
    </row>
    <row r="2721" spans="1:18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  <c r="R2721" s="2"/>
    </row>
    <row r="2722" spans="1:18" ht="19.5" hidden="1" thickBot="1" x14ac:dyDescent="0.3">
      <c r="A2722" s="984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  <c r="R2722" s="2"/>
    </row>
    <row r="2723" spans="1:18" ht="19.5" hidden="1" thickBot="1" x14ac:dyDescent="0.3">
      <c r="A2723" s="984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  <c r="R2723" s="2"/>
    </row>
    <row r="2724" spans="1:18" ht="19.5" hidden="1" thickBot="1" x14ac:dyDescent="0.3">
      <c r="A2724" s="985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  <c r="R2724" s="2"/>
    </row>
    <row r="2725" spans="1:18" ht="19.5" hidden="1" thickBot="1" x14ac:dyDescent="0.3">
      <c r="A2725" s="985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  <c r="R2725" s="2"/>
    </row>
    <row r="2726" spans="1:18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  <c r="R2726" s="2"/>
    </row>
    <row r="2727" spans="1:18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  <c r="R2727" s="2"/>
    </row>
    <row r="2728" spans="1:18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  <c r="R2728" s="2"/>
    </row>
    <row r="2729" spans="1:18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  <c r="R2729" s="2"/>
    </row>
    <row r="2730" spans="1:18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  <c r="R2730" s="2"/>
    </row>
    <row r="2731" spans="1:18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  <c r="R2731" s="2"/>
    </row>
    <row r="2732" spans="1:18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  <c r="R2732" s="2"/>
    </row>
    <row r="2733" spans="1:18" ht="19.5" hidden="1" thickBot="1" x14ac:dyDescent="0.3">
      <c r="A2733" s="988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  <c r="R2733" s="2"/>
    </row>
    <row r="2734" spans="1:18" ht="19.5" hidden="1" thickBot="1" x14ac:dyDescent="0.3">
      <c r="A2734" s="988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  <c r="R2734" s="2"/>
    </row>
    <row r="2735" spans="1:18" ht="19.5" hidden="1" thickBot="1" x14ac:dyDescent="0.3">
      <c r="A2735" s="988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  <c r="R2735" s="2"/>
    </row>
    <row r="2736" spans="1:18" ht="19.5" hidden="1" thickBot="1" x14ac:dyDescent="0.3">
      <c r="A2736" s="988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  <c r="R2736" s="2"/>
    </row>
    <row r="2737" spans="1:18" ht="19.5" hidden="1" thickBot="1" x14ac:dyDescent="0.3">
      <c r="A2737" s="988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  <c r="R2737" s="2"/>
    </row>
    <row r="2738" spans="1:18" ht="19.5" hidden="1" thickBot="1" x14ac:dyDescent="0.3">
      <c r="A2738" s="988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  <c r="R2738" s="2"/>
    </row>
    <row r="2739" spans="1:18" ht="19.5" hidden="1" thickBot="1" x14ac:dyDescent="0.3">
      <c r="A2739" s="984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  <c r="R2739" s="2"/>
    </row>
    <row r="2740" spans="1:18" ht="19.5" hidden="1" thickBot="1" x14ac:dyDescent="0.3">
      <c r="A2740" s="984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  <c r="R2740" s="2"/>
    </row>
    <row r="2741" spans="1:18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  <c r="R2741" s="2"/>
    </row>
    <row r="2742" spans="1:18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  <c r="R2742" s="2"/>
    </row>
    <row r="2743" spans="1:18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  <c r="R2743" s="2"/>
    </row>
    <row r="2744" spans="1:18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  <c r="R2744" s="2"/>
    </row>
    <row r="2745" spans="1:18" ht="19.5" hidden="1" thickBot="1" x14ac:dyDescent="0.3">
      <c r="A2745" s="985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  <c r="R2745" s="2"/>
    </row>
    <row r="2746" spans="1:18" ht="19.5" hidden="1" thickBot="1" x14ac:dyDescent="0.3">
      <c r="A2746" s="985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  <c r="R2746" s="2"/>
    </row>
    <row r="2747" spans="1:18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  <c r="R2747" s="2"/>
    </row>
    <row r="2748" spans="1:18" ht="19.5" hidden="1" thickBot="1" x14ac:dyDescent="0.3">
      <c r="A2748" s="985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  <c r="R2748" s="2"/>
    </row>
    <row r="2749" spans="1:18" ht="19.5" hidden="1" thickBot="1" x14ac:dyDescent="0.3">
      <c r="A2749" s="985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  <c r="R2749" s="2"/>
    </row>
    <row r="2750" spans="1:18" ht="19.5" hidden="1" thickBot="1" x14ac:dyDescent="0.3">
      <c r="A2750" s="986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  <c r="R2750" s="2"/>
    </row>
    <row r="2751" spans="1:18" ht="19.5" hidden="1" thickBot="1" x14ac:dyDescent="0.3">
      <c r="A2751" s="986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  <c r="R2751" s="2"/>
    </row>
    <row r="2752" spans="1:18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  <c r="R2752" s="2"/>
    </row>
    <row r="2753" spans="1:18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  <c r="R2753" s="2"/>
    </row>
    <row r="2754" spans="1:18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  <c r="R2754" s="2"/>
    </row>
    <row r="2755" spans="1:18" ht="19.5" hidden="1" thickBot="1" x14ac:dyDescent="0.3">
      <c r="A2755" s="984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  <c r="R2755" s="2"/>
    </row>
    <row r="2756" spans="1:18" ht="19.5" hidden="1" thickBot="1" x14ac:dyDescent="0.3">
      <c r="A2756" s="984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  <c r="R2756" s="2"/>
    </row>
    <row r="2757" spans="1:18" ht="19.5" hidden="1" thickBot="1" x14ac:dyDescent="0.3">
      <c r="A2757" s="984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  <c r="R2757" s="2"/>
    </row>
    <row r="2758" spans="1:18" ht="19.5" hidden="1" thickBot="1" x14ac:dyDescent="0.3">
      <c r="A2758" s="985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  <c r="R2758" s="2"/>
    </row>
    <row r="2759" spans="1:18" ht="19.5" hidden="1" thickBot="1" x14ac:dyDescent="0.3">
      <c r="A2759" s="985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  <c r="R2759" s="2"/>
    </row>
    <row r="2760" spans="1:18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  <c r="R2760" s="2"/>
    </row>
    <row r="2761" spans="1:18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  <c r="R2761" s="2"/>
    </row>
    <row r="2762" spans="1:18" ht="57" hidden="1" thickBot="1" x14ac:dyDescent="0.3">
      <c r="A2762" s="984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  <c r="R2762" s="2"/>
    </row>
    <row r="2763" spans="1:18" ht="57" hidden="1" thickBot="1" x14ac:dyDescent="0.3">
      <c r="A2763" s="984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  <c r="R2763" s="2"/>
    </row>
    <row r="2764" spans="1:18" ht="57" hidden="1" thickBot="1" x14ac:dyDescent="0.3">
      <c r="A2764" s="984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  <c r="R2764" s="2"/>
    </row>
    <row r="2765" spans="1:18" ht="57" hidden="1" thickBot="1" x14ac:dyDescent="0.3">
      <c r="A2765" s="984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  <c r="R2765" s="2"/>
    </row>
    <row r="2766" spans="1:18" ht="19.5" hidden="1" thickBot="1" x14ac:dyDescent="0.3">
      <c r="A2766" s="985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  <c r="R2766" s="2"/>
    </row>
    <row r="2767" spans="1:18" ht="19.5" hidden="1" thickBot="1" x14ac:dyDescent="0.3">
      <c r="A2767" s="985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  <c r="R2767" s="2"/>
    </row>
    <row r="2768" spans="1:18" ht="19.5" hidden="1" thickBot="1" x14ac:dyDescent="0.3">
      <c r="A2768" s="985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  <c r="R2768" s="2"/>
    </row>
    <row r="2769" spans="1:18" ht="19.5" hidden="1" thickBot="1" x14ac:dyDescent="0.3">
      <c r="A2769" s="985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  <c r="R2769" s="2"/>
    </row>
    <row r="2770" spans="1:18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  <c r="R2770" s="2"/>
    </row>
    <row r="2771" spans="1:18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  <c r="R2771" s="2"/>
    </row>
    <row r="2772" spans="1:18" ht="18.75" hidden="1" customHeight="1" thickBot="1" x14ac:dyDescent="0.3">
      <c r="A2772" s="984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987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  <c r="R2772" s="2"/>
    </row>
    <row r="2773" spans="1:18" ht="19.5" hidden="1" thickBot="1" x14ac:dyDescent="0.3">
      <c r="A2773" s="984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987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  <c r="R2773" s="2"/>
    </row>
    <row r="2774" spans="1:18" ht="19.5" hidden="1" thickBot="1" x14ac:dyDescent="0.3">
      <c r="A2774" s="984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987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  <c r="R2774" s="2"/>
    </row>
    <row r="2775" spans="1:18" ht="19.5" hidden="1" thickBot="1" x14ac:dyDescent="0.3">
      <c r="A2775" s="988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  <c r="R2775" s="2"/>
    </row>
    <row r="2776" spans="1:18" ht="19.5" hidden="1" thickBot="1" x14ac:dyDescent="0.3">
      <c r="A2776" s="988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  <c r="R2776" s="2"/>
    </row>
    <row r="2777" spans="1:18" ht="19.5" hidden="1" thickBot="1" x14ac:dyDescent="0.3">
      <c r="A2777" s="988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  <c r="R2777" s="2"/>
    </row>
    <row r="2778" spans="1:18" ht="19.5" hidden="1" thickBot="1" x14ac:dyDescent="0.3">
      <c r="A2778" s="988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  <c r="R2778" s="2"/>
    </row>
    <row r="2779" spans="1:18" ht="19.5" hidden="1" thickBot="1" x14ac:dyDescent="0.3">
      <c r="A2779" s="984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  <c r="R2779" s="2"/>
    </row>
    <row r="2780" spans="1:18" ht="19.5" hidden="1" thickBot="1" x14ac:dyDescent="0.3">
      <c r="A2780" s="984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  <c r="R2780" s="2"/>
    </row>
    <row r="2781" spans="1:18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  <c r="R2781" s="2"/>
    </row>
    <row r="2782" spans="1:18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  <c r="R2782" s="2"/>
    </row>
    <row r="2783" spans="1:18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  <c r="R2783" s="2"/>
    </row>
    <row r="2784" spans="1:18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  <c r="R2784" s="2"/>
    </row>
    <row r="2785" spans="1:18" ht="19.5" hidden="1" thickBot="1" x14ac:dyDescent="0.3">
      <c r="A2785" s="985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  <c r="R2785" s="2"/>
    </row>
    <row r="2786" spans="1:18" ht="19.5" hidden="1" thickBot="1" x14ac:dyDescent="0.3">
      <c r="A2786" s="985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  <c r="R2786" s="2"/>
    </row>
    <row r="2787" spans="1:18" ht="19.5" hidden="1" thickBot="1" x14ac:dyDescent="0.3">
      <c r="A2787" s="984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  <c r="R2787" s="2"/>
    </row>
    <row r="2788" spans="1:18" ht="19.5" hidden="1" thickBot="1" x14ac:dyDescent="0.3">
      <c r="A2788" s="984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  <c r="R2788" s="2"/>
    </row>
    <row r="2789" spans="1:18" ht="19.5" hidden="1" thickBot="1" x14ac:dyDescent="0.3">
      <c r="A2789" s="985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  <c r="R2789" s="2"/>
    </row>
    <row r="2790" spans="1:18" ht="19.5" hidden="1" thickBot="1" x14ac:dyDescent="0.3">
      <c r="A2790" s="985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  <c r="R2790" s="2"/>
    </row>
    <row r="2791" spans="1:18" ht="19.5" hidden="1" thickBot="1" x14ac:dyDescent="0.3">
      <c r="A2791" s="985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  <c r="R2791" s="2"/>
    </row>
    <row r="2792" spans="1:18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  <c r="R2792" s="2"/>
    </row>
    <row r="2793" spans="1:18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  <c r="R2793" s="2"/>
    </row>
    <row r="2794" spans="1:18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  <c r="R2794" s="2"/>
    </row>
    <row r="2795" spans="1:18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  <c r="R2795" s="2"/>
    </row>
    <row r="2796" spans="1:18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  <c r="R2796" s="2"/>
    </row>
    <row r="2797" spans="1:18" ht="19.5" hidden="1" thickBot="1" x14ac:dyDescent="0.3">
      <c r="A2797" s="985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  <c r="R2797" s="2"/>
    </row>
    <row r="2798" spans="1:18" ht="19.5" hidden="1" thickBot="1" x14ac:dyDescent="0.3">
      <c r="A2798" s="985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  <c r="R2798" s="2"/>
    </row>
    <row r="2799" spans="1:18" ht="19.5" hidden="1" thickBot="1" x14ac:dyDescent="0.3">
      <c r="A2799" s="984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  <c r="R2799" s="2"/>
    </row>
    <row r="2800" spans="1:18" ht="19.5" hidden="1" thickBot="1" x14ac:dyDescent="0.3">
      <c r="A2800" s="984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  <c r="R2800" s="2"/>
    </row>
    <row r="2801" spans="1:18" ht="19.5" hidden="1" thickBot="1" x14ac:dyDescent="0.3">
      <c r="A2801" s="984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  <c r="R2801" s="2"/>
    </row>
    <row r="2802" spans="1:18" ht="19.5" hidden="1" thickBot="1" x14ac:dyDescent="0.3">
      <c r="A2802" s="985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  <c r="R2802" s="2"/>
    </row>
    <row r="2803" spans="1:18" ht="19.5" hidden="1" thickBot="1" x14ac:dyDescent="0.3">
      <c r="A2803" s="985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  <c r="R2803" s="2"/>
    </row>
    <row r="2804" spans="1:18" ht="19.5" hidden="1" thickBot="1" x14ac:dyDescent="0.3">
      <c r="A2804" s="984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  <c r="R2804" s="2"/>
    </row>
    <row r="2805" spans="1:18" ht="19.5" hidden="1" thickBot="1" x14ac:dyDescent="0.3">
      <c r="A2805" s="984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  <c r="R2805" s="2"/>
    </row>
    <row r="2806" spans="1:18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  <c r="R2806" s="2"/>
    </row>
    <row r="2807" spans="1:18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  <c r="R2807" s="2"/>
    </row>
    <row r="2808" spans="1:18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  <c r="R2808" s="2"/>
    </row>
    <row r="2809" spans="1:18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  <c r="R2809" s="2"/>
    </row>
    <row r="2810" spans="1:18" ht="19.5" hidden="1" thickBot="1" x14ac:dyDescent="0.3">
      <c r="A2810" s="988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  <c r="R2810" s="2"/>
    </row>
    <row r="2811" spans="1:18" ht="19.5" hidden="1" thickBot="1" x14ac:dyDescent="0.3">
      <c r="A2811" s="988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  <c r="R2811" s="2"/>
    </row>
    <row r="2812" spans="1:18" ht="19.5" hidden="1" thickBot="1" x14ac:dyDescent="0.3">
      <c r="A2812" s="988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  <c r="R2812" s="2"/>
    </row>
    <row r="2813" spans="1:18" ht="19.5" hidden="1" thickBot="1" x14ac:dyDescent="0.3">
      <c r="A2813" s="988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  <c r="R2813" s="2"/>
    </row>
    <row r="2814" spans="1:18" ht="19.5" hidden="1" thickBot="1" x14ac:dyDescent="0.3">
      <c r="A2814" s="988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  <c r="R2814" s="2"/>
    </row>
    <row r="2815" spans="1:18" ht="19.5" hidden="1" thickBot="1" x14ac:dyDescent="0.3">
      <c r="A2815" s="984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  <c r="R2815" s="2"/>
    </row>
    <row r="2816" spans="1:18" ht="19.5" hidden="1" thickBot="1" x14ac:dyDescent="0.3">
      <c r="A2816" s="984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  <c r="R2816" s="2"/>
    </row>
    <row r="2817" spans="1:18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  <c r="R2817" s="2"/>
    </row>
    <row r="2818" spans="1:18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  <c r="R2818" s="2"/>
    </row>
    <row r="2819" spans="1:18" ht="19.5" hidden="1" thickBot="1" x14ac:dyDescent="0.3">
      <c r="A2819" s="985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  <c r="R2819" s="2"/>
    </row>
    <row r="2820" spans="1:18" ht="19.5" hidden="1" thickBot="1" x14ac:dyDescent="0.3">
      <c r="A2820" s="985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  <c r="R2820" s="2"/>
    </row>
    <row r="2821" spans="1:18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  <c r="R2821" s="2"/>
    </row>
    <row r="2822" spans="1:18" ht="19.5" hidden="1" thickBot="1" x14ac:dyDescent="0.3">
      <c r="A2822" s="985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  <c r="R2822" s="2"/>
    </row>
    <row r="2823" spans="1:18" ht="19.5" hidden="1" thickBot="1" x14ac:dyDescent="0.3">
      <c r="A2823" s="985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  <c r="R2823" s="2"/>
    </row>
    <row r="2824" spans="1:18" ht="19.5" hidden="1" thickBot="1" x14ac:dyDescent="0.3">
      <c r="A2824" s="984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  <c r="R2824" s="2"/>
    </row>
    <row r="2825" spans="1:18" ht="19.5" hidden="1" thickBot="1" x14ac:dyDescent="0.3">
      <c r="A2825" s="984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  <c r="R2825" s="2"/>
    </row>
    <row r="2826" spans="1:18" ht="19.5" hidden="1" thickBot="1" x14ac:dyDescent="0.3">
      <c r="A2826" s="988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  <c r="R2826" s="2"/>
    </row>
    <row r="2827" spans="1:18" ht="19.5" hidden="1" thickBot="1" x14ac:dyDescent="0.3">
      <c r="A2827" s="988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  <c r="R2827" s="2"/>
    </row>
    <row r="2828" spans="1:18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  <c r="R2828" s="2"/>
    </row>
    <row r="2829" spans="1:18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  <c r="R2829" s="2"/>
    </row>
    <row r="2830" spans="1:18" ht="19.5" hidden="1" thickBot="1" x14ac:dyDescent="0.3">
      <c r="A2830" s="984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  <c r="R2830" s="2"/>
    </row>
    <row r="2831" spans="1:18" ht="19.5" hidden="1" thickBot="1" x14ac:dyDescent="0.3">
      <c r="A2831" s="984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  <c r="R2831" s="2"/>
    </row>
    <row r="2832" spans="1:18" ht="19.5" hidden="1" thickBot="1" x14ac:dyDescent="0.3">
      <c r="A2832" s="984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  <c r="R2832" s="2"/>
    </row>
    <row r="2833" spans="1:18" ht="19.5" hidden="1" thickBot="1" x14ac:dyDescent="0.3">
      <c r="A2833" s="984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  <c r="R2833" s="2"/>
    </row>
    <row r="2834" spans="1:18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  <c r="R2834" s="2"/>
    </row>
    <row r="2835" spans="1:18" ht="19.5" hidden="1" thickBot="1" x14ac:dyDescent="0.3">
      <c r="A2835" s="986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  <c r="R2835" s="2"/>
    </row>
    <row r="2836" spans="1:18" ht="19.5" hidden="1" thickBot="1" x14ac:dyDescent="0.3">
      <c r="A2836" s="986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  <c r="R2836" s="2"/>
    </row>
    <row r="2837" spans="1:18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  <c r="R2837" s="2"/>
    </row>
    <row r="2838" spans="1:18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  <c r="R2838" s="2"/>
    </row>
    <row r="2839" spans="1:18" ht="19.5" hidden="1" thickBot="1" x14ac:dyDescent="0.3">
      <c r="A2839" s="985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  <c r="R2839" s="2"/>
    </row>
    <row r="2840" spans="1:18" ht="19.5" hidden="1" thickBot="1" x14ac:dyDescent="0.3">
      <c r="A2840" s="985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  <c r="R2840" s="2"/>
    </row>
    <row r="2841" spans="1:18" ht="19.5" hidden="1" thickBot="1" x14ac:dyDescent="0.3">
      <c r="A2841" s="985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  <c r="R2841" s="2"/>
    </row>
    <row r="2842" spans="1:18" ht="19.5" hidden="1" thickBot="1" x14ac:dyDescent="0.3">
      <c r="A2842" s="985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  <c r="R2842" s="2"/>
    </row>
    <row r="2843" spans="1:18" ht="19.5" hidden="1" thickBot="1" x14ac:dyDescent="0.3">
      <c r="A2843" s="985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  <c r="R2843" s="2"/>
    </row>
    <row r="2844" spans="1:18" ht="18.75" hidden="1" customHeight="1" thickBot="1" x14ac:dyDescent="0.3">
      <c r="A2844" s="986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991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  <c r="R2844" s="2"/>
    </row>
    <row r="2845" spans="1:18" ht="19.5" hidden="1" thickBot="1" x14ac:dyDescent="0.3">
      <c r="A2845" s="986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991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  <c r="R2845" s="2"/>
    </row>
    <row r="2846" spans="1:18" ht="19.5" hidden="1" thickBot="1" x14ac:dyDescent="0.3">
      <c r="A2846" s="985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  <c r="R2846" s="2"/>
    </row>
    <row r="2847" spans="1:18" ht="19.5" hidden="1" thickBot="1" x14ac:dyDescent="0.3">
      <c r="A2847" s="985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  <c r="R2847" s="2"/>
    </row>
    <row r="2848" spans="1:18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  <c r="R2848" s="2"/>
    </row>
    <row r="2849" spans="1:18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  <c r="R2849" s="2"/>
    </row>
    <row r="2850" spans="1:18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  <c r="R2850" s="2"/>
    </row>
    <row r="2851" spans="1:18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  <c r="R2851" s="2"/>
    </row>
    <row r="2852" spans="1:18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  <c r="R2852" s="2"/>
    </row>
    <row r="2853" spans="1:18" ht="18.75" hidden="1" customHeight="1" thickBot="1" x14ac:dyDescent="0.3">
      <c r="A2853" s="985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990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  <c r="R2853" s="2"/>
    </row>
    <row r="2854" spans="1:18" ht="19.5" hidden="1" thickBot="1" x14ac:dyDescent="0.3">
      <c r="A2854" s="985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990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  <c r="R2854" s="2"/>
    </row>
    <row r="2855" spans="1:18" ht="19.5" hidden="1" thickBot="1" x14ac:dyDescent="0.3">
      <c r="A2855" s="984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  <c r="R2855" s="2"/>
    </row>
    <row r="2856" spans="1:18" ht="19.5" hidden="1" thickBot="1" x14ac:dyDescent="0.3">
      <c r="A2856" s="984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  <c r="R2856" s="2"/>
    </row>
    <row r="2857" spans="1:18" ht="19.5" hidden="1" thickBot="1" x14ac:dyDescent="0.3">
      <c r="A2857" s="985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  <c r="R2857" s="2"/>
    </row>
    <row r="2858" spans="1:18" ht="19.5" hidden="1" thickBot="1" x14ac:dyDescent="0.3">
      <c r="A2858" s="985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  <c r="R2858" s="2"/>
    </row>
    <row r="2859" spans="1:18" ht="19.5" hidden="1" thickBot="1" x14ac:dyDescent="0.3">
      <c r="A2859" s="985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  <c r="R2859" s="2"/>
    </row>
    <row r="2860" spans="1:18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  <c r="R2860" s="2"/>
    </row>
    <row r="2861" spans="1:18" ht="19.5" hidden="1" thickBot="1" x14ac:dyDescent="0.3">
      <c r="A2861" s="988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  <c r="R2861" s="2"/>
    </row>
    <row r="2862" spans="1:18" ht="19.5" hidden="1" thickBot="1" x14ac:dyDescent="0.3">
      <c r="A2862" s="988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  <c r="R2862" s="2"/>
    </row>
    <row r="2863" spans="1:18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  <c r="R2863" s="2"/>
    </row>
    <row r="2864" spans="1:18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  <c r="R2864" s="2"/>
    </row>
    <row r="2865" spans="1:18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  <c r="R2865" s="2"/>
    </row>
    <row r="2866" spans="1:18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  <c r="R2866" s="2"/>
    </row>
    <row r="2867" spans="1:18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  <c r="R2867" s="2"/>
    </row>
    <row r="2868" spans="1:18" ht="19.5" hidden="1" thickBot="1" x14ac:dyDescent="0.3">
      <c r="A2868" s="985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  <c r="R2868" s="2"/>
    </row>
    <row r="2869" spans="1:18" ht="19.5" hidden="1" thickBot="1" x14ac:dyDescent="0.3">
      <c r="A2869" s="985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  <c r="R2869" s="2"/>
    </row>
    <row r="2870" spans="1:18" ht="19.5" hidden="1" thickBot="1" x14ac:dyDescent="0.3">
      <c r="A2870" s="984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  <c r="R2870" s="2"/>
    </row>
    <row r="2871" spans="1:18" ht="19.5" hidden="1" thickBot="1" x14ac:dyDescent="0.3">
      <c r="A2871" s="984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  <c r="R2871" s="2"/>
    </row>
    <row r="2872" spans="1:18" ht="19.5" hidden="1" thickBot="1" x14ac:dyDescent="0.3">
      <c r="A2872" s="984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  <c r="R2872" s="2"/>
    </row>
    <row r="2873" spans="1:18" ht="19.5" hidden="1" thickBot="1" x14ac:dyDescent="0.3">
      <c r="A2873" s="985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  <c r="R2873" s="2"/>
    </row>
    <row r="2874" spans="1:18" ht="19.5" hidden="1" thickBot="1" x14ac:dyDescent="0.3">
      <c r="A2874" s="985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  <c r="R2874" s="2"/>
    </row>
    <row r="2875" spans="1:18" ht="19.5" hidden="1" thickBot="1" x14ac:dyDescent="0.3">
      <c r="A2875" s="985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  <c r="R2875" s="2"/>
    </row>
    <row r="2876" spans="1:18" ht="19.5" hidden="1" thickBot="1" x14ac:dyDescent="0.3">
      <c r="A2876" s="984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  <c r="R2876" s="2"/>
    </row>
    <row r="2877" spans="1:18" ht="19.5" hidden="1" thickBot="1" x14ac:dyDescent="0.3">
      <c r="A2877" s="984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  <c r="R2877" s="2"/>
    </row>
    <row r="2878" spans="1:18" ht="19.5" hidden="1" thickBot="1" x14ac:dyDescent="0.3">
      <c r="A2878" s="984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  <c r="R2878" s="2"/>
    </row>
    <row r="2879" spans="1:18" ht="19.5" hidden="1" thickBot="1" x14ac:dyDescent="0.3">
      <c r="A2879" s="984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  <c r="R2879" s="2"/>
    </row>
    <row r="2880" spans="1:18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  <c r="R2880" s="2"/>
    </row>
    <row r="2881" spans="1:18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  <c r="R2881" s="2"/>
    </row>
    <row r="2882" spans="1:18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  <c r="R2882" s="2"/>
    </row>
    <row r="2883" spans="1:18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  <c r="R2883" s="2"/>
    </row>
    <row r="2884" spans="1:18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  <c r="R2884" s="2"/>
    </row>
    <row r="2885" spans="1:18" ht="19.5" hidden="1" thickBot="1" x14ac:dyDescent="0.3">
      <c r="A2885" s="986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  <c r="R2885" s="2"/>
    </row>
    <row r="2886" spans="1:18" ht="19.5" hidden="1" thickBot="1" x14ac:dyDescent="0.3">
      <c r="A2886" s="986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  <c r="R2886" s="2"/>
    </row>
    <row r="2887" spans="1:18" ht="19.5" hidden="1" thickBot="1" x14ac:dyDescent="0.3">
      <c r="A2887" s="986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  <c r="R2887" s="2"/>
    </row>
    <row r="2888" spans="1:18" ht="19.5" hidden="1" thickBot="1" x14ac:dyDescent="0.3">
      <c r="A2888" s="986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  <c r="R2888" s="2"/>
    </row>
    <row r="2889" spans="1:18" ht="19.5" hidden="1" thickBot="1" x14ac:dyDescent="0.3">
      <c r="A2889" s="986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  <c r="R2889" s="2"/>
    </row>
    <row r="2890" spans="1:18" ht="19.5" hidden="1" thickBot="1" x14ac:dyDescent="0.3">
      <c r="A2890" s="985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  <c r="R2890" s="2"/>
    </row>
    <row r="2891" spans="1:18" ht="19.5" hidden="1" thickBot="1" x14ac:dyDescent="0.3">
      <c r="A2891" s="985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  <c r="R2891" s="2"/>
    </row>
    <row r="2892" spans="1:18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  <c r="R2892" s="2"/>
    </row>
    <row r="2893" spans="1:18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  <c r="R2893" s="2"/>
    </row>
    <row r="2894" spans="1:18" ht="18.75" hidden="1" customHeight="1" thickBot="1" x14ac:dyDescent="0.3">
      <c r="A2894" s="984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987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  <c r="R2894" s="2"/>
    </row>
    <row r="2895" spans="1:18" ht="19.5" hidden="1" thickBot="1" x14ac:dyDescent="0.3">
      <c r="A2895" s="984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987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  <c r="R2895" s="2"/>
    </row>
    <row r="2896" spans="1:18" ht="19.5" hidden="1" thickBot="1" x14ac:dyDescent="0.3">
      <c r="A2896" s="985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  <c r="R2896" s="2"/>
    </row>
    <row r="2897" spans="1:18" ht="19.5" hidden="1" thickBot="1" x14ac:dyDescent="0.3">
      <c r="A2897" s="985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  <c r="R2897" s="2"/>
    </row>
    <row r="2898" spans="1:18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  <c r="R2898" s="2"/>
    </row>
    <row r="2899" spans="1:18" ht="19.5" hidden="1" thickBot="1" x14ac:dyDescent="0.3">
      <c r="A2899" s="985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  <c r="R2899" s="2"/>
    </row>
    <row r="2900" spans="1:18" ht="19.5" hidden="1" thickBot="1" x14ac:dyDescent="0.3">
      <c r="A2900" s="985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  <c r="R2900" s="2"/>
    </row>
    <row r="2901" spans="1:18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  <c r="R2901" s="2"/>
    </row>
    <row r="2902" spans="1:18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  <c r="R2902" s="2"/>
    </row>
    <row r="2903" spans="1:18" ht="19.5" hidden="1" thickBot="1" x14ac:dyDescent="0.3">
      <c r="A2903" s="984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  <c r="R2903" s="2"/>
    </row>
    <row r="2904" spans="1:18" ht="19.5" hidden="1" thickBot="1" x14ac:dyDescent="0.3">
      <c r="A2904" s="984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  <c r="R2904" s="2"/>
    </row>
    <row r="2905" spans="1:18" ht="19.5" hidden="1" thickBot="1" x14ac:dyDescent="0.3">
      <c r="A2905" s="988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  <c r="R2905" s="2"/>
    </row>
    <row r="2906" spans="1:18" ht="19.5" hidden="1" thickBot="1" x14ac:dyDescent="0.3">
      <c r="A2906" s="988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  <c r="R2906" s="2"/>
    </row>
    <row r="2907" spans="1:18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  <c r="R2907" s="2"/>
    </row>
    <row r="2908" spans="1:18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  <c r="R2908" s="2"/>
    </row>
    <row r="2909" spans="1:18" ht="19.5" hidden="1" thickBot="1" x14ac:dyDescent="0.3">
      <c r="A2909" s="984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  <c r="R2909" s="2"/>
    </row>
    <row r="2910" spans="1:18" ht="19.5" hidden="1" thickBot="1" x14ac:dyDescent="0.3">
      <c r="A2910" s="984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  <c r="R2910" s="2"/>
    </row>
    <row r="2911" spans="1:18" ht="19.5" hidden="1" thickBot="1" x14ac:dyDescent="0.3">
      <c r="A2911" s="984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  <c r="R2911" s="2"/>
    </row>
    <row r="2912" spans="1:18" ht="19.5" hidden="1" thickBot="1" x14ac:dyDescent="0.3">
      <c r="A2912" s="985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  <c r="R2912" s="2"/>
    </row>
    <row r="2913" spans="1:18" ht="19.5" hidden="1" thickBot="1" x14ac:dyDescent="0.3">
      <c r="A2913" s="985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  <c r="R2913" s="2"/>
    </row>
    <row r="2914" spans="1:18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  <c r="R2914" s="2"/>
    </row>
    <row r="2915" spans="1:18" ht="19.5" hidden="1" thickBot="1" x14ac:dyDescent="0.3">
      <c r="A2915" s="985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  <c r="R2915" s="2"/>
    </row>
    <row r="2916" spans="1:18" ht="19.5" hidden="1" thickBot="1" x14ac:dyDescent="0.3">
      <c r="A2916" s="985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  <c r="R2916" s="2"/>
    </row>
    <row r="2917" spans="1:18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  <c r="R2917" s="2"/>
    </row>
    <row r="2918" spans="1:18" ht="19.5" hidden="1" thickBot="1" x14ac:dyDescent="0.3">
      <c r="A2918" s="988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  <c r="R2918" s="2"/>
    </row>
    <row r="2919" spans="1:18" ht="19.5" hidden="1" thickBot="1" x14ac:dyDescent="0.3">
      <c r="A2919" s="988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  <c r="R2919" s="2"/>
    </row>
    <row r="2920" spans="1:18" ht="19.5" hidden="1" thickBot="1" x14ac:dyDescent="0.3">
      <c r="A2920" s="988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  <c r="R2920" s="2"/>
    </row>
    <row r="2921" spans="1:18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  <c r="R2921" s="2"/>
    </row>
    <row r="2922" spans="1:18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  <c r="R2922" s="2"/>
    </row>
    <row r="2923" spans="1:18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  <c r="R2923" s="2"/>
    </row>
    <row r="2924" spans="1:18" ht="18.75" hidden="1" customHeight="1" thickBot="1" x14ac:dyDescent="0.3">
      <c r="A2924" s="985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990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  <c r="R2924" s="2"/>
    </row>
    <row r="2925" spans="1:18" ht="19.5" hidden="1" thickBot="1" x14ac:dyDescent="0.3">
      <c r="A2925" s="985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990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  <c r="R2925" s="2"/>
    </row>
    <row r="2926" spans="1:18" ht="19.5" hidden="1" thickBot="1" x14ac:dyDescent="0.3">
      <c r="A2926" s="986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  <c r="R2926" s="2"/>
    </row>
    <row r="2927" spans="1:18" ht="19.5" hidden="1" thickBot="1" x14ac:dyDescent="0.3">
      <c r="A2927" s="986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  <c r="R2927" s="2"/>
    </row>
    <row r="2928" spans="1:18" ht="19.5" hidden="1" thickBot="1" x14ac:dyDescent="0.3">
      <c r="A2928" s="986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  <c r="R2928" s="2"/>
    </row>
    <row r="2929" spans="1:18" ht="19.5" hidden="1" thickBot="1" x14ac:dyDescent="0.3">
      <c r="A2929" s="986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  <c r="R2929" s="2"/>
    </row>
    <row r="2930" spans="1:18" ht="19.5" hidden="1" thickBot="1" x14ac:dyDescent="0.3">
      <c r="A2930" s="985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  <c r="R2930" s="2"/>
    </row>
    <row r="2931" spans="1:18" ht="19.5" hidden="1" thickBot="1" x14ac:dyDescent="0.3">
      <c r="A2931" s="985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  <c r="R2931" s="2"/>
    </row>
    <row r="2932" spans="1:18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  <c r="R2932" s="2"/>
    </row>
    <row r="2933" spans="1:18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  <c r="R2933" s="2"/>
    </row>
    <row r="2934" spans="1:18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  <c r="R2934" s="2"/>
    </row>
    <row r="2935" spans="1:18" ht="18.75" hidden="1" customHeight="1" thickBot="1" x14ac:dyDescent="0.3">
      <c r="A2935" s="985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990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  <c r="R2935" s="2"/>
    </row>
    <row r="2936" spans="1:18" ht="19.5" hidden="1" thickBot="1" x14ac:dyDescent="0.3">
      <c r="A2936" s="985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990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  <c r="R2936" s="2"/>
    </row>
    <row r="2937" spans="1:18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  <c r="R2937" s="2"/>
    </row>
    <row r="2938" spans="1:18" ht="19.5" hidden="1" thickBot="1" x14ac:dyDescent="0.3">
      <c r="A2938" s="985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  <c r="R2938" s="2"/>
    </row>
    <row r="2939" spans="1:18" ht="19.5" hidden="1" thickBot="1" x14ac:dyDescent="0.3">
      <c r="A2939" s="985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  <c r="R2939" s="2"/>
    </row>
    <row r="2940" spans="1:18" ht="19.5" hidden="1" thickBot="1" x14ac:dyDescent="0.3">
      <c r="A2940" s="984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  <c r="R2940" s="2"/>
    </row>
    <row r="2941" spans="1:18" ht="19.5" hidden="1" thickBot="1" x14ac:dyDescent="0.3">
      <c r="A2941" s="984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  <c r="R2941" s="2"/>
    </row>
    <row r="2942" spans="1:18" ht="19.5" hidden="1" thickBot="1" x14ac:dyDescent="0.3">
      <c r="A2942" s="984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  <c r="R2942" s="2"/>
    </row>
    <row r="2943" spans="1:18" ht="19.5" hidden="1" thickBot="1" x14ac:dyDescent="0.3">
      <c r="A2943" s="988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  <c r="R2943" s="2"/>
    </row>
    <row r="2944" spans="1:18" ht="19.5" hidden="1" thickBot="1" x14ac:dyDescent="0.3">
      <c r="A2944" s="988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  <c r="R2944" s="2"/>
    </row>
    <row r="2945" spans="1:18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  <c r="R2945" s="2"/>
    </row>
    <row r="2946" spans="1:18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  <c r="R2946" s="2"/>
    </row>
    <row r="2947" spans="1:18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  <c r="R2947" s="2"/>
    </row>
    <row r="2948" spans="1:18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  <c r="R2948" s="2"/>
    </row>
    <row r="2949" spans="1:18" ht="19.5" hidden="1" thickBot="1" x14ac:dyDescent="0.3">
      <c r="A2949" s="984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  <c r="R2949" s="2"/>
    </row>
    <row r="2950" spans="1:18" ht="19.5" hidden="1" thickBot="1" x14ac:dyDescent="0.3">
      <c r="A2950" s="984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  <c r="R2950" s="2"/>
    </row>
    <row r="2951" spans="1:18" ht="19.5" hidden="1" thickBot="1" x14ac:dyDescent="0.3">
      <c r="A2951" s="984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  <c r="R2951" s="2"/>
    </row>
    <row r="2952" spans="1:18" ht="19.5" hidden="1" thickBot="1" x14ac:dyDescent="0.3">
      <c r="A2952" s="984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  <c r="R2952" s="2"/>
    </row>
    <row r="2953" spans="1:18" ht="19.5" hidden="1" thickBot="1" x14ac:dyDescent="0.3">
      <c r="A2953" s="988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  <c r="R2953" s="2"/>
    </row>
    <row r="2954" spans="1:18" ht="19.5" hidden="1" thickBot="1" x14ac:dyDescent="0.3">
      <c r="A2954" s="988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  <c r="R2954" s="2"/>
    </row>
    <row r="2955" spans="1:18" ht="19.5" hidden="1" thickBot="1" x14ac:dyDescent="0.3">
      <c r="A2955" s="984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  <c r="R2955" s="2"/>
    </row>
    <row r="2956" spans="1:18" ht="19.5" hidden="1" thickBot="1" x14ac:dyDescent="0.3">
      <c r="A2956" s="984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  <c r="R2956" s="2"/>
    </row>
    <row r="2957" spans="1:18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  <c r="R2957" s="2"/>
    </row>
    <row r="2958" spans="1:18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  <c r="R2958" s="2"/>
    </row>
    <row r="2959" spans="1:18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  <c r="R2959" s="2"/>
    </row>
    <row r="2960" spans="1:18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  <c r="R2960" s="2"/>
    </row>
    <row r="2961" spans="1:18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  <c r="R2961" s="2"/>
    </row>
    <row r="2962" spans="1:18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  <c r="R2962" s="2"/>
    </row>
    <row r="2963" spans="1:18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  <c r="R2963" s="2"/>
    </row>
    <row r="2964" spans="1:18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  <c r="R2964" s="2"/>
    </row>
    <row r="2965" spans="1:18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  <c r="R2965" s="2"/>
    </row>
    <row r="2966" spans="1:18" ht="19.5" hidden="1" thickBot="1" x14ac:dyDescent="0.3">
      <c r="A2966" s="986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  <c r="R2966" s="2"/>
    </row>
    <row r="2967" spans="1:18" ht="19.5" hidden="1" thickBot="1" x14ac:dyDescent="0.3">
      <c r="A2967" s="986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  <c r="R2967" s="2"/>
    </row>
    <row r="2968" spans="1:18" ht="19.5" hidden="1" thickBot="1" x14ac:dyDescent="0.3">
      <c r="A2968" s="986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  <c r="R2968" s="2"/>
    </row>
    <row r="2969" spans="1:18" ht="19.5" hidden="1" thickBot="1" x14ac:dyDescent="0.3">
      <c r="A2969" s="986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  <c r="R2969" s="2"/>
    </row>
    <row r="2970" spans="1:18" ht="19.5" hidden="1" thickBot="1" x14ac:dyDescent="0.3">
      <c r="A2970" s="986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  <c r="R2970" s="2"/>
    </row>
    <row r="2971" spans="1:18" ht="19.5" hidden="1" thickBot="1" x14ac:dyDescent="0.3">
      <c r="A2971" s="985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  <c r="R2971" s="2"/>
    </row>
    <row r="2972" spans="1:18" ht="19.5" hidden="1" thickBot="1" x14ac:dyDescent="0.3">
      <c r="A2972" s="985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  <c r="R2972" s="2"/>
    </row>
    <row r="2973" spans="1:18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  <c r="R2973" s="2"/>
    </row>
    <row r="2974" spans="1:18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  <c r="R2974" s="2"/>
    </row>
    <row r="2975" spans="1:18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  <c r="R2975" s="2"/>
    </row>
    <row r="2976" spans="1:18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  <c r="R2976" s="2"/>
    </row>
    <row r="2977" spans="1:18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  <c r="R2977" s="2"/>
    </row>
    <row r="2978" spans="1:18" ht="19.5" hidden="1" thickBot="1" x14ac:dyDescent="0.3">
      <c r="A2978" s="985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  <c r="R2978" s="2"/>
    </row>
    <row r="2979" spans="1:18" ht="19.5" hidden="1" thickBot="1" x14ac:dyDescent="0.3">
      <c r="A2979" s="985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  <c r="R2979" s="2"/>
    </row>
    <row r="2980" spans="1:18" ht="19.5" hidden="1" thickBot="1" x14ac:dyDescent="0.3">
      <c r="A2980" s="984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  <c r="R2980" s="2"/>
    </row>
    <row r="2981" spans="1:18" ht="19.5" hidden="1" thickBot="1" x14ac:dyDescent="0.3">
      <c r="A2981" s="984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  <c r="R2981" s="2"/>
    </row>
    <row r="2982" spans="1:18" ht="19.5" hidden="1" thickBot="1" x14ac:dyDescent="0.3">
      <c r="A2982" s="984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  <c r="R2982" s="2"/>
    </row>
    <row r="2983" spans="1:18" ht="18.75" hidden="1" customHeight="1" thickBot="1" x14ac:dyDescent="0.3">
      <c r="A2983" s="988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990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  <c r="R2983" s="2"/>
    </row>
    <row r="2984" spans="1:18" ht="19.5" hidden="1" thickBot="1" x14ac:dyDescent="0.3">
      <c r="A2984" s="988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990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  <c r="R2984" s="2"/>
    </row>
    <row r="2985" spans="1:18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  <c r="R2985" s="2"/>
    </row>
    <row r="2986" spans="1:18" ht="19.5" hidden="1" thickBot="1" x14ac:dyDescent="0.3">
      <c r="A2986" s="985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  <c r="R2986" s="2"/>
    </row>
    <row r="2987" spans="1:18" ht="19.5" hidden="1" thickBot="1" x14ac:dyDescent="0.3">
      <c r="A2987" s="985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  <c r="R2987" s="2"/>
    </row>
    <row r="2988" spans="1:18" ht="19.5" hidden="1" thickBot="1" x14ac:dyDescent="0.3">
      <c r="A2988" s="984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  <c r="R2988" s="2"/>
    </row>
    <row r="2989" spans="1:18" ht="19.5" hidden="1" thickBot="1" x14ac:dyDescent="0.3">
      <c r="A2989" s="984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  <c r="R2989" s="2"/>
    </row>
    <row r="2990" spans="1:18" ht="19.5" hidden="1" thickBot="1" x14ac:dyDescent="0.3">
      <c r="A2990" s="985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  <c r="R2990" s="2"/>
    </row>
    <row r="2991" spans="1:18" ht="19.5" hidden="1" thickBot="1" x14ac:dyDescent="0.3">
      <c r="A2991" s="985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  <c r="R2991" s="2"/>
    </row>
    <row r="2992" spans="1:18" ht="19.5" hidden="1" thickBot="1" x14ac:dyDescent="0.3">
      <c r="A2992" s="985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  <c r="R2992" s="2"/>
    </row>
    <row r="2993" spans="1:18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  <c r="R2993" s="2"/>
    </row>
    <row r="2994" spans="1:18" ht="19.5" hidden="1" thickBot="1" x14ac:dyDescent="0.3">
      <c r="A2994" s="988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  <c r="R2994" s="2"/>
    </row>
    <row r="2995" spans="1:18" ht="19.5" hidden="1" thickBot="1" x14ac:dyDescent="0.3">
      <c r="A2995" s="988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  <c r="R2995" s="2"/>
    </row>
    <row r="2996" spans="1:18" ht="19.5" hidden="1" thickBot="1" x14ac:dyDescent="0.3">
      <c r="A2996" s="988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  <c r="R2996" s="2"/>
    </row>
    <row r="2997" spans="1:18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  <c r="R2997" s="2"/>
    </row>
    <row r="2998" spans="1:18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  <c r="R2998" s="2"/>
    </row>
    <row r="2999" spans="1:18" ht="19.5" hidden="1" thickBot="1" x14ac:dyDescent="0.3">
      <c r="A2999" s="986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  <c r="R2999" s="2"/>
    </row>
    <row r="3000" spans="1:18" ht="19.5" hidden="1" thickBot="1" x14ac:dyDescent="0.3">
      <c r="A3000" s="986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  <c r="R3000" s="2"/>
    </row>
    <row r="3001" spans="1:18" ht="19.5" hidden="1" thickBot="1" x14ac:dyDescent="0.3">
      <c r="A3001" s="986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  <c r="R3001" s="2"/>
    </row>
    <row r="3002" spans="1:18" ht="19.5" hidden="1" thickBot="1" x14ac:dyDescent="0.3">
      <c r="A3002" s="986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  <c r="R3002" s="2"/>
    </row>
    <row r="3003" spans="1:18" ht="19.5" hidden="1" thickBot="1" x14ac:dyDescent="0.3">
      <c r="A3003" s="986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  <c r="R3003" s="2"/>
    </row>
    <row r="3004" spans="1:18" ht="19.5" hidden="1" thickBot="1" x14ac:dyDescent="0.3">
      <c r="A3004" s="986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  <c r="R3004" s="2"/>
    </row>
    <row r="3005" spans="1:18" ht="19.5" hidden="1" thickBot="1" x14ac:dyDescent="0.3">
      <c r="A3005" s="985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  <c r="R3005" s="2"/>
    </row>
    <row r="3006" spans="1:18" ht="19.5" hidden="1" thickBot="1" x14ac:dyDescent="0.3">
      <c r="A3006" s="985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  <c r="R3006" s="2"/>
    </row>
    <row r="3007" spans="1:18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  <c r="R3007" s="2"/>
    </row>
    <row r="3008" spans="1:18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  <c r="R3008" s="2"/>
    </row>
    <row r="3009" spans="1:18" ht="19.5" hidden="1" thickBot="1" x14ac:dyDescent="0.3">
      <c r="A3009" s="984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  <c r="R3009" s="2"/>
    </row>
    <row r="3010" spans="1:18" ht="19.5" hidden="1" thickBot="1" x14ac:dyDescent="0.3">
      <c r="A3010" s="984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  <c r="R3010" s="2"/>
    </row>
    <row r="3011" spans="1:18" ht="57" hidden="1" thickBot="1" x14ac:dyDescent="0.3">
      <c r="A3011" s="984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  <c r="R3011" s="2"/>
    </row>
    <row r="3012" spans="1:18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  <c r="R3012" s="2"/>
    </row>
    <row r="3013" spans="1:18" ht="19.5" hidden="1" thickBot="1" x14ac:dyDescent="0.3">
      <c r="A3013" s="984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  <c r="R3013" s="2"/>
    </row>
    <row r="3014" spans="1:18" ht="19.5" hidden="1" thickBot="1" x14ac:dyDescent="0.3">
      <c r="A3014" s="984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  <c r="R3014" s="2"/>
    </row>
    <row r="3015" spans="1:18" ht="19.5" hidden="1" thickBot="1" x14ac:dyDescent="0.3">
      <c r="A3015" s="985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  <c r="R3015" s="2"/>
    </row>
    <row r="3016" spans="1:18" ht="19.5" hidden="1" thickBot="1" x14ac:dyDescent="0.3">
      <c r="A3016" s="985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  <c r="R3016" s="2"/>
    </row>
    <row r="3017" spans="1:18" ht="19.5" hidden="1" thickBot="1" x14ac:dyDescent="0.3">
      <c r="A3017" s="985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  <c r="R3017" s="2"/>
    </row>
    <row r="3018" spans="1:18" ht="18.75" hidden="1" customHeight="1" thickBot="1" x14ac:dyDescent="0.3">
      <c r="A3018" s="986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987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  <c r="R3018" s="2"/>
    </row>
    <row r="3019" spans="1:18" ht="19.5" hidden="1" thickBot="1" x14ac:dyDescent="0.3">
      <c r="A3019" s="986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987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  <c r="R3019" s="2"/>
    </row>
    <row r="3020" spans="1:18" ht="19.5" hidden="1" thickBot="1" x14ac:dyDescent="0.3">
      <c r="A3020" s="986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987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  <c r="R3020" s="2"/>
    </row>
    <row r="3021" spans="1:18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  <c r="R3021" s="2"/>
    </row>
    <row r="3022" spans="1:18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  <c r="R3022" s="2"/>
    </row>
    <row r="3023" spans="1:18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  <c r="R3023" s="2"/>
    </row>
    <row r="3024" spans="1:18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  <c r="R3024" s="2"/>
    </row>
    <row r="3025" spans="1:18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  <c r="R3025" s="2"/>
    </row>
    <row r="3026" spans="1:18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  <c r="R3026" s="2"/>
    </row>
    <row r="3027" spans="1:18" ht="19.5" hidden="1" thickBot="1" x14ac:dyDescent="0.3">
      <c r="A3027" s="985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  <c r="R3027" s="2"/>
    </row>
    <row r="3028" spans="1:18" ht="19.5" hidden="1" thickBot="1" x14ac:dyDescent="0.3">
      <c r="A3028" s="985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  <c r="R3028" s="2"/>
    </row>
    <row r="3029" spans="1:18" ht="19.5" hidden="1" thickBot="1" x14ac:dyDescent="0.3">
      <c r="A3029" s="984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  <c r="R3029" s="2"/>
    </row>
    <row r="3030" spans="1:18" ht="19.5" hidden="1" thickBot="1" x14ac:dyDescent="0.3">
      <c r="A3030" s="984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  <c r="R3030" s="2"/>
    </row>
    <row r="3031" spans="1:18" ht="19.5" hidden="1" thickBot="1" x14ac:dyDescent="0.3">
      <c r="A3031" s="985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  <c r="R3031" s="2"/>
    </row>
    <row r="3032" spans="1:18" ht="19.5" hidden="1" thickBot="1" x14ac:dyDescent="0.3">
      <c r="A3032" s="985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  <c r="R3032" s="2"/>
    </row>
    <row r="3033" spans="1:18" ht="19.5" hidden="1" thickBot="1" x14ac:dyDescent="0.3">
      <c r="A3033" s="985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  <c r="R3033" s="2"/>
    </row>
    <row r="3034" spans="1:18" ht="19.5" hidden="1" thickBot="1" x14ac:dyDescent="0.3">
      <c r="A3034" s="984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  <c r="R3034" s="2"/>
    </row>
    <row r="3035" spans="1:18" ht="19.5" hidden="1" thickBot="1" x14ac:dyDescent="0.3">
      <c r="A3035" s="984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  <c r="R3035" s="2"/>
    </row>
    <row r="3036" spans="1:18" ht="19.5" hidden="1" thickBot="1" x14ac:dyDescent="0.3">
      <c r="A3036" s="985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  <c r="R3036" s="2"/>
    </row>
    <row r="3037" spans="1:18" ht="19.5" hidden="1" thickBot="1" x14ac:dyDescent="0.3">
      <c r="A3037" s="985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  <c r="R3037" s="2"/>
    </row>
    <row r="3038" spans="1:18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  <c r="R3038" s="2"/>
    </row>
    <row r="3039" spans="1:18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  <c r="R3039" s="2"/>
    </row>
    <row r="3040" spans="1:18" ht="19.5" hidden="1" thickBot="1" x14ac:dyDescent="0.3">
      <c r="A3040" s="986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  <c r="R3040" s="2"/>
    </row>
    <row r="3041" spans="1:18" ht="19.5" hidden="1" thickBot="1" x14ac:dyDescent="0.3">
      <c r="A3041" s="986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  <c r="R3041" s="2"/>
    </row>
    <row r="3042" spans="1:18" ht="19.5" hidden="1" thickBot="1" x14ac:dyDescent="0.3">
      <c r="A3042" s="985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  <c r="R3042" s="2"/>
    </row>
    <row r="3043" spans="1:18" ht="19.5" hidden="1" thickBot="1" x14ac:dyDescent="0.3">
      <c r="A3043" s="985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  <c r="R3043" s="2"/>
    </row>
    <row r="3044" spans="1:18" ht="19.5" hidden="1" thickBot="1" x14ac:dyDescent="0.3">
      <c r="A3044" s="984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  <c r="R3044" s="2"/>
    </row>
    <row r="3045" spans="1:18" ht="19.5" hidden="1" thickBot="1" x14ac:dyDescent="0.3">
      <c r="A3045" s="984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  <c r="R3045" s="2"/>
    </row>
    <row r="3046" spans="1:18" ht="19.5" hidden="1" thickBot="1" x14ac:dyDescent="0.3">
      <c r="A3046" s="985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  <c r="R3046" s="2"/>
    </row>
    <row r="3047" spans="1:18" ht="19.5" hidden="1" thickBot="1" x14ac:dyDescent="0.3">
      <c r="A3047" s="985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  <c r="R3047" s="2"/>
    </row>
    <row r="3048" spans="1:18" ht="18.75" hidden="1" customHeight="1" thickBot="1" x14ac:dyDescent="0.3">
      <c r="A3048" s="984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987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  <c r="R3048" s="2"/>
    </row>
    <row r="3049" spans="1:18" ht="19.5" hidden="1" thickBot="1" x14ac:dyDescent="0.3">
      <c r="A3049" s="984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987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  <c r="R3049" s="2"/>
    </row>
    <row r="3050" spans="1:18" ht="19.5" hidden="1" thickBot="1" x14ac:dyDescent="0.3">
      <c r="A3050" s="984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987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  <c r="R3050" s="2"/>
    </row>
    <row r="3051" spans="1:18" ht="19.5" hidden="1" thickBot="1" x14ac:dyDescent="0.3">
      <c r="A3051" s="984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987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  <c r="R3051" s="2"/>
    </row>
    <row r="3052" spans="1:18" ht="19.5" hidden="1" thickBot="1" x14ac:dyDescent="0.3">
      <c r="A3052" s="988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  <c r="R3052" s="2"/>
    </row>
    <row r="3053" spans="1:18" ht="19.5" hidden="1" thickBot="1" x14ac:dyDescent="0.3">
      <c r="A3053" s="988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  <c r="R3053" s="2"/>
    </row>
    <row r="3054" spans="1:18" ht="19.5" hidden="1" thickBot="1" x14ac:dyDescent="0.3">
      <c r="A3054" s="988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  <c r="R3054" s="2"/>
    </row>
    <row r="3055" spans="1:18" ht="19.5" hidden="1" thickBot="1" x14ac:dyDescent="0.3">
      <c r="A3055" s="988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  <c r="R3055" s="2"/>
    </row>
    <row r="3056" spans="1:18" ht="19.5" hidden="1" thickBot="1" x14ac:dyDescent="0.3">
      <c r="A3056" s="988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  <c r="R3056" s="2"/>
    </row>
    <row r="3057" spans="1:18" ht="19.5" hidden="1" thickBot="1" x14ac:dyDescent="0.3">
      <c r="A3057" s="984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  <c r="R3057" s="2"/>
    </row>
    <row r="3058" spans="1:18" ht="19.5" hidden="1" thickBot="1" x14ac:dyDescent="0.3">
      <c r="A3058" s="984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  <c r="R3058" s="2"/>
    </row>
    <row r="3059" spans="1:18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  <c r="R3059" s="2"/>
    </row>
    <row r="3060" spans="1:18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  <c r="R3060" s="2"/>
    </row>
    <row r="3061" spans="1:18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  <c r="R3061" s="2"/>
    </row>
    <row r="3062" spans="1:18" ht="18.75" hidden="1" customHeight="1" thickBot="1" x14ac:dyDescent="0.3">
      <c r="A3062" s="984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987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  <c r="R3062" s="2"/>
    </row>
    <row r="3063" spans="1:18" ht="19.5" hidden="1" thickBot="1" x14ac:dyDescent="0.3">
      <c r="A3063" s="984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987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  <c r="R3063" s="2"/>
    </row>
    <row r="3064" spans="1:18" ht="19.5" hidden="1" thickBot="1" x14ac:dyDescent="0.3">
      <c r="A3064" s="984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987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  <c r="R3064" s="2"/>
    </row>
    <row r="3065" spans="1:18" ht="19.5" hidden="1" thickBot="1" x14ac:dyDescent="0.3">
      <c r="A3065" s="985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  <c r="R3065" s="2"/>
    </row>
    <row r="3066" spans="1:18" ht="19.5" hidden="1" thickBot="1" x14ac:dyDescent="0.3">
      <c r="A3066" s="985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  <c r="R3066" s="2"/>
    </row>
    <row r="3067" spans="1:18" ht="19.5" hidden="1" thickBot="1" x14ac:dyDescent="0.3">
      <c r="A3067" s="986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  <c r="R3067" s="2"/>
    </row>
    <row r="3068" spans="1:18" ht="19.5" hidden="1" thickBot="1" x14ac:dyDescent="0.3">
      <c r="A3068" s="986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  <c r="R3068" s="2"/>
    </row>
    <row r="3069" spans="1:18" ht="19.5" hidden="1" thickBot="1" x14ac:dyDescent="0.3">
      <c r="A3069" s="986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  <c r="R3069" s="2"/>
    </row>
    <row r="3070" spans="1:18" ht="19.5" hidden="1" thickBot="1" x14ac:dyDescent="0.3">
      <c r="A3070" s="985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  <c r="R3070" s="2"/>
    </row>
    <row r="3071" spans="1:18" ht="19.5" hidden="1" thickBot="1" x14ac:dyDescent="0.3">
      <c r="A3071" s="985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  <c r="R3071" s="2"/>
    </row>
    <row r="3072" spans="1:18" ht="38.25" hidden="1" thickBot="1" x14ac:dyDescent="0.3">
      <c r="A3072" s="984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  <c r="R3072" s="2"/>
    </row>
    <row r="3073" spans="1:18" ht="38.25" hidden="1" thickBot="1" x14ac:dyDescent="0.3">
      <c r="A3073" s="984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  <c r="R3073" s="2"/>
    </row>
    <row r="3074" spans="1:18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  <c r="R3074" s="2"/>
    </row>
    <row r="3075" spans="1:18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  <c r="R3075" s="2"/>
    </row>
    <row r="3076" spans="1:18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  <c r="R3076" s="2"/>
    </row>
    <row r="3077" spans="1:18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  <c r="R3077" s="2"/>
    </row>
    <row r="3078" spans="1:18" ht="19.5" hidden="1" thickBot="1" x14ac:dyDescent="0.3">
      <c r="A3078" s="985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  <c r="R3078" s="2"/>
    </row>
    <row r="3079" spans="1:18" ht="19.5" hidden="1" thickBot="1" x14ac:dyDescent="0.3">
      <c r="A3079" s="985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  <c r="R3079" s="2"/>
    </row>
    <row r="3080" spans="1:18" ht="19.5" hidden="1" thickBot="1" x14ac:dyDescent="0.3">
      <c r="A3080" s="984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  <c r="R3080" s="2"/>
    </row>
    <row r="3081" spans="1:18" ht="19.5" hidden="1" thickBot="1" x14ac:dyDescent="0.3">
      <c r="A3081" s="984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  <c r="R3081" s="2"/>
    </row>
    <row r="3082" spans="1:18" ht="19.5" hidden="1" thickBot="1" x14ac:dyDescent="0.3">
      <c r="A3082" s="984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  <c r="R3082" s="2"/>
    </row>
    <row r="3083" spans="1:18" ht="19.5" hidden="1" thickBot="1" x14ac:dyDescent="0.3">
      <c r="A3083" s="985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  <c r="R3083" s="2"/>
    </row>
    <row r="3084" spans="1:18" ht="19.5" hidden="1" thickBot="1" x14ac:dyDescent="0.3">
      <c r="A3084" s="985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  <c r="R3084" s="2"/>
    </row>
    <row r="3085" spans="1:18" ht="19.5" hidden="1" thickBot="1" x14ac:dyDescent="0.3">
      <c r="A3085" s="985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  <c r="R3085" s="2"/>
    </row>
    <row r="3086" spans="1:18" ht="19.5" hidden="1" thickBot="1" x14ac:dyDescent="0.3">
      <c r="A3086" s="985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  <c r="R3086" s="2"/>
    </row>
    <row r="3087" spans="1:18" ht="19.5" hidden="1" thickBot="1" x14ac:dyDescent="0.3">
      <c r="A3087" s="985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  <c r="R3087" s="2"/>
    </row>
    <row r="3088" spans="1:18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  <c r="R3088" s="2"/>
    </row>
    <row r="3089" spans="1:18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  <c r="R3089" s="2"/>
    </row>
    <row r="3090" spans="1:18" ht="57" hidden="1" customHeight="1" thickBot="1" x14ac:dyDescent="0.3">
      <c r="A3090" s="984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987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  <c r="R3090" s="2"/>
    </row>
    <row r="3091" spans="1:18" ht="49.5" hidden="1" customHeight="1" thickBot="1" x14ac:dyDescent="0.3">
      <c r="A3091" s="984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987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  <c r="R3091" s="2"/>
    </row>
    <row r="3092" spans="1:18" ht="19.5" hidden="1" thickBot="1" x14ac:dyDescent="0.3">
      <c r="A3092" s="988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  <c r="R3092" s="2"/>
    </row>
    <row r="3093" spans="1:18" ht="19.5" hidden="1" thickBot="1" x14ac:dyDescent="0.3">
      <c r="A3093" s="988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  <c r="R3093" s="2"/>
    </row>
    <row r="3094" spans="1:18" ht="19.5" hidden="1" thickBot="1" x14ac:dyDescent="0.3">
      <c r="A3094" s="984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  <c r="R3094" s="2"/>
    </row>
    <row r="3095" spans="1:18" ht="19.5" hidden="1" thickBot="1" x14ac:dyDescent="0.3">
      <c r="A3095" s="984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  <c r="R3095" s="2"/>
    </row>
    <row r="3096" spans="1:18" ht="19.5" hidden="1" thickBot="1" x14ac:dyDescent="0.3">
      <c r="A3096" s="985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  <c r="R3096" s="2"/>
    </row>
    <row r="3097" spans="1:18" ht="19.5" hidden="1" thickBot="1" x14ac:dyDescent="0.3">
      <c r="A3097" s="985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  <c r="R3097" s="2"/>
    </row>
    <row r="3098" spans="1:18" ht="19.5" hidden="1" thickBot="1" x14ac:dyDescent="0.3">
      <c r="A3098" s="984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  <c r="R3098" s="2"/>
    </row>
    <row r="3099" spans="1:18" ht="19.5" hidden="1" thickBot="1" x14ac:dyDescent="0.3">
      <c r="A3099" s="984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  <c r="R3099" s="2"/>
    </row>
    <row r="3100" spans="1:18" ht="19.5" hidden="1" thickBot="1" x14ac:dyDescent="0.3">
      <c r="A3100" s="985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  <c r="R3100" s="2"/>
    </row>
    <row r="3101" spans="1:18" ht="19.5" hidden="1" thickBot="1" x14ac:dyDescent="0.3">
      <c r="A3101" s="985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  <c r="R3101" s="2"/>
    </row>
    <row r="3102" spans="1:18" ht="19.5" hidden="1" thickBot="1" x14ac:dyDescent="0.3">
      <c r="A3102" s="986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  <c r="R3102" s="2"/>
    </row>
    <row r="3103" spans="1:18" ht="19.5" hidden="1" thickBot="1" x14ac:dyDescent="0.3">
      <c r="A3103" s="986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  <c r="R3103" s="2"/>
    </row>
    <row r="3104" spans="1:18" ht="19.5" hidden="1" thickBot="1" x14ac:dyDescent="0.3">
      <c r="A3104" s="986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  <c r="R3104" s="2"/>
    </row>
    <row r="3105" spans="1:18" ht="19.5" hidden="1" thickBot="1" x14ac:dyDescent="0.3">
      <c r="A3105" s="986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  <c r="R3105" s="2"/>
    </row>
    <row r="3106" spans="1:18" ht="19.5" hidden="1" thickBot="1" x14ac:dyDescent="0.3">
      <c r="A3106" s="986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  <c r="R3106" s="2"/>
    </row>
    <row r="3107" spans="1:18" ht="19.5" hidden="1" thickBot="1" x14ac:dyDescent="0.3">
      <c r="A3107" s="986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  <c r="R3107" s="2"/>
    </row>
    <row r="3108" spans="1:18" ht="19.5" hidden="1" thickBot="1" x14ac:dyDescent="0.3">
      <c r="A3108" s="986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  <c r="R3108" s="2"/>
    </row>
    <row r="3109" spans="1:18" ht="19.5" hidden="1" thickBot="1" x14ac:dyDescent="0.3">
      <c r="A3109" s="986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  <c r="R3109" s="2"/>
    </row>
    <row r="3110" spans="1:18" ht="19.5" hidden="1" thickBot="1" x14ac:dyDescent="0.3">
      <c r="A3110" s="985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  <c r="R3110" s="2"/>
    </row>
    <row r="3111" spans="1:18" ht="19.5" hidden="1" thickBot="1" x14ac:dyDescent="0.3">
      <c r="A3111" s="985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  <c r="R3111" s="2"/>
    </row>
    <row r="3112" spans="1:18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  <c r="R3112" s="2"/>
    </row>
    <row r="3113" spans="1:18" ht="19.5" hidden="1" thickBot="1" x14ac:dyDescent="0.3">
      <c r="A3113" s="985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  <c r="R3113" s="2"/>
    </row>
    <row r="3114" spans="1:18" ht="19.5" hidden="1" thickBot="1" x14ac:dyDescent="0.3">
      <c r="A3114" s="985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  <c r="R3114" s="2"/>
    </row>
    <row r="3115" spans="1:18" ht="19.5" hidden="1" thickBot="1" x14ac:dyDescent="0.3">
      <c r="A3115" s="984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  <c r="R3115" s="2"/>
    </row>
    <row r="3116" spans="1:18" ht="19.5" hidden="1" thickBot="1" x14ac:dyDescent="0.3">
      <c r="A3116" s="984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  <c r="R3116" s="2"/>
    </row>
    <row r="3117" spans="1:18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  <c r="R3117" s="2"/>
    </row>
    <row r="3118" spans="1:18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  <c r="R3118" s="2"/>
    </row>
    <row r="3119" spans="1:18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  <c r="R3119" s="2"/>
    </row>
    <row r="3120" spans="1:18" ht="19.5" hidden="1" thickBot="1" x14ac:dyDescent="0.3">
      <c r="A3120" s="984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  <c r="R3120" s="2"/>
    </row>
    <row r="3121" spans="1:18" ht="19.5" hidden="1" thickBot="1" x14ac:dyDescent="0.3">
      <c r="A3121" s="984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  <c r="R3121" s="2"/>
    </row>
    <row r="3122" spans="1:18" ht="19.5" hidden="1" thickBot="1" x14ac:dyDescent="0.3">
      <c r="A3122" s="984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  <c r="R3122" s="2"/>
    </row>
    <row r="3123" spans="1:18" ht="19.5" hidden="1" thickBot="1" x14ac:dyDescent="0.3">
      <c r="A3123" s="985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  <c r="R3123" s="2"/>
    </row>
    <row r="3124" spans="1:18" ht="57" hidden="1" thickBot="1" x14ac:dyDescent="0.3">
      <c r="A3124" s="985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  <c r="R3124" s="2"/>
    </row>
    <row r="3125" spans="1:18" ht="19.5" hidden="1" thickBot="1" x14ac:dyDescent="0.3">
      <c r="A3125" s="985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  <c r="R3125" s="2"/>
    </row>
    <row r="3126" spans="1:18" ht="19.5" hidden="1" thickBot="1" x14ac:dyDescent="0.3">
      <c r="A3126" s="986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  <c r="R3126" s="2"/>
    </row>
    <row r="3127" spans="1:18" ht="19.5" hidden="1" thickBot="1" x14ac:dyDescent="0.3">
      <c r="A3127" s="986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  <c r="R3127" s="2"/>
    </row>
    <row r="3128" spans="1:18" ht="19.5" hidden="1" thickBot="1" x14ac:dyDescent="0.3">
      <c r="A3128" s="985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  <c r="R3128" s="2"/>
    </row>
    <row r="3129" spans="1:18" ht="19.5" hidden="1" thickBot="1" x14ac:dyDescent="0.3">
      <c r="A3129" s="985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  <c r="R3129" s="2"/>
    </row>
    <row r="3130" spans="1:18" ht="38.25" hidden="1" thickBot="1" x14ac:dyDescent="0.3">
      <c r="A3130" s="984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  <c r="R3130" s="2"/>
    </row>
    <row r="3131" spans="1:18" ht="38.25" hidden="1" thickBot="1" x14ac:dyDescent="0.3">
      <c r="A3131" s="984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  <c r="R3131" s="2"/>
    </row>
    <row r="3132" spans="1:18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  <c r="R3132" s="2"/>
    </row>
    <row r="3133" spans="1:18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  <c r="R3133" s="2"/>
    </row>
    <row r="3134" spans="1:18" ht="19.5" hidden="1" thickBot="1" x14ac:dyDescent="0.3">
      <c r="A3134" s="985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  <c r="R3134" s="2"/>
    </row>
    <row r="3135" spans="1:18" ht="19.5" hidden="1" thickBot="1" x14ac:dyDescent="0.3">
      <c r="A3135" s="985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  <c r="R3135" s="2"/>
    </row>
    <row r="3136" spans="1:18" ht="19.5" hidden="1" thickBot="1" x14ac:dyDescent="0.3">
      <c r="A3136" s="985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  <c r="R3136" s="2"/>
    </row>
    <row r="3137" spans="1:18" ht="19.5" hidden="1" thickBot="1" x14ac:dyDescent="0.3">
      <c r="A3137" s="985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  <c r="R3137" s="2"/>
    </row>
    <row r="3138" spans="1:18" ht="19.5" hidden="1" thickBot="1" x14ac:dyDescent="0.3">
      <c r="A3138" s="984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  <c r="R3138" s="2"/>
    </row>
    <row r="3139" spans="1:18" ht="19.5" hidden="1" thickBot="1" x14ac:dyDescent="0.3">
      <c r="A3139" s="984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  <c r="R3139" s="2"/>
    </row>
    <row r="3140" spans="1:18" ht="19.5" hidden="1" thickBot="1" x14ac:dyDescent="0.3">
      <c r="A3140" s="984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  <c r="R3140" s="2"/>
    </row>
    <row r="3141" spans="1:18" ht="19.5" hidden="1" thickBot="1" x14ac:dyDescent="0.3">
      <c r="A3141" s="984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  <c r="R3141" s="2"/>
    </row>
    <row r="3142" spans="1:18" ht="19.5" hidden="1" thickBot="1" x14ac:dyDescent="0.3">
      <c r="A3142" s="985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  <c r="R3142" s="2"/>
    </row>
    <row r="3143" spans="1:18" ht="19.5" hidden="1" thickBot="1" x14ac:dyDescent="0.3">
      <c r="A3143" s="985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  <c r="R3143" s="2"/>
    </row>
    <row r="3144" spans="1:18" ht="19.5" hidden="1" thickBot="1" x14ac:dyDescent="0.3">
      <c r="A3144" s="985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  <c r="R3144" s="2"/>
    </row>
    <row r="3145" spans="1:18" ht="19.5" hidden="1" thickBot="1" x14ac:dyDescent="0.3">
      <c r="A3145" s="985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  <c r="R3145" s="2"/>
    </row>
    <row r="3146" spans="1:18" ht="19.5" hidden="1" thickBot="1" x14ac:dyDescent="0.3">
      <c r="A3146" s="984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  <c r="R3146" s="2"/>
    </row>
    <row r="3147" spans="1:18" ht="19.5" hidden="1" thickBot="1" x14ac:dyDescent="0.3">
      <c r="A3147" s="984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  <c r="R3147" s="2"/>
    </row>
    <row r="3148" spans="1:18" ht="19.5" hidden="1" thickBot="1" x14ac:dyDescent="0.3">
      <c r="A3148" s="984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  <c r="R3148" s="2"/>
    </row>
    <row r="3149" spans="1:18" ht="19.5" hidden="1" thickBot="1" x14ac:dyDescent="0.3">
      <c r="A3149" s="984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  <c r="R3149" s="2"/>
    </row>
    <row r="3150" spans="1:18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  <c r="R3150" s="2"/>
    </row>
    <row r="3151" spans="1:18" ht="19.5" hidden="1" thickBot="1" x14ac:dyDescent="0.3">
      <c r="A3151" s="986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  <c r="R3151" s="2"/>
    </row>
    <row r="3152" spans="1:18" ht="19.5" hidden="1" thickBot="1" x14ac:dyDescent="0.3">
      <c r="A3152" s="986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  <c r="R3152" s="2"/>
    </row>
    <row r="3153" spans="1:18" ht="19.5" hidden="1" thickBot="1" x14ac:dyDescent="0.3">
      <c r="A3153" s="986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  <c r="R3153" s="2"/>
    </row>
    <row r="3154" spans="1:18" ht="19.5" hidden="1" thickBot="1" x14ac:dyDescent="0.3">
      <c r="A3154" s="985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  <c r="R3154" s="2"/>
    </row>
    <row r="3155" spans="1:18" ht="19.5" hidden="1" thickBot="1" x14ac:dyDescent="0.3">
      <c r="A3155" s="985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  <c r="R3155" s="2"/>
    </row>
    <row r="3156" spans="1:18" ht="19.5" hidden="1" thickBot="1" x14ac:dyDescent="0.3">
      <c r="A3156" s="984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  <c r="R3156" s="2"/>
    </row>
    <row r="3157" spans="1:18" ht="19.5" hidden="1" thickBot="1" x14ac:dyDescent="0.3">
      <c r="A3157" s="984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  <c r="R3157" s="2"/>
    </row>
    <row r="3158" spans="1:18" ht="18.75" hidden="1" customHeight="1" thickBot="1" x14ac:dyDescent="0.3">
      <c r="A3158" s="985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990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  <c r="R3158" s="2"/>
    </row>
    <row r="3159" spans="1:18" ht="19.5" hidden="1" thickBot="1" x14ac:dyDescent="0.3">
      <c r="A3159" s="985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990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  <c r="R3159" s="2"/>
    </row>
    <row r="3160" spans="1:18" ht="19.5" hidden="1" thickBot="1" x14ac:dyDescent="0.3">
      <c r="A3160" s="985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990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  <c r="R3160" s="2"/>
    </row>
    <row r="3161" spans="1:18" ht="19.5" hidden="1" thickBot="1" x14ac:dyDescent="0.3">
      <c r="A3161" s="985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990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  <c r="R3161" s="2"/>
    </row>
    <row r="3162" spans="1:18" ht="19.5" hidden="1" thickBot="1" x14ac:dyDescent="0.3">
      <c r="A3162" s="984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  <c r="R3162" s="2"/>
    </row>
    <row r="3163" spans="1:18" ht="19.5" hidden="1" thickBot="1" x14ac:dyDescent="0.3">
      <c r="A3163" s="984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  <c r="R3163" s="2"/>
    </row>
    <row r="3164" spans="1:18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  <c r="R3164" s="2"/>
    </row>
    <row r="3165" spans="1:18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  <c r="R3165" s="2"/>
    </row>
    <row r="3166" spans="1:18" ht="19.5" hidden="1" thickBot="1" x14ac:dyDescent="0.3">
      <c r="A3166" s="985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  <c r="R3166" s="2"/>
    </row>
    <row r="3167" spans="1:18" ht="19.5" hidden="1" thickBot="1" x14ac:dyDescent="0.3">
      <c r="A3167" s="985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  <c r="R3167" s="2"/>
    </row>
    <row r="3168" spans="1:18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  <c r="R3168" s="2"/>
    </row>
    <row r="3169" spans="1:18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  <c r="R3169" s="2"/>
    </row>
    <row r="3170" spans="1:18" ht="19.5" hidden="1" thickBot="1" x14ac:dyDescent="0.3">
      <c r="A3170" s="984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  <c r="R3170" s="2"/>
    </row>
    <row r="3171" spans="1:18" ht="19.5" hidden="1" thickBot="1" x14ac:dyDescent="0.3">
      <c r="A3171" s="984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  <c r="R3171" s="2"/>
    </row>
    <row r="3172" spans="1:18" ht="19.5" hidden="1" thickBot="1" x14ac:dyDescent="0.3">
      <c r="A3172" s="984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  <c r="R3172" s="2"/>
    </row>
    <row r="3173" spans="1:18" ht="19.5" hidden="1" thickBot="1" x14ac:dyDescent="0.3">
      <c r="A3173" s="985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  <c r="R3173" s="2"/>
    </row>
    <row r="3174" spans="1:18" ht="19.5" hidden="1" thickBot="1" x14ac:dyDescent="0.3">
      <c r="A3174" s="985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  <c r="R3174" s="2"/>
    </row>
    <row r="3175" spans="1:18" ht="19.5" hidden="1" thickBot="1" x14ac:dyDescent="0.3">
      <c r="A3175" s="985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  <c r="R3175" s="2"/>
    </row>
    <row r="3176" spans="1:18" ht="19.5" hidden="1" thickBot="1" x14ac:dyDescent="0.3">
      <c r="A3176" s="984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  <c r="R3176" s="2"/>
    </row>
    <row r="3177" spans="1:18" ht="19.5" hidden="1" thickBot="1" x14ac:dyDescent="0.3">
      <c r="A3177" s="984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  <c r="R3177" s="2"/>
    </row>
    <row r="3178" spans="1:18" ht="19.5" hidden="1" thickBot="1" x14ac:dyDescent="0.3">
      <c r="A3178" s="985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  <c r="R3178" s="2"/>
    </row>
    <row r="3179" spans="1:18" ht="19.5" hidden="1" thickBot="1" x14ac:dyDescent="0.3">
      <c r="A3179" s="985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  <c r="R3179" s="2"/>
    </row>
    <row r="3180" spans="1:18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  <c r="R3180" s="2"/>
    </row>
    <row r="3181" spans="1:18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  <c r="R3181" s="2"/>
    </row>
    <row r="3182" spans="1:18" ht="19.5" hidden="1" thickBot="1" x14ac:dyDescent="0.3">
      <c r="A3182" s="984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  <c r="R3182" s="2"/>
    </row>
    <row r="3183" spans="1:18" ht="19.5" hidden="1" thickBot="1" x14ac:dyDescent="0.3">
      <c r="A3183" s="984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  <c r="R3183" s="2"/>
    </row>
    <row r="3184" spans="1:18" ht="19.5" hidden="1" thickBot="1" x14ac:dyDescent="0.3">
      <c r="A3184" s="984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  <c r="R3184" s="2"/>
    </row>
    <row r="3185" spans="1:18" ht="19.5" hidden="1" thickBot="1" x14ac:dyDescent="0.3">
      <c r="A3185" s="984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  <c r="R3185" s="2"/>
    </row>
    <row r="3186" spans="1:18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  <c r="R3186" s="2"/>
    </row>
    <row r="3187" spans="1:18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  <c r="R3187" s="2"/>
    </row>
    <row r="3188" spans="1:18" ht="19.5" hidden="1" thickBot="1" x14ac:dyDescent="0.3">
      <c r="A3188" s="986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  <c r="R3188" s="2"/>
    </row>
    <row r="3189" spans="1:18" ht="19.5" hidden="1" thickBot="1" x14ac:dyDescent="0.3">
      <c r="A3189" s="986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  <c r="R3189" s="2"/>
    </row>
    <row r="3190" spans="1:18" ht="19.5" hidden="1" thickBot="1" x14ac:dyDescent="0.3">
      <c r="A3190" s="986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  <c r="R3190" s="2"/>
    </row>
    <row r="3191" spans="1:18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  <c r="R3191" s="2"/>
    </row>
    <row r="3192" spans="1:18" ht="57" hidden="1" thickBot="1" x14ac:dyDescent="0.3">
      <c r="A3192" s="984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  <c r="R3192" s="2"/>
    </row>
    <row r="3193" spans="1:18" ht="19.5" hidden="1" thickBot="1" x14ac:dyDescent="0.3">
      <c r="A3193" s="984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  <c r="R3193" s="2"/>
    </row>
    <row r="3194" spans="1:18" ht="19.5" hidden="1" thickBot="1" x14ac:dyDescent="0.3">
      <c r="A3194" s="984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  <c r="R3194" s="2"/>
    </row>
    <row r="3195" spans="1:18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  <c r="R3195" s="2"/>
    </row>
    <row r="3196" spans="1:18" ht="19.5" hidden="1" thickBot="1" x14ac:dyDescent="0.3">
      <c r="A3196" s="984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  <c r="R3196" s="2"/>
    </row>
    <row r="3197" spans="1:18" ht="19.5" hidden="1" thickBot="1" x14ac:dyDescent="0.3">
      <c r="A3197" s="984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  <c r="R3197" s="2"/>
    </row>
    <row r="3198" spans="1:18" ht="19.5" hidden="1" thickBot="1" x14ac:dyDescent="0.3">
      <c r="A3198" s="985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  <c r="R3198" s="2"/>
    </row>
    <row r="3199" spans="1:18" ht="19.5" hidden="1" thickBot="1" x14ac:dyDescent="0.3">
      <c r="A3199" s="985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  <c r="R3199" s="2"/>
    </row>
    <row r="3200" spans="1:18" ht="19.5" hidden="1" thickBot="1" x14ac:dyDescent="0.3">
      <c r="A3200" s="985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  <c r="R3200" s="2"/>
    </row>
    <row r="3201" spans="1:18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  <c r="R3201" s="2"/>
    </row>
    <row r="3202" spans="1:18" ht="19.5" hidden="1" thickBot="1" x14ac:dyDescent="0.3">
      <c r="A3202" s="985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  <c r="R3202" s="2"/>
    </row>
    <row r="3203" spans="1:18" ht="19.5" hidden="1" thickBot="1" x14ac:dyDescent="0.3">
      <c r="A3203" s="985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  <c r="R3203" s="2"/>
    </row>
    <row r="3204" spans="1:18" ht="19.5" hidden="1" thickBot="1" x14ac:dyDescent="0.3">
      <c r="A3204" s="984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  <c r="R3204" s="2"/>
    </row>
    <row r="3205" spans="1:18" ht="19.5" hidden="1" thickBot="1" x14ac:dyDescent="0.3">
      <c r="A3205" s="984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  <c r="R3205" s="2"/>
    </row>
    <row r="3206" spans="1:18" ht="38.25" hidden="1" thickBot="1" x14ac:dyDescent="0.3">
      <c r="A3206" s="988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  <c r="R3206" s="2"/>
    </row>
    <row r="3207" spans="1:18" ht="38.25" hidden="1" thickBot="1" x14ac:dyDescent="0.3">
      <c r="A3207" s="988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  <c r="R3207" s="2"/>
    </row>
    <row r="3208" spans="1:18" ht="19.5" hidden="1" thickBot="1" x14ac:dyDescent="0.3">
      <c r="A3208" s="984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  <c r="R3208" s="2"/>
    </row>
    <row r="3209" spans="1:18" ht="19.5" hidden="1" thickBot="1" x14ac:dyDescent="0.3">
      <c r="A3209" s="984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  <c r="R3209" s="2"/>
    </row>
    <row r="3210" spans="1:18" ht="19.5" hidden="1" thickBot="1" x14ac:dyDescent="0.3">
      <c r="A3210" s="985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  <c r="R3210" s="2"/>
    </row>
    <row r="3211" spans="1:18" ht="19.5" hidden="1" thickBot="1" x14ac:dyDescent="0.3">
      <c r="A3211" s="985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  <c r="R3211" s="2"/>
    </row>
    <row r="3212" spans="1:18" ht="19.5" hidden="1" thickBot="1" x14ac:dyDescent="0.3">
      <c r="A3212" s="984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  <c r="R3212" s="2"/>
    </row>
    <row r="3213" spans="1:18" ht="19.5" hidden="1" thickBot="1" x14ac:dyDescent="0.3">
      <c r="A3213" s="984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  <c r="R3213" s="2"/>
    </row>
    <row r="3214" spans="1:18" ht="17.850000000000001" hidden="1" customHeight="1" thickBot="1" x14ac:dyDescent="0.3">
      <c r="A3214" s="988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989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  <c r="R3214" s="2"/>
    </row>
    <row r="3215" spans="1:18" ht="19.5" hidden="1" thickBot="1" x14ac:dyDescent="0.3">
      <c r="A3215" s="988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989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  <c r="R3215" s="2"/>
    </row>
    <row r="3216" spans="1:18" ht="19.5" hidden="1" thickBot="1" x14ac:dyDescent="0.3">
      <c r="A3216" s="988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989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  <c r="R3216" s="2"/>
    </row>
    <row r="3217" spans="1:18" ht="19.5" hidden="1" thickBot="1" x14ac:dyDescent="0.3">
      <c r="A3217" s="988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989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  <c r="R3217" s="2"/>
    </row>
    <row r="3218" spans="1:18" ht="19.5" hidden="1" thickBot="1" x14ac:dyDescent="0.3">
      <c r="A3218" s="988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989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  <c r="R3218" s="2"/>
    </row>
    <row r="3219" spans="1:18" ht="19.5" hidden="1" thickBot="1" x14ac:dyDescent="0.3">
      <c r="A3219" s="988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989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  <c r="R3219" s="2"/>
    </row>
    <row r="3220" spans="1:18" ht="19.5" hidden="1" thickBot="1" x14ac:dyDescent="0.3">
      <c r="A3220" s="984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  <c r="R3220" s="2"/>
    </row>
    <row r="3221" spans="1:18" ht="19.5" hidden="1" thickBot="1" x14ac:dyDescent="0.3">
      <c r="A3221" s="984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  <c r="R3221" s="2"/>
    </row>
    <row r="3222" spans="1:18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  <c r="R3222" s="2"/>
    </row>
    <row r="3223" spans="1:18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  <c r="R3223" s="2"/>
    </row>
    <row r="3224" spans="1:18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  <c r="R3224" s="2"/>
    </row>
    <row r="3225" spans="1:18" ht="57" hidden="1" thickBot="1" x14ac:dyDescent="0.3">
      <c r="A3225" s="984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  <c r="R3225" s="2"/>
    </row>
    <row r="3226" spans="1:18" ht="57" hidden="1" thickBot="1" x14ac:dyDescent="0.3">
      <c r="A3226" s="984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  <c r="R3226" s="2"/>
    </row>
    <row r="3227" spans="1:18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  <c r="R3227" s="2"/>
    </row>
    <row r="3228" spans="1:18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  <c r="R3228" s="2"/>
    </row>
    <row r="3229" spans="1:18" ht="19.5" hidden="1" thickBot="1" x14ac:dyDescent="0.3">
      <c r="A3229" s="985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  <c r="R3229" s="2"/>
    </row>
    <row r="3230" spans="1:18" ht="19.5" hidden="1" thickBot="1" x14ac:dyDescent="0.3">
      <c r="A3230" s="985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  <c r="R3230" s="2"/>
    </row>
    <row r="3231" spans="1:18" ht="19.5" hidden="1" thickBot="1" x14ac:dyDescent="0.3">
      <c r="A3231" s="984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  <c r="R3231" s="2"/>
    </row>
    <row r="3232" spans="1:18" ht="19.5" hidden="1" thickBot="1" x14ac:dyDescent="0.3">
      <c r="A3232" s="984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  <c r="R3232" s="2"/>
    </row>
    <row r="3233" spans="1:18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  <c r="R3233" s="2"/>
    </row>
    <row r="3234" spans="1:18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  <c r="R3234" s="2"/>
    </row>
    <row r="3235" spans="1:18" ht="19.5" hidden="1" thickBot="1" x14ac:dyDescent="0.3">
      <c r="A3235" s="988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  <c r="R3235" s="2"/>
    </row>
    <row r="3236" spans="1:18" ht="19.5" hidden="1" thickBot="1" x14ac:dyDescent="0.3">
      <c r="A3236" s="988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  <c r="R3236" s="2"/>
    </row>
    <row r="3237" spans="1:18" ht="19.5" hidden="1" thickBot="1" x14ac:dyDescent="0.3">
      <c r="A3237" s="988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  <c r="R3237" s="2"/>
    </row>
    <row r="3238" spans="1:18" ht="19.5" hidden="1" thickBot="1" x14ac:dyDescent="0.3">
      <c r="A3238" s="988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  <c r="R3238" s="2"/>
    </row>
    <row r="3239" spans="1:18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  <c r="R3239" s="2"/>
    </row>
    <row r="3240" spans="1:18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  <c r="R3240" s="2"/>
    </row>
    <row r="3241" spans="1:18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  <c r="R3241" s="2"/>
    </row>
    <row r="3242" spans="1:18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  <c r="R3242" s="2"/>
    </row>
    <row r="3243" spans="1:18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  <c r="R3243" s="2"/>
    </row>
    <row r="3244" spans="1:18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  <c r="R3244" s="2"/>
    </row>
    <row r="3245" spans="1:18" ht="19.5" hidden="1" thickBot="1" x14ac:dyDescent="0.3">
      <c r="A3245" s="984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  <c r="R3245" s="2"/>
    </row>
    <row r="3246" spans="1:18" ht="19.5" hidden="1" thickBot="1" x14ac:dyDescent="0.3">
      <c r="A3246" s="984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  <c r="R3246" s="2"/>
    </row>
    <row r="3247" spans="1:18" ht="19.5" hidden="1" thickBot="1" x14ac:dyDescent="0.3">
      <c r="A3247" s="984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  <c r="R3247" s="2"/>
    </row>
    <row r="3248" spans="1:18" ht="19.5" hidden="1" thickBot="1" x14ac:dyDescent="0.3">
      <c r="A3248" s="985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  <c r="R3248" s="2"/>
    </row>
    <row r="3249" spans="1:18" ht="19.5" hidden="1" thickBot="1" x14ac:dyDescent="0.3">
      <c r="A3249" s="985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  <c r="R3249" s="2"/>
    </row>
    <row r="3250" spans="1:18" ht="19.5" hidden="1" thickBot="1" x14ac:dyDescent="0.3">
      <c r="A3250" s="985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  <c r="R3250" s="2"/>
    </row>
    <row r="3251" spans="1:18" ht="19.5" hidden="1" thickBot="1" x14ac:dyDescent="0.3">
      <c r="A3251" s="984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  <c r="R3251" s="2"/>
    </row>
    <row r="3252" spans="1:18" ht="19.5" hidden="1" thickBot="1" x14ac:dyDescent="0.3">
      <c r="A3252" s="984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  <c r="R3252" s="2"/>
    </row>
    <row r="3253" spans="1:18" ht="19.5" hidden="1" thickBot="1" x14ac:dyDescent="0.3">
      <c r="A3253" s="985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  <c r="R3253" s="2"/>
    </row>
    <row r="3254" spans="1:18" ht="19.5" hidden="1" thickBot="1" x14ac:dyDescent="0.3">
      <c r="A3254" s="985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  <c r="R3254" s="2"/>
    </row>
    <row r="3255" spans="1:18" ht="38.25" hidden="1" thickBot="1" x14ac:dyDescent="0.3">
      <c r="A3255" s="984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  <c r="R3255" s="2"/>
    </row>
    <row r="3256" spans="1:18" ht="38.25" hidden="1" thickBot="1" x14ac:dyDescent="0.3">
      <c r="A3256" s="984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  <c r="R3256" s="2"/>
    </row>
    <row r="3257" spans="1:18" ht="19.5" hidden="1" thickBot="1" x14ac:dyDescent="0.3">
      <c r="A3257" s="988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  <c r="R3257" s="2"/>
    </row>
    <row r="3258" spans="1:18" ht="19.5" hidden="1" thickBot="1" x14ac:dyDescent="0.3">
      <c r="A3258" s="988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  <c r="R3258" s="2"/>
    </row>
    <row r="3259" spans="1:18" ht="19.5" hidden="1" thickBot="1" x14ac:dyDescent="0.3">
      <c r="A3259" s="988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  <c r="R3259" s="2"/>
    </row>
    <row r="3260" spans="1:18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  <c r="R3260" s="2"/>
    </row>
    <row r="3261" spans="1:18" ht="19.5" hidden="1" thickBot="1" x14ac:dyDescent="0.3">
      <c r="A3261" s="985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  <c r="R3261" s="2"/>
    </row>
    <row r="3262" spans="1:18" ht="19.5" hidden="1" thickBot="1" x14ac:dyDescent="0.3">
      <c r="A3262" s="985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  <c r="R3262" s="2"/>
    </row>
    <row r="3263" spans="1:18" ht="19.5" hidden="1" thickBot="1" x14ac:dyDescent="0.3">
      <c r="A3263" s="984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  <c r="R3263" s="2"/>
    </row>
    <row r="3264" spans="1:18" ht="19.5" hidden="1" thickBot="1" x14ac:dyDescent="0.3">
      <c r="A3264" s="984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  <c r="R3264" s="2"/>
    </row>
    <row r="3265" spans="1:18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  <c r="R3265" s="2"/>
    </row>
    <row r="3266" spans="1:18" ht="19.5" hidden="1" thickBot="1" x14ac:dyDescent="0.3">
      <c r="A3266" s="986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  <c r="R3266" s="2"/>
    </row>
    <row r="3267" spans="1:18" ht="19.5" hidden="1" thickBot="1" x14ac:dyDescent="0.3">
      <c r="A3267" s="986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  <c r="R3267" s="2"/>
    </row>
    <row r="3268" spans="1:18" ht="19.5" hidden="1" thickBot="1" x14ac:dyDescent="0.3">
      <c r="A3268" s="986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  <c r="R3268" s="2"/>
    </row>
    <row r="3269" spans="1:18" ht="19.5" hidden="1" thickBot="1" x14ac:dyDescent="0.3">
      <c r="A3269" s="986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  <c r="R3269" s="2"/>
    </row>
    <row r="3270" spans="1:18" ht="19.5" hidden="1" thickBot="1" x14ac:dyDescent="0.3">
      <c r="A3270" s="986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  <c r="R3270" s="2"/>
    </row>
    <row r="3271" spans="1:18" ht="19.5" hidden="1" thickBot="1" x14ac:dyDescent="0.3">
      <c r="A3271" s="986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  <c r="R3271" s="2"/>
    </row>
    <row r="3272" spans="1:18" ht="19.5" hidden="1" thickBot="1" x14ac:dyDescent="0.3">
      <c r="A3272" s="986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  <c r="R3272" s="2"/>
    </row>
    <row r="3273" spans="1:18" ht="19.5" hidden="1" thickBot="1" x14ac:dyDescent="0.3">
      <c r="A3273" s="986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  <c r="R3273" s="2"/>
    </row>
    <row r="3274" spans="1:18" ht="19.5" hidden="1" thickBot="1" x14ac:dyDescent="0.3">
      <c r="A3274" s="985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  <c r="R3274" s="2"/>
    </row>
    <row r="3275" spans="1:18" ht="19.5" hidden="1" thickBot="1" x14ac:dyDescent="0.3">
      <c r="A3275" s="985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  <c r="R3275" s="2"/>
    </row>
    <row r="3276" spans="1:18" ht="19.5" hidden="1" thickBot="1" x14ac:dyDescent="0.3">
      <c r="A3276" s="984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  <c r="R3276" s="2"/>
    </row>
    <row r="3277" spans="1:18" ht="38.25" hidden="1" thickBot="1" x14ac:dyDescent="0.3">
      <c r="A3277" s="984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  <c r="R3277" s="2"/>
    </row>
    <row r="3278" spans="1:18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  <c r="R3278" s="2"/>
    </row>
    <row r="3279" spans="1:18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  <c r="R3279" s="2"/>
    </row>
    <row r="3280" spans="1:18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  <c r="R3280" s="2"/>
    </row>
    <row r="3281" spans="1:18" ht="19.5" hidden="1" thickBot="1" x14ac:dyDescent="0.3">
      <c r="A3281" s="984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  <c r="R3281" s="2"/>
    </row>
    <row r="3282" spans="1:18" ht="38.25" hidden="1" thickBot="1" x14ac:dyDescent="0.3">
      <c r="A3282" s="984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  <c r="R3282" s="2"/>
    </row>
    <row r="3283" spans="1:18" ht="19.5" hidden="1" thickBot="1" x14ac:dyDescent="0.3">
      <c r="A3283" s="988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  <c r="R3283" s="2"/>
    </row>
    <row r="3284" spans="1:18" ht="38.25" hidden="1" thickBot="1" x14ac:dyDescent="0.3">
      <c r="A3284" s="988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  <c r="R3284" s="2"/>
    </row>
    <row r="3285" spans="1:18" ht="19.5" hidden="1" thickBot="1" x14ac:dyDescent="0.3">
      <c r="A3285" s="988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  <c r="R3285" s="2"/>
    </row>
    <row r="3286" spans="1:18" ht="19.5" hidden="1" thickBot="1" x14ac:dyDescent="0.3">
      <c r="A3286" s="984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  <c r="R3286" s="2"/>
    </row>
    <row r="3287" spans="1:18" ht="38.25" hidden="1" thickBot="1" x14ac:dyDescent="0.3">
      <c r="A3287" s="984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  <c r="R3287" s="2"/>
    </row>
    <row r="3288" spans="1:18" ht="19.5" hidden="1" thickBot="1" x14ac:dyDescent="0.3">
      <c r="A3288" s="984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  <c r="R3288" s="2"/>
    </row>
    <row r="3289" spans="1:18" ht="19.5" hidden="1" thickBot="1" x14ac:dyDescent="0.3">
      <c r="A3289" s="984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  <c r="R3289" s="2"/>
    </row>
    <row r="3290" spans="1:18" ht="38.25" hidden="1" thickBot="1" x14ac:dyDescent="0.3">
      <c r="A3290" s="984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  <c r="R3290" s="2"/>
    </row>
    <row r="3291" spans="1:18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  <c r="R3291" s="2"/>
    </row>
    <row r="3292" spans="1:18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  <c r="R3292" s="2"/>
    </row>
    <row r="3293" spans="1:18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  <c r="R3293" s="2"/>
    </row>
    <row r="3294" spans="1:18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  <c r="R3294" s="2"/>
    </row>
    <row r="3295" spans="1:18" ht="19.5" hidden="1" thickBot="1" x14ac:dyDescent="0.3">
      <c r="A3295" s="985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  <c r="R3295" s="2"/>
    </row>
    <row r="3296" spans="1:18" ht="19.5" hidden="1" thickBot="1" x14ac:dyDescent="0.3">
      <c r="A3296" s="985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  <c r="R3296" s="2"/>
    </row>
    <row r="3297" spans="1:18" ht="19.5" hidden="1" thickBot="1" x14ac:dyDescent="0.3">
      <c r="A3297" s="984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  <c r="R3297" s="2"/>
    </row>
    <row r="3298" spans="1:18" ht="19.5" hidden="1" thickBot="1" x14ac:dyDescent="0.3">
      <c r="A3298" s="984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  <c r="R3298" s="2"/>
    </row>
    <row r="3299" spans="1:18" ht="19.5" hidden="1" thickBot="1" x14ac:dyDescent="0.3">
      <c r="A3299" s="985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  <c r="R3299" s="2"/>
    </row>
    <row r="3300" spans="1:18" ht="19.5" hidden="1" thickBot="1" x14ac:dyDescent="0.3">
      <c r="A3300" s="985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  <c r="R3300" s="2"/>
    </row>
    <row r="3301" spans="1:18" ht="19.5" hidden="1" thickBot="1" x14ac:dyDescent="0.3">
      <c r="A3301" s="985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  <c r="R3301" s="2"/>
    </row>
    <row r="3302" spans="1:18" ht="19.5" hidden="1" thickBot="1" x14ac:dyDescent="0.3">
      <c r="A3302" s="985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  <c r="R3302" s="2"/>
    </row>
    <row r="3303" spans="1:18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  <c r="R3303" s="2"/>
    </row>
    <row r="3304" spans="1:18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  <c r="R3304" s="2"/>
    </row>
    <row r="3305" spans="1:18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  <c r="R3305" s="2"/>
    </row>
    <row r="3306" spans="1:18" ht="19.5" hidden="1" thickBot="1" x14ac:dyDescent="0.3">
      <c r="A3306" s="988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  <c r="R3306" s="2"/>
    </row>
    <row r="3307" spans="1:18" ht="19.5" hidden="1" thickBot="1" x14ac:dyDescent="0.3">
      <c r="A3307" s="988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  <c r="R3307" s="2"/>
    </row>
    <row r="3308" spans="1:18" ht="19.5" hidden="1" thickBot="1" x14ac:dyDescent="0.3">
      <c r="A3308" s="984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  <c r="R3308" s="2"/>
    </row>
    <row r="3309" spans="1:18" ht="19.5" hidden="1" thickBot="1" x14ac:dyDescent="0.3">
      <c r="A3309" s="984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  <c r="R3309" s="2"/>
    </row>
    <row r="3310" spans="1:18" ht="19.5" hidden="1" thickBot="1" x14ac:dyDescent="0.3">
      <c r="A3310" s="985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  <c r="R3310" s="2"/>
    </row>
    <row r="3311" spans="1:18" ht="19.5" hidden="1" thickBot="1" x14ac:dyDescent="0.3">
      <c r="A3311" s="985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  <c r="R3311" s="2"/>
    </row>
    <row r="3312" spans="1:18" ht="19.5" hidden="1" thickBot="1" x14ac:dyDescent="0.3">
      <c r="A3312" s="986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  <c r="R3312" s="2"/>
    </row>
    <row r="3313" spans="1:18" ht="19.5" hidden="1" thickBot="1" x14ac:dyDescent="0.3">
      <c r="A3313" s="986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  <c r="R3313" s="2"/>
    </row>
    <row r="3314" spans="1:18" ht="19.5" hidden="1" thickBot="1" x14ac:dyDescent="0.3">
      <c r="A3314" s="986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  <c r="R3314" s="2"/>
    </row>
    <row r="3315" spans="1:18" ht="19.5" hidden="1" thickBot="1" x14ac:dyDescent="0.3">
      <c r="A3315" s="986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  <c r="R3315" s="2"/>
    </row>
    <row r="3316" spans="1:18" ht="19.5" hidden="1" thickBot="1" x14ac:dyDescent="0.3">
      <c r="A3316" s="986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  <c r="R3316" s="2"/>
    </row>
    <row r="3317" spans="1:18" ht="19.5" hidden="1" thickBot="1" x14ac:dyDescent="0.3">
      <c r="A3317" s="986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  <c r="R3317" s="2"/>
    </row>
    <row r="3318" spans="1:18" ht="19.5" hidden="1" thickBot="1" x14ac:dyDescent="0.3">
      <c r="A3318" s="986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  <c r="R3318" s="2"/>
    </row>
    <row r="3319" spans="1:18" ht="19.5" hidden="1" thickBot="1" x14ac:dyDescent="0.3">
      <c r="A3319" s="986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  <c r="R3319" s="2"/>
    </row>
    <row r="3320" spans="1:18" ht="19.5" hidden="1" thickBot="1" x14ac:dyDescent="0.3">
      <c r="A3320" s="986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  <c r="R3320" s="2"/>
    </row>
    <row r="3321" spans="1:18" ht="19.5" hidden="1" thickBot="1" x14ac:dyDescent="0.3">
      <c r="A3321" s="985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  <c r="R3321" s="2"/>
    </row>
    <row r="3322" spans="1:18" ht="19.5" hidden="1" thickBot="1" x14ac:dyDescent="0.3">
      <c r="A3322" s="985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  <c r="R3322" s="2"/>
    </row>
    <row r="3323" spans="1:18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  <c r="R3323" s="2"/>
    </row>
    <row r="3324" spans="1:18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  <c r="R3324" s="2"/>
    </row>
    <row r="3325" spans="1:18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  <c r="R3325" s="2"/>
    </row>
    <row r="3326" spans="1:18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  <c r="R3326" s="2"/>
    </row>
    <row r="3327" spans="1:18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  <c r="R3327" s="2"/>
    </row>
    <row r="3328" spans="1:18" ht="19.5" hidden="1" thickBot="1" x14ac:dyDescent="0.3">
      <c r="A3328" s="988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  <c r="R3328" s="2"/>
    </row>
    <row r="3329" spans="1:18" ht="19.5" hidden="1" thickBot="1" x14ac:dyDescent="0.3">
      <c r="A3329" s="988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  <c r="R3329" s="2"/>
    </row>
    <row r="3330" spans="1:18" ht="19.5" hidden="1" thickBot="1" x14ac:dyDescent="0.3">
      <c r="A3330" s="988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  <c r="R3330" s="2"/>
    </row>
    <row r="3331" spans="1:18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  <c r="R3331" s="2"/>
    </row>
    <row r="3332" spans="1:18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  <c r="R3332" s="2"/>
    </row>
    <row r="3333" spans="1:18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  <c r="R3333" s="2"/>
    </row>
    <row r="3334" spans="1:18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  <c r="R3334" s="2"/>
    </row>
    <row r="3335" spans="1:18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  <c r="R3335" s="2"/>
    </row>
    <row r="3336" spans="1:18" ht="19.5" hidden="1" thickBot="1" x14ac:dyDescent="0.3">
      <c r="A3336" s="985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  <c r="R3336" s="2"/>
    </row>
    <row r="3337" spans="1:18" ht="19.5" hidden="1" thickBot="1" x14ac:dyDescent="0.3">
      <c r="A3337" s="985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  <c r="R3337" s="2"/>
    </row>
    <row r="3338" spans="1:18" ht="19.5" hidden="1" thickBot="1" x14ac:dyDescent="0.3">
      <c r="A3338" s="985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  <c r="R3338" s="2"/>
    </row>
    <row r="3339" spans="1:18" ht="19.5" hidden="1" thickBot="1" x14ac:dyDescent="0.3">
      <c r="A3339" s="986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  <c r="R3339" s="2"/>
    </row>
    <row r="3340" spans="1:18" ht="19.5" hidden="1" thickBot="1" x14ac:dyDescent="0.3">
      <c r="A3340" s="986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  <c r="R3340" s="2"/>
    </row>
    <row r="3341" spans="1:18" ht="19.5" hidden="1" thickBot="1" x14ac:dyDescent="0.3">
      <c r="A3341" s="985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  <c r="R3341" s="2"/>
    </row>
    <row r="3342" spans="1:18" ht="19.5" hidden="1" thickBot="1" x14ac:dyDescent="0.3">
      <c r="A3342" s="985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  <c r="R3342" s="2"/>
    </row>
    <row r="3343" spans="1:18" ht="19.5" hidden="1" thickBot="1" x14ac:dyDescent="0.3">
      <c r="A3343" s="986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  <c r="R3343" s="2"/>
    </row>
    <row r="3344" spans="1:18" ht="19.5" hidden="1" thickBot="1" x14ac:dyDescent="0.3">
      <c r="A3344" s="986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  <c r="R3344" s="2"/>
    </row>
    <row r="3345" spans="1:18" ht="19.5" hidden="1" thickBot="1" x14ac:dyDescent="0.3">
      <c r="A3345" s="985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  <c r="R3345" s="2"/>
    </row>
    <row r="3346" spans="1:18" ht="19.5" hidden="1" thickBot="1" x14ac:dyDescent="0.3">
      <c r="A3346" s="985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  <c r="R3346" s="2"/>
    </row>
    <row r="3347" spans="1:18" ht="19.5" hidden="1" thickBot="1" x14ac:dyDescent="0.3">
      <c r="A3347" s="986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  <c r="R3347" s="2"/>
    </row>
    <row r="3348" spans="1:18" ht="19.5" hidden="1" thickBot="1" x14ac:dyDescent="0.3">
      <c r="A3348" s="986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  <c r="R3348" s="2"/>
    </row>
    <row r="3349" spans="1:18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  <c r="R3349" s="2"/>
    </row>
    <row r="3350" spans="1:18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  <c r="R3350" s="2"/>
    </row>
    <row r="3351" spans="1:18" ht="19.5" hidden="1" thickBot="1" x14ac:dyDescent="0.3">
      <c r="A3351" s="988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  <c r="R3351" s="2"/>
    </row>
    <row r="3352" spans="1:18" ht="19.5" hidden="1" thickBot="1" x14ac:dyDescent="0.3">
      <c r="A3352" s="988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  <c r="R3352" s="2"/>
    </row>
    <row r="3353" spans="1:18" ht="19.5" hidden="1" thickBot="1" x14ac:dyDescent="0.3">
      <c r="A3353" s="988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  <c r="R3353" s="2"/>
    </row>
    <row r="3354" spans="1:18" ht="19.5" hidden="1" thickBot="1" x14ac:dyDescent="0.3">
      <c r="A3354" s="984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  <c r="R3354" s="2"/>
    </row>
    <row r="3355" spans="1:18" ht="19.5" hidden="1" thickBot="1" x14ac:dyDescent="0.3">
      <c r="A3355" s="984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  <c r="R3355" s="2"/>
    </row>
    <row r="3356" spans="1:18" ht="19.5" hidden="1" thickBot="1" x14ac:dyDescent="0.3">
      <c r="A3356" s="985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  <c r="R3356" s="2"/>
    </row>
    <row r="3357" spans="1:18" ht="19.5" hidden="1" thickBot="1" x14ac:dyDescent="0.3">
      <c r="A3357" s="985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  <c r="R3357" s="2"/>
    </row>
    <row r="3358" spans="1:18" ht="19.5" hidden="1" thickBot="1" x14ac:dyDescent="0.3">
      <c r="A3358" s="984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  <c r="R3358" s="2"/>
    </row>
    <row r="3359" spans="1:18" ht="19.5" hidden="1" thickBot="1" x14ac:dyDescent="0.3">
      <c r="A3359" s="984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  <c r="R3359" s="2"/>
    </row>
    <row r="3360" spans="1:18" ht="19.5" hidden="1" thickBot="1" x14ac:dyDescent="0.3">
      <c r="A3360" s="988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  <c r="R3360" s="2"/>
    </row>
    <row r="3361" spans="1:18" ht="19.5" hidden="1" thickBot="1" x14ac:dyDescent="0.3">
      <c r="A3361" s="988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  <c r="R3361" s="2"/>
    </row>
    <row r="3362" spans="1:18" ht="19.5" hidden="1" thickBot="1" x14ac:dyDescent="0.3">
      <c r="A3362" s="988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  <c r="R3362" s="2"/>
    </row>
    <row r="3363" spans="1:18" ht="19.5" hidden="1" thickBot="1" x14ac:dyDescent="0.3">
      <c r="A3363" s="988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  <c r="R3363" s="2"/>
    </row>
    <row r="3364" spans="1:18" ht="19.5" hidden="1" thickBot="1" x14ac:dyDescent="0.3">
      <c r="A3364" s="988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  <c r="R3364" s="2"/>
    </row>
    <row r="3365" spans="1:18" ht="19.5" hidden="1" thickBot="1" x14ac:dyDescent="0.3">
      <c r="A3365" s="988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  <c r="R3365" s="2"/>
    </row>
    <row r="3366" spans="1:18" ht="19.5" hidden="1" thickBot="1" x14ac:dyDescent="0.3">
      <c r="A3366" s="988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  <c r="R3366" s="2"/>
    </row>
    <row r="3367" spans="1:18" ht="19.5" hidden="1" thickBot="1" x14ac:dyDescent="0.3">
      <c r="A3367" s="988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  <c r="R3367" s="2"/>
    </row>
    <row r="3368" spans="1:18" ht="19.5" hidden="1" thickBot="1" x14ac:dyDescent="0.3">
      <c r="A3368" s="984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  <c r="R3368" s="2"/>
    </row>
    <row r="3369" spans="1:18" ht="19.5" hidden="1" thickBot="1" x14ac:dyDescent="0.3">
      <c r="A3369" s="984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  <c r="R3369" s="2"/>
    </row>
    <row r="3370" spans="1:18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  <c r="R3370" s="2"/>
    </row>
    <row r="3371" spans="1:18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  <c r="R3371" s="2"/>
    </row>
    <row r="3372" spans="1:18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  <c r="R3372" s="2"/>
    </row>
    <row r="3373" spans="1:18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  <c r="R3373" s="2"/>
    </row>
    <row r="3374" spans="1:18" ht="19.5" hidden="1" thickBot="1" x14ac:dyDescent="0.3">
      <c r="A3374" s="985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  <c r="R3374" s="2"/>
    </row>
    <row r="3375" spans="1:18" ht="19.5" hidden="1" thickBot="1" x14ac:dyDescent="0.3">
      <c r="A3375" s="985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  <c r="R3375" s="2"/>
    </row>
    <row r="3376" spans="1:18" ht="19.5" hidden="1" thickBot="1" x14ac:dyDescent="0.3">
      <c r="A3376" s="984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  <c r="R3376" s="2"/>
    </row>
    <row r="3377" spans="1:18" ht="19.5" hidden="1" thickBot="1" x14ac:dyDescent="0.3">
      <c r="A3377" s="984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  <c r="R3377" s="2"/>
    </row>
    <row r="3378" spans="1:18" ht="19.5" hidden="1" customHeight="1" thickBot="1" x14ac:dyDescent="0.3">
      <c r="A3378" s="988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990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  <c r="R3378" s="2"/>
    </row>
    <row r="3379" spans="1:18" ht="19.5" hidden="1" thickBot="1" x14ac:dyDescent="0.3">
      <c r="A3379" s="988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990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  <c r="R3379" s="2"/>
    </row>
    <row r="3380" spans="1:18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  <c r="R3380" s="2"/>
    </row>
    <row r="3381" spans="1:18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  <c r="R3381" s="2"/>
    </row>
    <row r="3382" spans="1:18" ht="19.5" hidden="1" thickBot="1" x14ac:dyDescent="0.3">
      <c r="A3382" s="984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  <c r="R3382" s="2"/>
    </row>
    <row r="3383" spans="1:18" ht="19.5" hidden="1" thickBot="1" x14ac:dyDescent="0.3">
      <c r="A3383" s="984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  <c r="R3383" s="2"/>
    </row>
    <row r="3384" spans="1:18" ht="19.5" hidden="1" thickBot="1" x14ac:dyDescent="0.3">
      <c r="A3384" s="984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  <c r="R3384" s="2"/>
    </row>
    <row r="3385" spans="1:18" ht="19.5" hidden="1" thickBot="1" x14ac:dyDescent="0.3">
      <c r="A3385" s="985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  <c r="R3385" s="2"/>
    </row>
    <row r="3386" spans="1:18" ht="19.5" hidden="1" thickBot="1" x14ac:dyDescent="0.3">
      <c r="A3386" s="985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  <c r="R3386" s="2"/>
    </row>
    <row r="3387" spans="1:18" ht="19.5" hidden="1" thickBot="1" x14ac:dyDescent="0.3">
      <c r="A3387" s="984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  <c r="R3387" s="2"/>
    </row>
    <row r="3388" spans="1:18" ht="19.5" hidden="1" thickBot="1" x14ac:dyDescent="0.3">
      <c r="A3388" s="984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  <c r="R3388" s="2"/>
    </row>
    <row r="3389" spans="1:18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  <c r="R3389" s="2"/>
    </row>
    <row r="3390" spans="1:18" ht="19.5" hidden="1" thickBot="1" x14ac:dyDescent="0.3">
      <c r="A3390" s="984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  <c r="R3390" s="2"/>
    </row>
    <row r="3391" spans="1:18" ht="19.5" hidden="1" thickBot="1" x14ac:dyDescent="0.3">
      <c r="A3391" s="984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  <c r="R3391" s="2"/>
    </row>
    <row r="3392" spans="1:18" ht="28.5" hidden="1" customHeight="1" thickBot="1" x14ac:dyDescent="0.3">
      <c r="A3392" s="985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990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  <c r="R3392" s="2"/>
    </row>
    <row r="3393" spans="1:18" ht="28.5" hidden="1" customHeight="1" thickBot="1" x14ac:dyDescent="0.3">
      <c r="A3393" s="985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990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  <c r="R3393" s="2"/>
    </row>
    <row r="3394" spans="1:18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  <c r="R3394" s="2"/>
    </row>
    <row r="3395" spans="1:18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  <c r="R3395" s="2"/>
    </row>
    <row r="3396" spans="1:18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  <c r="R3396" s="2"/>
    </row>
    <row r="3397" spans="1:18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  <c r="R3397" s="2"/>
    </row>
    <row r="3398" spans="1:18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  <c r="R3398" s="2"/>
    </row>
    <row r="3399" spans="1:18" ht="19.5" hidden="1" thickBot="1" x14ac:dyDescent="0.3">
      <c r="A3399" s="988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  <c r="R3399" s="2"/>
    </row>
    <row r="3400" spans="1:18" ht="19.5" hidden="1" thickBot="1" x14ac:dyDescent="0.3">
      <c r="A3400" s="988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  <c r="R3400" s="2"/>
    </row>
    <row r="3401" spans="1:18" ht="19.5" hidden="1" thickBot="1" x14ac:dyDescent="0.3">
      <c r="A3401" s="988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  <c r="R3401" s="2"/>
    </row>
    <row r="3402" spans="1:18" ht="19.5" hidden="1" thickBot="1" x14ac:dyDescent="0.3">
      <c r="A3402" s="988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  <c r="R3402" s="2"/>
    </row>
    <row r="3403" spans="1:18" ht="19.5" hidden="1" thickBot="1" x14ac:dyDescent="0.3">
      <c r="A3403" s="988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  <c r="R3403" s="2"/>
    </row>
    <row r="3404" spans="1:18" ht="19.5" hidden="1" thickBot="1" x14ac:dyDescent="0.3">
      <c r="A3404" s="988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  <c r="R3404" s="2"/>
    </row>
    <row r="3405" spans="1:18" ht="38.2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  <c r="R3405" s="2"/>
    </row>
    <row r="3406" spans="1:18" ht="19.5" hidden="1" thickBot="1" x14ac:dyDescent="0.3">
      <c r="A3406" s="985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  <c r="R3406" s="2"/>
    </row>
    <row r="3407" spans="1:18" ht="19.5" hidden="1" thickBot="1" x14ac:dyDescent="0.3">
      <c r="A3407" s="985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  <c r="R3407" s="2"/>
    </row>
    <row r="3408" spans="1:18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  <c r="R3408" s="2"/>
    </row>
    <row r="3409" spans="1:18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  <c r="R3409" s="2"/>
    </row>
    <row r="3410" spans="1:18" ht="38.25" hidden="1" thickBot="1" x14ac:dyDescent="0.3">
      <c r="A3410" s="984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  <c r="R3410" s="2"/>
    </row>
    <row r="3411" spans="1:18" ht="38.25" hidden="1" thickBot="1" x14ac:dyDescent="0.3">
      <c r="A3411" s="984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  <c r="R3411" s="2"/>
    </row>
    <row r="3412" spans="1:18" ht="38.25" hidden="1" thickBot="1" x14ac:dyDescent="0.3">
      <c r="A3412" s="984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  <c r="R3412" s="2"/>
    </row>
    <row r="3413" spans="1:18" ht="38.25" hidden="1" thickBot="1" x14ac:dyDescent="0.3">
      <c r="A3413" s="984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  <c r="R3413" s="2"/>
    </row>
    <row r="3414" spans="1:18" ht="18.75" hidden="1" customHeight="1" thickBot="1" x14ac:dyDescent="0.3">
      <c r="A3414" s="985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990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  <c r="R3414" s="2"/>
    </row>
    <row r="3415" spans="1:18" ht="19.5" hidden="1" thickBot="1" x14ac:dyDescent="0.3">
      <c r="A3415" s="985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990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  <c r="R3415" s="2"/>
    </row>
    <row r="3416" spans="1:18" ht="38.25" hidden="1" thickBot="1" x14ac:dyDescent="0.3">
      <c r="A3416" s="986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  <c r="R3416" s="2"/>
    </row>
    <row r="3417" spans="1:18" ht="38.25" hidden="1" thickBot="1" x14ac:dyDescent="0.3">
      <c r="A3417" s="986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  <c r="R3417" s="2"/>
    </row>
    <row r="3418" spans="1:18" ht="38.25" hidden="1" thickBot="1" x14ac:dyDescent="0.3">
      <c r="A3418" s="986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  <c r="R3418" s="2"/>
    </row>
    <row r="3419" spans="1:18" ht="38.25" hidden="1" thickBot="1" x14ac:dyDescent="0.3">
      <c r="A3419" s="986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  <c r="R3419" s="2"/>
    </row>
    <row r="3420" spans="1:18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  <c r="R3420" s="2"/>
    </row>
    <row r="3421" spans="1:18" ht="38.25" hidden="1" thickBot="1" x14ac:dyDescent="0.3">
      <c r="A3421" s="984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  <c r="R3421" s="2"/>
    </row>
    <row r="3422" spans="1:18" ht="38.25" hidden="1" thickBot="1" x14ac:dyDescent="0.3">
      <c r="A3422" s="984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  <c r="R3422" s="2"/>
    </row>
    <row r="3423" spans="1:18" ht="38.25" hidden="1" thickBot="1" x14ac:dyDescent="0.3">
      <c r="A3423" s="984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  <c r="R3423" s="2"/>
    </row>
    <row r="3424" spans="1:18" ht="38.25" hidden="1" thickBot="1" x14ac:dyDescent="0.3">
      <c r="A3424" s="984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  <c r="R3424" s="2"/>
    </row>
    <row r="3425" spans="1:18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  <c r="R3425" s="2"/>
    </row>
    <row r="3426" spans="1:18" ht="19.5" hidden="1" thickBot="1" x14ac:dyDescent="0.3">
      <c r="A3426" s="984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  <c r="R3426" s="2"/>
    </row>
    <row r="3427" spans="1:18" ht="19.5" hidden="1" thickBot="1" x14ac:dyDescent="0.3">
      <c r="A3427" s="984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  <c r="R3427" s="2"/>
    </row>
    <row r="3428" spans="1:18" ht="19.5" hidden="1" thickBot="1" x14ac:dyDescent="0.3">
      <c r="A3428" s="984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  <c r="R3428" s="2"/>
    </row>
    <row r="3429" spans="1:18" ht="19.5" hidden="1" thickBot="1" x14ac:dyDescent="0.3">
      <c r="A3429" s="984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  <c r="R3429" s="2"/>
    </row>
    <row r="3430" spans="1:18" ht="38.2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  <c r="R3430" s="2"/>
    </row>
    <row r="3431" spans="1:18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  <c r="R3431" s="2"/>
    </row>
    <row r="3432" spans="1:18" ht="19.5" hidden="1" thickBot="1" x14ac:dyDescent="0.3">
      <c r="A3432" s="988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  <c r="R3432" s="2"/>
    </row>
    <row r="3433" spans="1:18" ht="19.5" hidden="1" thickBot="1" x14ac:dyDescent="0.3">
      <c r="A3433" s="988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  <c r="R3433" s="2"/>
    </row>
    <row r="3434" spans="1:18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  <c r="R3434" s="2"/>
    </row>
    <row r="3435" spans="1:18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  <c r="R3435" s="2"/>
    </row>
    <row r="3436" spans="1:18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  <c r="R3436" s="2"/>
    </row>
    <row r="3437" spans="1:18" ht="19.5" hidden="1" thickBot="1" x14ac:dyDescent="0.3">
      <c r="A3437" s="985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  <c r="R3437" s="2"/>
    </row>
    <row r="3438" spans="1:18" ht="19.5" hidden="1" thickBot="1" x14ac:dyDescent="0.3">
      <c r="A3438" s="985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  <c r="R3438" s="2"/>
    </row>
    <row r="3439" spans="1:18" ht="19.5" hidden="1" thickBot="1" x14ac:dyDescent="0.3">
      <c r="A3439" s="985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  <c r="R3439" s="2"/>
    </row>
    <row r="3440" spans="1:18" ht="19.5" hidden="1" thickBot="1" x14ac:dyDescent="0.3">
      <c r="A3440" s="985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  <c r="R3440" s="2"/>
    </row>
    <row r="3441" spans="1:18" ht="19.5" hidden="1" thickBot="1" x14ac:dyDescent="0.3">
      <c r="A3441" s="985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  <c r="R3441" s="2"/>
    </row>
    <row r="3442" spans="1:18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  <c r="R3442" s="2"/>
    </row>
    <row r="3443" spans="1:18" ht="19.5" hidden="1" thickBot="1" x14ac:dyDescent="0.3">
      <c r="A3443" s="985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  <c r="R3443" s="2"/>
    </row>
    <row r="3444" spans="1:18" ht="19.5" hidden="1" thickBot="1" x14ac:dyDescent="0.3">
      <c r="A3444" s="985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  <c r="R3444" s="2"/>
    </row>
    <row r="3445" spans="1:18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  <c r="R3445" s="2"/>
    </row>
    <row r="3446" spans="1:18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  <c r="R3446" s="2"/>
    </row>
    <row r="3447" spans="1:18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  <c r="R3447" s="2"/>
    </row>
    <row r="3448" spans="1:18" ht="19.5" hidden="1" thickBot="1" x14ac:dyDescent="0.3">
      <c r="A3448" s="985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  <c r="R3448" s="2"/>
    </row>
    <row r="3449" spans="1:18" ht="19.5" hidden="1" thickBot="1" x14ac:dyDescent="0.3">
      <c r="A3449" s="985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  <c r="R3449" s="2"/>
    </row>
    <row r="3450" spans="1:18" ht="19.5" hidden="1" thickBot="1" x14ac:dyDescent="0.3">
      <c r="A3450" s="984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  <c r="R3450" s="2"/>
    </row>
    <row r="3451" spans="1:18" ht="19.5" hidden="1" thickBot="1" x14ac:dyDescent="0.3">
      <c r="A3451" s="984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  <c r="R3451" s="2"/>
    </row>
    <row r="3452" spans="1:18" ht="18.75" hidden="1" customHeight="1" thickBot="1" x14ac:dyDescent="0.3">
      <c r="A3452" s="988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989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  <c r="R3452" s="2"/>
    </row>
    <row r="3453" spans="1:18" ht="19.5" hidden="1" thickBot="1" x14ac:dyDescent="0.3">
      <c r="A3453" s="988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989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  <c r="R3453" s="2"/>
    </row>
    <row r="3454" spans="1:18" ht="19.5" hidden="1" thickBot="1" x14ac:dyDescent="0.3">
      <c r="A3454" s="988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989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  <c r="R3454" s="2"/>
    </row>
    <row r="3455" spans="1:18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  <c r="R3455" s="2"/>
    </row>
    <row r="3456" spans="1:18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  <c r="R3456" s="2"/>
    </row>
    <row r="3457" spans="1:18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  <c r="R3457" s="2"/>
    </row>
    <row r="3458" spans="1:18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  <c r="R3458" s="2"/>
    </row>
    <row r="3459" spans="1:18" ht="19.5" hidden="1" thickBot="1" x14ac:dyDescent="0.3">
      <c r="A3459" s="984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  <c r="R3459" s="2"/>
    </row>
    <row r="3460" spans="1:18" ht="19.5" hidden="1" thickBot="1" x14ac:dyDescent="0.3">
      <c r="A3460" s="984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  <c r="R3460" s="2"/>
    </row>
    <row r="3461" spans="1:18" ht="19.5" hidden="1" thickBot="1" x14ac:dyDescent="0.3">
      <c r="A3461" s="984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  <c r="R3461" s="2"/>
    </row>
    <row r="3462" spans="1:18" ht="19.5" hidden="1" thickBot="1" x14ac:dyDescent="0.3">
      <c r="A3462" s="984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  <c r="R3462" s="2"/>
    </row>
    <row r="3463" spans="1:18" ht="19.5" hidden="1" thickBot="1" x14ac:dyDescent="0.3">
      <c r="A3463" s="985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  <c r="R3463" s="2"/>
    </row>
    <row r="3464" spans="1:18" ht="19.5" hidden="1" thickBot="1" x14ac:dyDescent="0.3">
      <c r="A3464" s="985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  <c r="R3464" s="2"/>
    </row>
    <row r="3465" spans="1:18" ht="19.5" hidden="1" thickBot="1" x14ac:dyDescent="0.3">
      <c r="A3465" s="984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  <c r="R3465" s="2"/>
    </row>
    <row r="3466" spans="1:18" ht="19.5" hidden="1" thickBot="1" x14ac:dyDescent="0.3">
      <c r="A3466" s="984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  <c r="R3466" s="2"/>
    </row>
    <row r="3467" spans="1:18" ht="19.5" hidden="1" thickBot="1" x14ac:dyDescent="0.3">
      <c r="A3467" s="984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  <c r="R3467" s="2"/>
    </row>
    <row r="3468" spans="1:18" ht="19.5" hidden="1" thickBot="1" x14ac:dyDescent="0.3">
      <c r="A3468" s="985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  <c r="R3468" s="2"/>
    </row>
    <row r="3469" spans="1:18" ht="19.5" hidden="1" thickBot="1" x14ac:dyDescent="0.3">
      <c r="A3469" s="985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  <c r="R3469" s="2"/>
    </row>
    <row r="3470" spans="1:18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  <c r="R3470" s="2"/>
    </row>
    <row r="3471" spans="1:18" ht="19.5" hidden="1" thickBot="1" x14ac:dyDescent="0.3">
      <c r="A3471" s="985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  <c r="R3471" s="2"/>
    </row>
    <row r="3472" spans="1:18" ht="19.5" hidden="1" thickBot="1" x14ac:dyDescent="0.3">
      <c r="A3472" s="985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  <c r="R3472" s="2"/>
    </row>
    <row r="3473" spans="1:18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  <c r="R3473" s="2"/>
    </row>
    <row r="3474" spans="1:18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  <c r="R3474" s="2"/>
    </row>
    <row r="3475" spans="1:18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  <c r="R3475" s="2"/>
    </row>
    <row r="3476" spans="1:18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  <c r="R3476" s="2"/>
    </row>
    <row r="3477" spans="1:18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  <c r="R3477" s="2"/>
    </row>
    <row r="3478" spans="1:18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  <c r="R3478" s="2"/>
    </row>
    <row r="3479" spans="1:18" ht="19.5" hidden="1" thickBot="1" x14ac:dyDescent="0.3">
      <c r="A3479" s="986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  <c r="R3479" s="2"/>
    </row>
    <row r="3480" spans="1:18" ht="19.5" hidden="1" thickBot="1" x14ac:dyDescent="0.3">
      <c r="A3480" s="986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  <c r="R3480" s="2"/>
    </row>
    <row r="3481" spans="1:18" ht="19.5" hidden="1" thickBot="1" x14ac:dyDescent="0.3">
      <c r="A3481" s="986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  <c r="R3481" s="2"/>
    </row>
    <row r="3482" spans="1:18" ht="19.5" hidden="1" thickBot="1" x14ac:dyDescent="0.3">
      <c r="A3482" s="986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  <c r="R3482" s="2"/>
    </row>
    <row r="3483" spans="1:18" ht="19.5" hidden="1" thickBot="1" x14ac:dyDescent="0.3">
      <c r="A3483" s="986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  <c r="R3483" s="2"/>
    </row>
    <row r="3484" spans="1:18" ht="19.5" hidden="1" thickBot="1" x14ac:dyDescent="0.3">
      <c r="A3484" s="985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  <c r="R3484" s="2"/>
    </row>
    <row r="3485" spans="1:18" ht="19.5" hidden="1" thickBot="1" x14ac:dyDescent="0.3">
      <c r="A3485" s="985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  <c r="R3485" s="2"/>
    </row>
    <row r="3486" spans="1:18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  <c r="R3486" s="2"/>
    </row>
    <row r="3487" spans="1:18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  <c r="R3487" s="2"/>
    </row>
    <row r="3488" spans="1:18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  <c r="R3488" s="2"/>
    </row>
    <row r="3489" spans="1:18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  <c r="R3489" s="2"/>
    </row>
    <row r="3490" spans="1:18" ht="19.5" hidden="1" customHeight="1" thickBot="1" x14ac:dyDescent="0.3">
      <c r="A3490" s="984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987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  <c r="R3490" s="2"/>
    </row>
    <row r="3491" spans="1:18" ht="19.5" hidden="1" thickBot="1" x14ac:dyDescent="0.3">
      <c r="A3491" s="984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987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  <c r="R3491" s="2"/>
    </row>
    <row r="3492" spans="1:18" ht="19.5" hidden="1" thickBot="1" x14ac:dyDescent="0.3">
      <c r="A3492" s="985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  <c r="R3492" s="2"/>
    </row>
    <row r="3493" spans="1:18" ht="19.5" hidden="1" thickBot="1" x14ac:dyDescent="0.3">
      <c r="A3493" s="985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  <c r="R3493" s="2"/>
    </row>
    <row r="3494" spans="1:18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  <c r="R3494" s="2"/>
    </row>
    <row r="3495" spans="1:18" ht="19.5" hidden="1" thickBot="1" x14ac:dyDescent="0.3">
      <c r="A3495" s="988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  <c r="R3495" s="2"/>
    </row>
    <row r="3496" spans="1:18" ht="19.5" hidden="1" thickBot="1" x14ac:dyDescent="0.3">
      <c r="A3496" s="988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  <c r="R3496" s="2"/>
    </row>
    <row r="3497" spans="1:18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  <c r="R3497" s="2"/>
    </row>
    <row r="3498" spans="1:18" ht="19.5" hidden="1" thickBot="1" x14ac:dyDescent="0.3">
      <c r="A3498" s="985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  <c r="R3498" s="2"/>
    </row>
    <row r="3499" spans="1:18" ht="19.5" hidden="1" thickBot="1" x14ac:dyDescent="0.3">
      <c r="A3499" s="985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  <c r="R3499" s="2"/>
    </row>
    <row r="3500" spans="1:18" ht="19.5" hidden="1" thickBot="1" x14ac:dyDescent="0.3">
      <c r="A3500" s="984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  <c r="R3500" s="2"/>
    </row>
    <row r="3501" spans="1:18" ht="19.5" hidden="1" thickBot="1" x14ac:dyDescent="0.3">
      <c r="A3501" s="984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  <c r="R3501" s="2"/>
    </row>
    <row r="3502" spans="1:18" ht="19.5" hidden="1" thickBot="1" x14ac:dyDescent="0.3">
      <c r="A3502" s="984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  <c r="R3502" s="2"/>
    </row>
    <row r="3503" spans="1:18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  <c r="R3503" s="2"/>
    </row>
    <row r="3504" spans="1:18" ht="19.5" hidden="1" thickBot="1" x14ac:dyDescent="0.3">
      <c r="A3504" s="984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  <c r="R3504" s="2"/>
    </row>
    <row r="3505" spans="1:18" ht="19.5" hidden="1" thickBot="1" x14ac:dyDescent="0.3">
      <c r="A3505" s="984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  <c r="R3505" s="2"/>
    </row>
    <row r="3506" spans="1:18" ht="19.5" hidden="1" thickBot="1" x14ac:dyDescent="0.3">
      <c r="A3506" s="985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  <c r="R3506" s="2"/>
    </row>
    <row r="3507" spans="1:18" ht="19.5" hidden="1" thickBot="1" x14ac:dyDescent="0.3">
      <c r="A3507" s="985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  <c r="R3507" s="2"/>
    </row>
    <row r="3508" spans="1:18" ht="19.5" hidden="1" thickBot="1" x14ac:dyDescent="0.3">
      <c r="A3508" s="985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  <c r="R3508" s="2"/>
    </row>
    <row r="3509" spans="1:18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  <c r="R3509" s="2"/>
    </row>
    <row r="3510" spans="1:18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  <c r="R3510" s="2"/>
    </row>
    <row r="3511" spans="1:18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  <c r="R3511" s="2"/>
    </row>
    <row r="3512" spans="1:18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  <c r="R3512" s="2"/>
    </row>
    <row r="3513" spans="1:18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  <c r="R3513" s="2"/>
    </row>
    <row r="3514" spans="1:18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  <c r="R3514" s="2"/>
    </row>
    <row r="3515" spans="1:18" ht="19.5" hidden="1" thickBot="1" x14ac:dyDescent="0.3">
      <c r="A3515" s="986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  <c r="R3515" s="2"/>
    </row>
    <row r="3516" spans="1:18" ht="19.5" hidden="1" thickBot="1" x14ac:dyDescent="0.3">
      <c r="A3516" s="986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  <c r="R3516" s="2"/>
    </row>
    <row r="3517" spans="1:18" ht="19.5" hidden="1" thickBot="1" x14ac:dyDescent="0.3">
      <c r="A3517" s="986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  <c r="R3517" s="2"/>
    </row>
    <row r="3518" spans="1:18" ht="19.5" hidden="1" thickBot="1" x14ac:dyDescent="0.3">
      <c r="A3518" s="986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  <c r="R3518" s="2"/>
    </row>
    <row r="3519" spans="1:18" ht="19.5" hidden="1" thickBot="1" x14ac:dyDescent="0.3">
      <c r="A3519" s="986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  <c r="R3519" s="2"/>
    </row>
    <row r="3520" spans="1:18" ht="19.5" hidden="1" thickBot="1" x14ac:dyDescent="0.3">
      <c r="A3520" s="986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  <c r="R3520" s="2"/>
    </row>
    <row r="3521" spans="1:18" ht="19.5" hidden="1" thickBot="1" x14ac:dyDescent="0.3">
      <c r="A3521" s="986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  <c r="R3521" s="2"/>
    </row>
    <row r="3522" spans="1:18" ht="19.5" hidden="1" thickBot="1" x14ac:dyDescent="0.3">
      <c r="A3522" s="985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  <c r="R3522" s="2"/>
    </row>
    <row r="3523" spans="1:18" ht="19.5" hidden="1" thickBot="1" x14ac:dyDescent="0.3">
      <c r="A3523" s="985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  <c r="R3523" s="2"/>
    </row>
    <row r="3524" spans="1:18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  <c r="R3524" s="2"/>
    </row>
    <row r="3525" spans="1:18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  <c r="R3525" s="2"/>
    </row>
    <row r="3526" spans="1:18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  <c r="R3526" s="2"/>
    </row>
    <row r="3527" spans="1:18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  <c r="R3527" s="2"/>
    </row>
    <row r="3528" spans="1:18" ht="18.75" hidden="1" customHeight="1" thickBot="1" x14ac:dyDescent="0.3">
      <c r="A3528" s="984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987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  <c r="R3528" s="2"/>
    </row>
    <row r="3529" spans="1:18" ht="19.5" hidden="1" thickBot="1" x14ac:dyDescent="0.3">
      <c r="A3529" s="984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987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  <c r="R3529" s="2"/>
    </row>
    <row r="3530" spans="1:18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  <c r="R3530" s="2"/>
    </row>
    <row r="3531" spans="1:18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  <c r="R3531" s="2"/>
    </row>
    <row r="3532" spans="1:18" ht="19.5" hidden="1" thickBot="1" x14ac:dyDescent="0.3">
      <c r="A3532" s="985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  <c r="R3532" s="2"/>
    </row>
    <row r="3533" spans="1:18" ht="19.5" hidden="1" thickBot="1" x14ac:dyDescent="0.3">
      <c r="A3533" s="985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  <c r="R3533" s="2"/>
    </row>
    <row r="3534" spans="1:18" ht="19.5" hidden="1" thickBot="1" x14ac:dyDescent="0.3">
      <c r="A3534" s="984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  <c r="R3534" s="2"/>
    </row>
    <row r="3535" spans="1:18" ht="19.5" hidden="1" thickBot="1" x14ac:dyDescent="0.3">
      <c r="A3535" s="984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  <c r="R3535" s="2"/>
    </row>
    <row r="3536" spans="1:18" ht="19.5" hidden="1" thickBot="1" x14ac:dyDescent="0.3">
      <c r="A3536" s="984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  <c r="R3536" s="2"/>
    </row>
    <row r="3537" spans="1:18" ht="19.5" hidden="1" thickBot="1" x14ac:dyDescent="0.3">
      <c r="A3537" s="984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  <c r="R3537" s="2"/>
    </row>
    <row r="3538" spans="1:18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  <c r="R3538" s="2"/>
    </row>
    <row r="3539" spans="1:18" ht="57" hidden="1" thickBot="1" x14ac:dyDescent="0.3">
      <c r="A3539" s="986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  <c r="R3539" s="2"/>
    </row>
    <row r="3540" spans="1:18" ht="19.5" hidden="1" thickBot="1" x14ac:dyDescent="0.3">
      <c r="A3540" s="986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  <c r="R3540" s="2"/>
    </row>
    <row r="3541" spans="1:18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  <c r="R3541" s="2"/>
    </row>
    <row r="3542" spans="1:18" ht="19.5" hidden="1" thickBot="1" x14ac:dyDescent="0.3">
      <c r="A3542" s="984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  <c r="R3542" s="2"/>
    </row>
    <row r="3543" spans="1:18" ht="19.5" hidden="1" thickBot="1" x14ac:dyDescent="0.3">
      <c r="A3543" s="984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  <c r="R3543" s="2"/>
    </row>
    <row r="3544" spans="1:18" ht="19.5" hidden="1" thickBot="1" x14ac:dyDescent="0.3">
      <c r="A3544" s="984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  <c r="R3544" s="2"/>
    </row>
    <row r="3545" spans="1:18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  <c r="R3545" s="2"/>
    </row>
    <row r="3546" spans="1:18" ht="19.5" hidden="1" thickBot="1" x14ac:dyDescent="0.3">
      <c r="A3546" s="984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  <c r="R3546" s="2"/>
    </row>
    <row r="3547" spans="1:18" ht="19.5" hidden="1" thickBot="1" x14ac:dyDescent="0.3">
      <c r="A3547" s="984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  <c r="R3547" s="2"/>
    </row>
    <row r="3548" spans="1:18" ht="19.5" hidden="1" thickBot="1" x14ac:dyDescent="0.3">
      <c r="A3548" s="985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  <c r="R3548" s="2"/>
    </row>
    <row r="3549" spans="1:18" ht="19.5" hidden="1" thickBot="1" x14ac:dyDescent="0.3">
      <c r="A3549" s="985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  <c r="R3549" s="2"/>
    </row>
    <row r="3550" spans="1:18" ht="39.75" hidden="1" customHeight="1" thickBot="1" x14ac:dyDescent="0.3">
      <c r="A3550" s="984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987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  <c r="R3550" s="2"/>
    </row>
    <row r="3551" spans="1:18" ht="39.75" hidden="1" customHeight="1" thickBot="1" x14ac:dyDescent="0.3">
      <c r="A3551" s="984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987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  <c r="R3551" s="2"/>
    </row>
    <row r="3552" spans="1:18" ht="39" hidden="1" customHeight="1" x14ac:dyDescent="0.25">
      <c r="A3552" s="954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967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  <c r="R3552" s="2"/>
    </row>
    <row r="3553" spans="1:18" ht="39" hidden="1" customHeight="1" thickBot="1" x14ac:dyDescent="0.3">
      <c r="A3553" s="955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969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  <c r="R3553" s="2"/>
    </row>
    <row r="3554" spans="1:18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  <c r="R3554" s="2"/>
    </row>
    <row r="3555" spans="1:18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  <c r="R3555" s="2"/>
    </row>
    <row r="3556" spans="1:18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  <c r="R3556" s="2"/>
    </row>
    <row r="3557" spans="1:18" ht="19.5" hidden="1" thickBot="1" x14ac:dyDescent="0.3">
      <c r="A3557" s="954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967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  <c r="R3557" s="2"/>
    </row>
    <row r="3558" spans="1:18" ht="19.5" hidden="1" thickBot="1" x14ac:dyDescent="0.3">
      <c r="A3558" s="955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969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  <c r="R3558" s="2"/>
    </row>
    <row r="3559" spans="1:18" ht="19.5" hidden="1" thickBot="1" x14ac:dyDescent="0.3">
      <c r="A3559" s="955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969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  <c r="R3559" s="2"/>
    </row>
    <row r="3560" spans="1:18" ht="19.5" hidden="1" thickBot="1" x14ac:dyDescent="0.3">
      <c r="A3560" s="955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969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  <c r="R3560" s="2"/>
    </row>
    <row r="3561" spans="1:18" ht="19.5" hidden="1" thickBot="1" x14ac:dyDescent="0.3">
      <c r="A3561" s="957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  <c r="R3561" s="2"/>
    </row>
    <row r="3562" spans="1:18" ht="19.5" hidden="1" thickBot="1" x14ac:dyDescent="0.3">
      <c r="A3562" s="979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  <c r="R3562" s="2"/>
    </row>
    <row r="3563" spans="1:18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  <c r="R3563" s="2"/>
    </row>
    <row r="3564" spans="1:18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  <c r="R3564" s="2"/>
    </row>
    <row r="3565" spans="1:18" ht="19.5" hidden="1" thickBot="1" x14ac:dyDescent="0.3">
      <c r="A3565" s="954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  <c r="R3565" s="2"/>
    </row>
    <row r="3566" spans="1:18" ht="19.5" hidden="1" thickBot="1" x14ac:dyDescent="0.3">
      <c r="A3566" s="978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  <c r="R3566" s="2"/>
    </row>
    <row r="3567" spans="1:18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  <c r="R3567" s="2"/>
    </row>
    <row r="3568" spans="1:18" ht="19.5" hidden="1" thickBot="1" x14ac:dyDescent="0.3">
      <c r="A3568" s="954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967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  <c r="R3568" s="2"/>
    </row>
    <row r="3569" spans="1:18" ht="19.5" hidden="1" thickBot="1" x14ac:dyDescent="0.3">
      <c r="A3569" s="978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977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  <c r="R3569" s="2"/>
    </row>
    <row r="3570" spans="1:18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  <c r="R3570" s="2"/>
    </row>
    <row r="3571" spans="1:18" ht="19.5" hidden="1" thickBot="1" x14ac:dyDescent="0.3">
      <c r="A3571" s="954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  <c r="R3571" s="2"/>
    </row>
    <row r="3572" spans="1:18" ht="19.5" hidden="1" thickBot="1" x14ac:dyDescent="0.3">
      <c r="A3572" s="955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  <c r="R3572" s="2"/>
    </row>
    <row r="3573" spans="1:18" ht="19.5" hidden="1" thickBot="1" x14ac:dyDescent="0.3">
      <c r="A3573" s="955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  <c r="R3573" s="2"/>
    </row>
    <row r="3574" spans="1:18" ht="19.5" hidden="1" thickBot="1" x14ac:dyDescent="0.3">
      <c r="A3574" s="955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  <c r="R3574" s="2"/>
    </row>
    <row r="3575" spans="1:18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  <c r="R3575" s="2"/>
    </row>
    <row r="3576" spans="1:18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  <c r="R3576" s="2"/>
    </row>
    <row r="3577" spans="1:18" ht="19.5" hidden="1" thickBot="1" x14ac:dyDescent="0.3">
      <c r="A3577" s="957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  <c r="R3577" s="2"/>
    </row>
    <row r="3578" spans="1:18" ht="19.5" hidden="1" thickBot="1" x14ac:dyDescent="0.3">
      <c r="A3578" s="958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  <c r="R3578" s="2"/>
    </row>
    <row r="3579" spans="1:18" ht="19.5" hidden="1" thickBot="1" x14ac:dyDescent="0.3">
      <c r="A3579" s="958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  <c r="R3579" s="2"/>
    </row>
    <row r="3580" spans="1:18" ht="19.5" hidden="1" thickBot="1" x14ac:dyDescent="0.3">
      <c r="A3580" s="958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  <c r="R3580" s="2"/>
    </row>
    <row r="3581" spans="1:18" ht="19.5" hidden="1" thickBot="1" x14ac:dyDescent="0.3">
      <c r="A3581" s="979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  <c r="R3581" s="2"/>
    </row>
    <row r="3582" spans="1:18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  <c r="R3582" s="2"/>
    </row>
    <row r="3583" spans="1:18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  <c r="R3583" s="2"/>
    </row>
    <row r="3584" spans="1:18" ht="19.5" hidden="1" thickBot="1" x14ac:dyDescent="0.3">
      <c r="A3584" s="954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  <c r="R3584" s="2"/>
    </row>
    <row r="3585" spans="1:18" ht="19.5" hidden="1" thickBot="1" x14ac:dyDescent="0.3">
      <c r="A3585" s="978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  <c r="R3585" s="2"/>
    </row>
    <row r="3586" spans="1:18" ht="19.5" hidden="1" thickBot="1" x14ac:dyDescent="0.3">
      <c r="A3586" s="957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  <c r="R3586" s="2"/>
    </row>
    <row r="3587" spans="1:18" ht="19.5" hidden="1" thickBot="1" x14ac:dyDescent="0.3">
      <c r="A3587" s="979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  <c r="R3587" s="2"/>
    </row>
    <row r="3588" spans="1:18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  <c r="R3588" s="2"/>
    </row>
    <row r="3589" spans="1:18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  <c r="R3589" s="2"/>
    </row>
    <row r="3590" spans="1:18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  <c r="R3590" s="2"/>
    </row>
    <row r="3591" spans="1:18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  <c r="R3591" s="2"/>
    </row>
    <row r="3592" spans="1:18" ht="19.5" hidden="1" thickBot="1" x14ac:dyDescent="0.3">
      <c r="A3592" s="954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  <c r="R3592" s="2"/>
    </row>
    <row r="3593" spans="1:18" ht="19.5" hidden="1" thickBot="1" x14ac:dyDescent="0.3">
      <c r="A3593" s="955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  <c r="R3593" s="2"/>
    </row>
    <row r="3594" spans="1:18" ht="19.5" hidden="1" thickBot="1" x14ac:dyDescent="0.3">
      <c r="A3594" s="955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  <c r="R3594" s="2"/>
    </row>
    <row r="3595" spans="1:18" ht="19.5" hidden="1" thickBot="1" x14ac:dyDescent="0.3">
      <c r="A3595" s="955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  <c r="R3595" s="2"/>
    </row>
    <row r="3596" spans="1:18" ht="19.5" hidden="1" thickBot="1" x14ac:dyDescent="0.3">
      <c r="A3596" s="955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  <c r="R3596" s="2"/>
    </row>
    <row r="3597" spans="1:18" ht="19.5" hidden="1" thickBot="1" x14ac:dyDescent="0.3">
      <c r="A3597" s="955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  <c r="R3597" s="2"/>
    </row>
    <row r="3598" spans="1:18" ht="75" hidden="1" customHeight="1" x14ac:dyDescent="0.25">
      <c r="A3598" s="957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970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  <c r="R3598" s="2"/>
    </row>
    <row r="3599" spans="1:18" ht="19.5" hidden="1" thickBot="1" x14ac:dyDescent="0.3">
      <c r="A3599" s="979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980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  <c r="R3599" s="2"/>
    </row>
    <row r="3600" spans="1:18" ht="19.5" hidden="1" thickBot="1" x14ac:dyDescent="0.3">
      <c r="A3600" s="954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  <c r="R3600" s="2"/>
    </row>
    <row r="3601" spans="1:18" ht="19.5" hidden="1" thickBot="1" x14ac:dyDescent="0.3">
      <c r="A3601" s="978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  <c r="R3601" s="2"/>
    </row>
    <row r="3602" spans="1:18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  <c r="R3602" s="2"/>
    </row>
    <row r="3603" spans="1:18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  <c r="R3603" s="2"/>
    </row>
    <row r="3604" spans="1:18" ht="19.5" hidden="1" thickBot="1" x14ac:dyDescent="0.3">
      <c r="A3604" s="957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970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  <c r="R3604" s="2"/>
    </row>
    <row r="3605" spans="1:18" ht="19.5" hidden="1" thickBot="1" x14ac:dyDescent="0.3">
      <c r="A3605" s="979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980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  <c r="R3605" s="2"/>
    </row>
    <row r="3606" spans="1:18" ht="19.5" hidden="1" thickBot="1" x14ac:dyDescent="0.3">
      <c r="A3606" s="954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  <c r="R3606" s="2"/>
    </row>
    <row r="3607" spans="1:18" ht="19.5" hidden="1" thickBot="1" x14ac:dyDescent="0.3">
      <c r="A3607" s="955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  <c r="R3607" s="2"/>
    </row>
    <row r="3608" spans="1:18" ht="19.5" hidden="1" thickBot="1" x14ac:dyDescent="0.3">
      <c r="A3608" s="955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  <c r="R3608" s="2"/>
    </row>
    <row r="3609" spans="1:18" ht="19.5" hidden="1" thickBot="1" x14ac:dyDescent="0.3">
      <c r="A3609" s="978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  <c r="R3609" s="2"/>
    </row>
    <row r="3610" spans="1:18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  <c r="R3610" s="2"/>
    </row>
    <row r="3611" spans="1:18" ht="19.5" hidden="1" thickBot="1" x14ac:dyDescent="0.3">
      <c r="A3611" s="954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  <c r="R3611" s="2"/>
    </row>
    <row r="3612" spans="1:18" ht="19.5" hidden="1" thickBot="1" x14ac:dyDescent="0.3">
      <c r="A3612" s="955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  <c r="R3612" s="2"/>
    </row>
    <row r="3613" spans="1:18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  <c r="R3613" s="2"/>
    </row>
    <row r="3614" spans="1:18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  <c r="R3614" s="2"/>
    </row>
    <row r="3615" spans="1:18" ht="19.5" hidden="1" thickBot="1" x14ac:dyDescent="0.3">
      <c r="A3615" s="957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  <c r="R3615" s="2"/>
    </row>
    <row r="3616" spans="1:18" ht="19.5" hidden="1" thickBot="1" x14ac:dyDescent="0.3">
      <c r="A3616" s="958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  <c r="R3616" s="2"/>
    </row>
    <row r="3617" spans="1:18" ht="19.5" hidden="1" thickBot="1" x14ac:dyDescent="0.3">
      <c r="A3617" s="958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  <c r="R3617" s="2"/>
    </row>
    <row r="3618" spans="1:18" ht="19.5" hidden="1" thickBot="1" x14ac:dyDescent="0.3">
      <c r="A3618" s="979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  <c r="R3618" s="2"/>
    </row>
    <row r="3619" spans="1:18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  <c r="R3619" s="2"/>
    </row>
    <row r="3620" spans="1:18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  <c r="R3620" s="2"/>
    </row>
    <row r="3621" spans="1:18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  <c r="R3621" s="2"/>
    </row>
    <row r="3622" spans="1:18" ht="19.5" hidden="1" thickBot="1" x14ac:dyDescent="0.3">
      <c r="A3622" s="957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  <c r="R3622" s="2"/>
    </row>
    <row r="3623" spans="1:18" ht="19.5" hidden="1" thickBot="1" x14ac:dyDescent="0.3">
      <c r="A3623" s="958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  <c r="R3623" s="2"/>
    </row>
    <row r="3624" spans="1:18" ht="19.5" hidden="1" thickBot="1" x14ac:dyDescent="0.3">
      <c r="A3624" s="958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  <c r="R3624" s="2"/>
    </row>
    <row r="3625" spans="1:18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  <c r="R3625" s="2"/>
    </row>
    <row r="3626" spans="1:18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  <c r="R3626" s="2"/>
    </row>
    <row r="3627" spans="1:18" ht="19.5" hidden="1" thickBot="1" x14ac:dyDescent="0.3">
      <c r="A3627" s="954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  <c r="R3627" s="2"/>
    </row>
    <row r="3628" spans="1:18" ht="19.5" hidden="1" thickBot="1" x14ac:dyDescent="0.3">
      <c r="A3628" s="955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  <c r="R3628" s="2"/>
    </row>
    <row r="3629" spans="1:18" ht="19.5" hidden="1" thickBot="1" x14ac:dyDescent="0.3">
      <c r="A3629" s="955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  <c r="R3629" s="2"/>
    </row>
    <row r="3630" spans="1:18" ht="19.5" hidden="1" thickBot="1" x14ac:dyDescent="0.3">
      <c r="A3630" s="955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  <c r="R3630" s="2"/>
    </row>
    <row r="3631" spans="1:18" ht="19.5" hidden="1" thickBot="1" x14ac:dyDescent="0.3">
      <c r="A3631" s="955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  <c r="R3631" s="2"/>
    </row>
    <row r="3632" spans="1:18" ht="19.5" hidden="1" thickBot="1" x14ac:dyDescent="0.3">
      <c r="A3632" s="955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  <c r="R3632" s="2"/>
    </row>
    <row r="3633" spans="1:18" ht="19.5" hidden="1" thickBot="1" x14ac:dyDescent="0.3">
      <c r="A3633" s="957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  <c r="R3633" s="2"/>
    </row>
    <row r="3634" spans="1:18" ht="19.5" hidden="1" thickBot="1" x14ac:dyDescent="0.3">
      <c r="A3634" s="979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  <c r="R3634" s="2"/>
    </row>
    <row r="3635" spans="1:18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  <c r="R3635" s="2"/>
    </row>
    <row r="3636" spans="1:18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  <c r="R3636" s="2"/>
    </row>
    <row r="3637" spans="1:18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  <c r="R3637" s="2"/>
    </row>
    <row r="3638" spans="1:18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  <c r="R3638" s="2"/>
    </row>
    <row r="3639" spans="1:18" ht="19.5" hidden="1" thickBot="1" x14ac:dyDescent="0.3">
      <c r="A3639" s="954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967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  <c r="R3639" s="2"/>
    </row>
    <row r="3640" spans="1:18" ht="19.5" hidden="1" thickBot="1" x14ac:dyDescent="0.3">
      <c r="A3640" s="978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977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  <c r="R3640" s="2"/>
    </row>
    <row r="3641" spans="1:18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  <c r="R3641" s="2"/>
    </row>
    <row r="3642" spans="1:18" ht="19.5" hidden="1" thickBot="1" x14ac:dyDescent="0.3">
      <c r="A3642" s="954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967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  <c r="R3642" s="2"/>
    </row>
    <row r="3643" spans="1:18" ht="19.5" hidden="1" thickBot="1" x14ac:dyDescent="0.3">
      <c r="A3643" s="978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977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  <c r="R3643" s="2"/>
    </row>
    <row r="3644" spans="1:18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  <c r="R3644" s="2"/>
    </row>
    <row r="3645" spans="1:18" ht="19.5" hidden="1" thickBot="1" x14ac:dyDescent="0.3">
      <c r="A3645" s="954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  <c r="R3645" s="2"/>
    </row>
    <row r="3646" spans="1:18" ht="19.5" hidden="1" thickBot="1" x14ac:dyDescent="0.3">
      <c r="A3646" s="978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  <c r="R3646" s="2"/>
    </row>
    <row r="3647" spans="1:18" ht="19.5" hidden="1" thickBot="1" x14ac:dyDescent="0.3">
      <c r="A3647" s="957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  <c r="R3647" s="2"/>
    </row>
    <row r="3648" spans="1:18" ht="19.5" hidden="1" thickBot="1" x14ac:dyDescent="0.3">
      <c r="A3648" s="979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  <c r="R3648" s="2"/>
    </row>
    <row r="3649" spans="1:18" ht="19.5" hidden="1" thickBot="1" x14ac:dyDescent="0.3">
      <c r="A3649" s="954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  <c r="R3649" s="2"/>
    </row>
    <row r="3650" spans="1:18" ht="19.5" hidden="1" thickBot="1" x14ac:dyDescent="0.3">
      <c r="A3650" s="955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  <c r="R3650" s="2"/>
    </row>
    <row r="3651" spans="1:18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  <c r="R3651" s="2"/>
    </row>
    <row r="3652" spans="1:18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  <c r="R3652" s="2"/>
    </row>
    <row r="3653" spans="1:18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  <c r="R3653" s="2"/>
    </row>
    <row r="3654" spans="1:18" ht="19.5" hidden="1" thickBot="1" x14ac:dyDescent="0.3">
      <c r="A3654" s="954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  <c r="R3654" s="2"/>
    </row>
    <row r="3655" spans="1:18" ht="19.5" hidden="1" thickBot="1" x14ac:dyDescent="0.3">
      <c r="A3655" s="978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  <c r="R3655" s="2"/>
    </row>
    <row r="3656" spans="1:18" ht="19.5" hidden="1" thickBot="1" x14ac:dyDescent="0.3">
      <c r="A3656" s="957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  <c r="R3656" s="2"/>
    </row>
    <row r="3657" spans="1:18" ht="19.5" hidden="1" thickBot="1" x14ac:dyDescent="0.3">
      <c r="A3657" s="979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  <c r="R3657" s="2"/>
    </row>
    <row r="3658" spans="1:18" ht="19.5" hidden="1" thickBot="1" x14ac:dyDescent="0.3">
      <c r="A3658" s="954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  <c r="R3658" s="2"/>
    </row>
    <row r="3659" spans="1:18" ht="19.5" hidden="1" thickBot="1" x14ac:dyDescent="0.3">
      <c r="A3659" s="955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  <c r="R3659" s="2"/>
    </row>
    <row r="3660" spans="1:18" ht="19.5" hidden="1" thickBot="1" x14ac:dyDescent="0.3">
      <c r="A3660" s="978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  <c r="R3660" s="2"/>
    </row>
    <row r="3661" spans="1:18" ht="19.5" hidden="1" thickBot="1" x14ac:dyDescent="0.3">
      <c r="A3661" s="957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  <c r="R3661" s="2"/>
    </row>
    <row r="3662" spans="1:18" ht="19.5" hidden="1" thickBot="1" x14ac:dyDescent="0.3">
      <c r="A3662" s="958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  <c r="R3662" s="2"/>
    </row>
    <row r="3663" spans="1:18" ht="19.5" hidden="1" thickBot="1" x14ac:dyDescent="0.3">
      <c r="A3663" s="979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  <c r="R3663" s="2"/>
    </row>
    <row r="3664" spans="1:18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  <c r="R3664" s="2"/>
    </row>
    <row r="3665" spans="1:18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  <c r="R3665" s="2"/>
    </row>
    <row r="3666" spans="1:18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  <c r="R3666" s="2"/>
    </row>
    <row r="3667" spans="1:18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  <c r="R3667" s="2"/>
    </row>
    <row r="3668" spans="1:18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  <c r="R3668" s="2"/>
    </row>
    <row r="3669" spans="1:18" ht="19.5" hidden="1" thickBot="1" x14ac:dyDescent="0.3">
      <c r="A3669" s="957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  <c r="R3669" s="2"/>
    </row>
    <row r="3670" spans="1:18" ht="19.5" hidden="1" thickBot="1" x14ac:dyDescent="0.3">
      <c r="A3670" s="958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  <c r="R3670" s="2"/>
    </row>
    <row r="3671" spans="1:18" ht="19.5" hidden="1" thickBot="1" x14ac:dyDescent="0.3">
      <c r="A3671" s="958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  <c r="R3671" s="2"/>
    </row>
    <row r="3672" spans="1:18" ht="19.5" hidden="1" thickBot="1" x14ac:dyDescent="0.3">
      <c r="A3672" s="958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  <c r="R3672" s="2"/>
    </row>
    <row r="3673" spans="1:18" ht="19.5" hidden="1" thickBot="1" x14ac:dyDescent="0.3">
      <c r="A3673" s="958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  <c r="R3673" s="2"/>
    </row>
    <row r="3674" spans="1:18" ht="19.5" hidden="1" thickBot="1" x14ac:dyDescent="0.3">
      <c r="A3674" s="958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  <c r="R3674" s="2"/>
    </row>
    <row r="3675" spans="1:18" ht="19.5" hidden="1" thickBot="1" x14ac:dyDescent="0.3">
      <c r="A3675" s="954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  <c r="R3675" s="2"/>
    </row>
    <row r="3676" spans="1:18" ht="19.5" hidden="1" thickBot="1" x14ac:dyDescent="0.3">
      <c r="A3676" s="978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  <c r="R3676" s="2"/>
    </row>
    <row r="3677" spans="1:18" ht="19.5" hidden="1" thickBot="1" x14ac:dyDescent="0.3">
      <c r="A3677" s="957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970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  <c r="R3677" s="2"/>
    </row>
    <row r="3678" spans="1:18" ht="19.5" hidden="1" thickBot="1" x14ac:dyDescent="0.3">
      <c r="A3678" s="979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980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  <c r="R3678" s="2"/>
    </row>
    <row r="3679" spans="1:18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  <c r="R3679" s="2"/>
    </row>
    <row r="3680" spans="1:18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  <c r="R3680" s="2"/>
    </row>
    <row r="3681" spans="1:18" ht="57" hidden="1" thickBot="1" x14ac:dyDescent="0.3">
      <c r="A3681" s="954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  <c r="R3681" s="2"/>
    </row>
    <row r="3682" spans="1:18" ht="19.5" hidden="1" thickBot="1" x14ac:dyDescent="0.3">
      <c r="A3682" s="978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  <c r="R3682" s="2"/>
    </row>
    <row r="3683" spans="1:18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  <c r="R3683" s="2"/>
    </row>
    <row r="3684" spans="1:18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  <c r="R3684" s="2"/>
    </row>
    <row r="3685" spans="1:18" ht="19.5" hidden="1" thickBot="1" x14ac:dyDescent="0.3">
      <c r="A3685" s="957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  <c r="R3685" s="2"/>
    </row>
    <row r="3686" spans="1:18" ht="19.5" hidden="1" thickBot="1" x14ac:dyDescent="0.3">
      <c r="A3686" s="979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  <c r="R3686" s="2"/>
    </row>
    <row r="3687" spans="1:18" ht="19.5" hidden="1" thickBot="1" x14ac:dyDescent="0.3">
      <c r="A3687" s="954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  <c r="R3687" s="2"/>
    </row>
    <row r="3688" spans="1:18" ht="19.5" hidden="1" thickBot="1" x14ac:dyDescent="0.3">
      <c r="A3688" s="955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  <c r="R3688" s="2"/>
    </row>
    <row r="3689" spans="1:18" ht="19.5" hidden="1" thickBot="1" x14ac:dyDescent="0.3">
      <c r="A3689" s="955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  <c r="R3689" s="2"/>
    </row>
    <row r="3690" spans="1:18" ht="19.5" hidden="1" thickBot="1" x14ac:dyDescent="0.3">
      <c r="A3690" s="978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  <c r="R3690" s="2"/>
    </row>
    <row r="3691" spans="1:18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  <c r="R3691" s="2"/>
    </row>
    <row r="3692" spans="1:18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  <c r="R3692" s="2"/>
    </row>
    <row r="3693" spans="1:18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  <c r="R3693" s="2"/>
    </row>
    <row r="3694" spans="1:18" ht="28.5" hidden="1" customHeight="1" x14ac:dyDescent="0.25">
      <c r="A3694" s="954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967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  <c r="R3694" s="2"/>
    </row>
    <row r="3695" spans="1:18" ht="28.5" hidden="1" customHeight="1" thickBot="1" x14ac:dyDescent="0.3">
      <c r="A3695" s="978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977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  <c r="R3695" s="2"/>
    </row>
    <row r="3696" spans="1:18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  <c r="R3696" s="2"/>
    </row>
    <row r="3697" spans="1:18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  <c r="R3697" s="2"/>
    </row>
    <row r="3698" spans="1:18" ht="19.5" hidden="1" thickBot="1" x14ac:dyDescent="0.3">
      <c r="A3698" s="957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  <c r="R3698" s="2"/>
    </row>
    <row r="3699" spans="1:18" ht="19.5" hidden="1" thickBot="1" x14ac:dyDescent="0.3">
      <c r="A3699" s="958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  <c r="R3699" s="2"/>
    </row>
    <row r="3700" spans="1:18" ht="19.5" hidden="1" thickBot="1" x14ac:dyDescent="0.3">
      <c r="A3700" s="979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  <c r="R3700" s="2"/>
    </row>
    <row r="3701" spans="1:18" ht="19.5" hidden="1" thickBot="1" x14ac:dyDescent="0.3">
      <c r="A3701" s="954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  <c r="R3701" s="2"/>
    </row>
    <row r="3702" spans="1:18" ht="19.5" hidden="1" thickBot="1" x14ac:dyDescent="0.3">
      <c r="A3702" s="978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  <c r="R3702" s="2"/>
    </row>
    <row r="3703" spans="1:18" ht="49.5" hidden="1" customHeight="1" x14ac:dyDescent="0.25">
      <c r="A3703" s="957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970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  <c r="R3703" s="2"/>
    </row>
    <row r="3704" spans="1:18" ht="49.5" hidden="1" customHeight="1" thickBot="1" x14ac:dyDescent="0.3">
      <c r="A3704" s="979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980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  <c r="R3704" s="2"/>
    </row>
    <row r="3705" spans="1:18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  <c r="R3705" s="2"/>
    </row>
    <row r="3706" spans="1:18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  <c r="R3706" s="2"/>
    </row>
    <row r="3707" spans="1:18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  <c r="R3707" s="2"/>
    </row>
    <row r="3708" spans="1:18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  <c r="R3708" s="2"/>
    </row>
    <row r="3709" spans="1:18" ht="19.5" hidden="1" thickBot="1" x14ac:dyDescent="0.3">
      <c r="A3709" s="954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  <c r="R3709" s="2"/>
    </row>
    <row r="3710" spans="1:18" ht="19.5" hidden="1" thickBot="1" x14ac:dyDescent="0.3">
      <c r="A3710" s="955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  <c r="R3710" s="2"/>
    </row>
    <row r="3711" spans="1:18" ht="19.5" hidden="1" thickBot="1" x14ac:dyDescent="0.3">
      <c r="A3711" s="955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  <c r="R3711" s="2"/>
    </row>
    <row r="3712" spans="1:18" ht="19.5" hidden="1" thickBot="1" x14ac:dyDescent="0.3">
      <c r="A3712" s="955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  <c r="R3712" s="2"/>
    </row>
    <row r="3713" spans="1:18" ht="19.5" hidden="1" thickBot="1" x14ac:dyDescent="0.3">
      <c r="A3713" s="955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  <c r="R3713" s="2"/>
    </row>
    <row r="3714" spans="1:18" ht="19.5" hidden="1" thickBot="1" x14ac:dyDescent="0.3">
      <c r="A3714" s="955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  <c r="R3714" s="2"/>
    </row>
    <row r="3715" spans="1:18" ht="19.5" hidden="1" thickBot="1" x14ac:dyDescent="0.3">
      <c r="A3715" s="957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  <c r="R3715" s="2"/>
    </row>
    <row r="3716" spans="1:18" ht="19.5" hidden="1" thickBot="1" x14ac:dyDescent="0.3">
      <c r="A3716" s="979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  <c r="R3716" s="2"/>
    </row>
    <row r="3717" spans="1:18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  <c r="R3717" s="2"/>
    </row>
    <row r="3718" spans="1:18" ht="19.5" hidden="1" thickBot="1" x14ac:dyDescent="0.3">
      <c r="A3718" s="957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  <c r="R3718" s="2"/>
    </row>
    <row r="3719" spans="1:18" ht="19.5" hidden="1" thickBot="1" x14ac:dyDescent="0.3">
      <c r="A3719" s="979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  <c r="R3719" s="2"/>
    </row>
    <row r="3720" spans="1:18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  <c r="R3720" s="2"/>
    </row>
    <row r="3721" spans="1:18" ht="19.5" hidden="1" thickBot="1" x14ac:dyDescent="0.3">
      <c r="A3721" s="957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970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  <c r="R3721" s="2"/>
    </row>
    <row r="3722" spans="1:18" ht="19.5" hidden="1" thickBot="1" x14ac:dyDescent="0.3">
      <c r="A3722" s="979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980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  <c r="R3722" s="2"/>
    </row>
    <row r="3723" spans="1:18" ht="19.5" hidden="1" thickBot="1" x14ac:dyDescent="0.3">
      <c r="A3723" s="954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  <c r="R3723" s="2"/>
    </row>
    <row r="3724" spans="1:18" ht="19.5" hidden="1" thickBot="1" x14ac:dyDescent="0.3">
      <c r="A3724" s="955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  <c r="R3724" s="2"/>
    </row>
    <row r="3725" spans="1:18" ht="19.5" hidden="1" thickBot="1" x14ac:dyDescent="0.3">
      <c r="A3725" s="978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  <c r="R3725" s="2"/>
    </row>
    <row r="3726" spans="1:18" ht="19.5" hidden="1" thickBot="1" x14ac:dyDescent="0.3">
      <c r="A3726" s="957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  <c r="R3726" s="2"/>
    </row>
    <row r="3727" spans="1:18" ht="19.5" hidden="1" thickBot="1" x14ac:dyDescent="0.3">
      <c r="A3727" s="958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  <c r="R3727" s="2"/>
    </row>
    <row r="3728" spans="1:18" ht="19.5" hidden="1" thickBot="1" x14ac:dyDescent="0.3">
      <c r="A3728" s="979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  <c r="R3728" s="2"/>
    </row>
    <row r="3729" spans="1:18" ht="19.5" hidden="1" thickBot="1" x14ac:dyDescent="0.3">
      <c r="A3729" s="954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  <c r="R3729" s="2"/>
    </row>
    <row r="3730" spans="1:18" ht="19.5" hidden="1" thickBot="1" x14ac:dyDescent="0.3">
      <c r="A3730" s="955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  <c r="R3730" s="2"/>
    </row>
    <row r="3731" spans="1:18" ht="19.5" hidden="1" thickBot="1" x14ac:dyDescent="0.3">
      <c r="A3731" s="978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  <c r="R3731" s="2"/>
    </row>
    <row r="3732" spans="1:18" ht="19.5" hidden="1" thickBot="1" x14ac:dyDescent="0.3">
      <c r="A3732" s="957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  <c r="R3732" s="2"/>
    </row>
    <row r="3733" spans="1:18" ht="19.5" hidden="1" thickBot="1" x14ac:dyDescent="0.3">
      <c r="A3733" s="958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  <c r="R3733" s="2"/>
    </row>
    <row r="3734" spans="1:18" ht="19.5" hidden="1" thickBot="1" x14ac:dyDescent="0.3">
      <c r="A3734" s="958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  <c r="R3734" s="2"/>
    </row>
    <row r="3735" spans="1:18" ht="19.5" hidden="1" thickBot="1" x14ac:dyDescent="0.3">
      <c r="A3735" s="958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  <c r="R3735" s="2"/>
    </row>
    <row r="3736" spans="1:18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  <c r="R3736" s="2"/>
    </row>
    <row r="3737" spans="1:18" ht="19.5" hidden="1" thickBot="1" x14ac:dyDescent="0.3">
      <c r="A3737" s="957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  <c r="R3737" s="2"/>
    </row>
    <row r="3738" spans="1:18" ht="19.5" hidden="1" thickBot="1" x14ac:dyDescent="0.3">
      <c r="A3738" s="979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  <c r="R3738" s="2"/>
    </row>
    <row r="3739" spans="1:18" ht="19.5" hidden="1" thickBot="1" x14ac:dyDescent="0.3">
      <c r="A3739" s="954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  <c r="R3739" s="2"/>
    </row>
    <row r="3740" spans="1:18" ht="19.5" hidden="1" thickBot="1" x14ac:dyDescent="0.3">
      <c r="A3740" s="955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  <c r="R3740" s="2"/>
    </row>
    <row r="3741" spans="1:18" ht="19.5" hidden="1" thickBot="1" x14ac:dyDescent="0.3">
      <c r="A3741" s="978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  <c r="R3741" s="2"/>
    </row>
    <row r="3742" spans="1:18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  <c r="R3742" s="2"/>
    </row>
    <row r="3743" spans="1:18" ht="19.5" hidden="1" thickBot="1" x14ac:dyDescent="0.3">
      <c r="A3743" s="954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  <c r="R3743" s="2"/>
    </row>
    <row r="3744" spans="1:18" ht="19.5" hidden="1" thickBot="1" x14ac:dyDescent="0.3">
      <c r="A3744" s="955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  <c r="R3744" s="2"/>
    </row>
    <row r="3745" spans="1:18" ht="19.5" hidden="1" thickBot="1" x14ac:dyDescent="0.3">
      <c r="A3745" s="955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  <c r="R3745" s="2"/>
    </row>
    <row r="3746" spans="1:18" ht="19.5" hidden="1" thickBot="1" x14ac:dyDescent="0.3">
      <c r="A3746" s="955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  <c r="R3746" s="2"/>
    </row>
    <row r="3747" spans="1:18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  <c r="R3747" s="2"/>
    </row>
    <row r="3748" spans="1:18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  <c r="R3748" s="2"/>
    </row>
    <row r="3749" spans="1:18" ht="19.5" hidden="1" thickBot="1" x14ac:dyDescent="0.3">
      <c r="A3749" s="957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  <c r="R3749" s="2"/>
    </row>
    <row r="3750" spans="1:18" ht="19.5" hidden="1" thickBot="1" x14ac:dyDescent="0.3">
      <c r="A3750" s="958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  <c r="R3750" s="2"/>
    </row>
    <row r="3751" spans="1:18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  <c r="R3751" s="2"/>
    </row>
    <row r="3752" spans="1:18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  <c r="R3752" s="2"/>
    </row>
    <row r="3753" spans="1:18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  <c r="R3753" s="2"/>
    </row>
    <row r="3754" spans="1:18" ht="19.5" hidden="1" thickBot="1" x14ac:dyDescent="0.3">
      <c r="A3754" s="957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  <c r="R3754" s="2"/>
    </row>
    <row r="3755" spans="1:18" ht="19.5" hidden="1" thickBot="1" x14ac:dyDescent="0.3">
      <c r="A3755" s="958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  <c r="R3755" s="2"/>
    </row>
    <row r="3756" spans="1:18" ht="19.5" hidden="1" thickBot="1" x14ac:dyDescent="0.3">
      <c r="A3756" s="958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  <c r="R3756" s="2"/>
    </row>
    <row r="3757" spans="1:18" ht="19.5" hidden="1" thickBot="1" x14ac:dyDescent="0.3">
      <c r="A3757" s="958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  <c r="R3757" s="2"/>
    </row>
    <row r="3758" spans="1:18" ht="19.5" hidden="1" thickBot="1" x14ac:dyDescent="0.3">
      <c r="A3758" s="958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  <c r="R3758" s="2"/>
    </row>
    <row r="3759" spans="1:18" ht="19.5" hidden="1" thickBot="1" x14ac:dyDescent="0.3">
      <c r="A3759" s="958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  <c r="R3759" s="2"/>
    </row>
    <row r="3760" spans="1:18" ht="19.5" hidden="1" thickBot="1" x14ac:dyDescent="0.3">
      <c r="A3760" s="954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  <c r="R3760" s="2"/>
    </row>
    <row r="3761" spans="1:18" ht="19.5" hidden="1" thickBot="1" x14ac:dyDescent="0.3">
      <c r="A3761" s="978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  <c r="R3761" s="2"/>
    </row>
    <row r="3762" spans="1:18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  <c r="R3762" s="2"/>
    </row>
    <row r="3763" spans="1:18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  <c r="R3763" s="2"/>
    </row>
    <row r="3764" spans="1:18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  <c r="R3764" s="2"/>
    </row>
    <row r="3765" spans="1:18" ht="19.5" hidden="1" thickBot="1" x14ac:dyDescent="0.3">
      <c r="A3765" s="954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967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  <c r="R3765" s="2"/>
    </row>
    <row r="3766" spans="1:18" ht="19.5" hidden="1" thickBot="1" x14ac:dyDescent="0.3">
      <c r="A3766" s="955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969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  <c r="R3766" s="2"/>
    </row>
    <row r="3767" spans="1:18" ht="19.5" hidden="1" thickBot="1" x14ac:dyDescent="0.3">
      <c r="A3767" s="978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977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  <c r="R3767" s="2"/>
    </row>
    <row r="3768" spans="1:18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  <c r="R3768" s="2"/>
    </row>
    <row r="3769" spans="1:18" ht="57" hidden="1" thickBot="1" x14ac:dyDescent="0.3">
      <c r="A3769" s="954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  <c r="R3769" s="2"/>
    </row>
    <row r="3770" spans="1:18" ht="19.5" hidden="1" thickBot="1" x14ac:dyDescent="0.3">
      <c r="A3770" s="955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  <c r="R3770" s="2"/>
    </row>
    <row r="3771" spans="1:18" ht="19.5" hidden="1" thickBot="1" x14ac:dyDescent="0.3">
      <c r="A3771" s="978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  <c r="R3771" s="2"/>
    </row>
    <row r="3772" spans="1:18" ht="19.5" hidden="1" thickBot="1" x14ac:dyDescent="0.3">
      <c r="A3772" s="957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  <c r="R3772" s="2"/>
    </row>
    <row r="3773" spans="1:18" ht="19.5" hidden="1" thickBot="1" x14ac:dyDescent="0.3">
      <c r="A3773" s="958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  <c r="R3773" s="2"/>
    </row>
    <row r="3774" spans="1:18" ht="19.5" hidden="1" thickBot="1" x14ac:dyDescent="0.3">
      <c r="A3774" s="979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  <c r="R3774" s="2"/>
    </row>
    <row r="3775" spans="1:18" ht="19.5" hidden="1" thickBot="1" x14ac:dyDescent="0.3">
      <c r="A3775" s="954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  <c r="R3775" s="2"/>
    </row>
    <row r="3776" spans="1:18" ht="19.5" hidden="1" thickBot="1" x14ac:dyDescent="0.3">
      <c r="A3776" s="955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  <c r="R3776" s="2"/>
    </row>
    <row r="3777" spans="1:18" ht="19.5" hidden="1" thickBot="1" x14ac:dyDescent="0.3">
      <c r="A3777" s="955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  <c r="R3777" s="2"/>
    </row>
    <row r="3778" spans="1:18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  <c r="R3778" s="2"/>
    </row>
    <row r="3779" spans="1:18" ht="28.5" hidden="1" customHeight="1" x14ac:dyDescent="0.25">
      <c r="A3779" s="954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967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  <c r="R3779" s="2"/>
    </row>
    <row r="3780" spans="1:18" ht="28.5" hidden="1" customHeight="1" thickBot="1" x14ac:dyDescent="0.3">
      <c r="A3780" s="978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977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  <c r="R3780" s="2"/>
    </row>
    <row r="3781" spans="1:18" ht="19.5" hidden="1" thickBot="1" x14ac:dyDescent="0.3">
      <c r="A3781" s="957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  <c r="R3781" s="2"/>
    </row>
    <row r="3782" spans="1:18" ht="19.5" hidden="1" thickBot="1" x14ac:dyDescent="0.3">
      <c r="A3782" s="958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  <c r="R3782" s="2"/>
    </row>
    <row r="3783" spans="1:18" ht="19.5" hidden="1" thickBot="1" x14ac:dyDescent="0.3">
      <c r="A3783" s="958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  <c r="R3783" s="2"/>
    </row>
    <row r="3784" spans="1:18" ht="19.5" hidden="1" thickBot="1" x14ac:dyDescent="0.3">
      <c r="A3784" s="979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  <c r="R3784" s="2"/>
    </row>
    <row r="3785" spans="1:18" ht="19.5" hidden="1" thickBot="1" x14ac:dyDescent="0.3">
      <c r="A3785" s="954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  <c r="R3785" s="2"/>
    </row>
    <row r="3786" spans="1:18" ht="19.5" hidden="1" thickBot="1" x14ac:dyDescent="0.3">
      <c r="A3786" s="978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  <c r="R3786" s="2"/>
    </row>
    <row r="3787" spans="1:18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  <c r="R3787" s="2"/>
    </row>
    <row r="3788" spans="1:18" ht="19.5" hidden="1" thickBot="1" x14ac:dyDescent="0.3">
      <c r="A3788" s="954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  <c r="R3788" s="2"/>
    </row>
    <row r="3789" spans="1:18" ht="19.5" hidden="1" thickBot="1" x14ac:dyDescent="0.3">
      <c r="A3789" s="978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  <c r="R3789" s="2"/>
    </row>
    <row r="3790" spans="1:18" ht="19.5" hidden="1" thickBot="1" x14ac:dyDescent="0.3">
      <c r="A3790" s="957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  <c r="R3790" s="2"/>
    </row>
    <row r="3791" spans="1:18" ht="19.5" hidden="1" thickBot="1" x14ac:dyDescent="0.3">
      <c r="A3791" s="979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  <c r="R3791" s="2"/>
    </row>
    <row r="3792" spans="1:18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  <c r="R3792" s="2"/>
    </row>
    <row r="3793" spans="1:18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  <c r="R3793" s="2"/>
    </row>
    <row r="3794" spans="1:18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  <c r="R3794" s="2"/>
    </row>
    <row r="3795" spans="1:18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  <c r="R3795" s="2"/>
    </row>
    <row r="3796" spans="1:18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  <c r="R3796" s="2"/>
    </row>
    <row r="3797" spans="1:18" ht="19.5" hidden="1" thickBot="1" x14ac:dyDescent="0.3">
      <c r="A3797" s="957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  <c r="R3797" s="2"/>
    </row>
    <row r="3798" spans="1:18" ht="19.5" hidden="1" thickBot="1" x14ac:dyDescent="0.3">
      <c r="A3798" s="958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  <c r="R3798" s="2"/>
    </row>
    <row r="3799" spans="1:18" ht="19.5" hidden="1" thickBot="1" x14ac:dyDescent="0.3">
      <c r="A3799" s="958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  <c r="R3799" s="2"/>
    </row>
    <row r="3800" spans="1:18" ht="19.5" hidden="1" thickBot="1" x14ac:dyDescent="0.3">
      <c r="A3800" s="958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  <c r="R3800" s="2"/>
    </row>
    <row r="3801" spans="1:18" ht="19.5" hidden="1" thickBot="1" x14ac:dyDescent="0.3">
      <c r="A3801" s="958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  <c r="R3801" s="2"/>
    </row>
    <row r="3802" spans="1:18" ht="19.5" hidden="1" thickBot="1" x14ac:dyDescent="0.3">
      <c r="A3802" s="954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  <c r="R3802" s="2"/>
    </row>
    <row r="3803" spans="1:18" ht="19.5" hidden="1" thickBot="1" x14ac:dyDescent="0.3">
      <c r="A3803" s="978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  <c r="R3803" s="2"/>
    </row>
    <row r="3804" spans="1:18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  <c r="R3804" s="2"/>
    </row>
    <row r="3805" spans="1:18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  <c r="R3805" s="2"/>
    </row>
    <row r="3806" spans="1:18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  <c r="R3806" s="2"/>
    </row>
    <row r="3807" spans="1:18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  <c r="R3807" s="2"/>
    </row>
    <row r="3808" spans="1:18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  <c r="R3808" s="2"/>
    </row>
    <row r="3809" spans="1:18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  <c r="R3809" s="2"/>
    </row>
    <row r="3810" spans="1:18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  <c r="R3810" s="2"/>
    </row>
    <row r="3811" spans="1:18" ht="19.5" hidden="1" thickBot="1" x14ac:dyDescent="0.3">
      <c r="A3811" s="954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  <c r="R3811" s="2"/>
    </row>
    <row r="3812" spans="1:18" ht="19.5" hidden="1" thickBot="1" x14ac:dyDescent="0.3">
      <c r="A3812" s="955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  <c r="R3812" s="2"/>
    </row>
    <row r="3813" spans="1:18" ht="19.5" hidden="1" thickBot="1" x14ac:dyDescent="0.3">
      <c r="A3813" s="978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  <c r="R3813" s="2"/>
    </row>
    <row r="3814" spans="1:18" ht="19.5" hidden="1" thickBot="1" x14ac:dyDescent="0.3">
      <c r="A3814" s="957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  <c r="R3814" s="2"/>
    </row>
    <row r="3815" spans="1:18" ht="19.5" hidden="1" thickBot="1" x14ac:dyDescent="0.3">
      <c r="A3815" s="979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  <c r="R3815" s="2"/>
    </row>
    <row r="3816" spans="1:18" ht="19.5" hidden="1" thickBot="1" x14ac:dyDescent="0.3">
      <c r="A3816" s="954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  <c r="R3816" s="2"/>
    </row>
    <row r="3817" spans="1:18" ht="19.5" hidden="1" thickBot="1" x14ac:dyDescent="0.3">
      <c r="A3817" s="978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  <c r="R3817" s="2"/>
    </row>
    <row r="3818" spans="1:18" ht="19.5" hidden="1" thickBot="1" x14ac:dyDescent="0.3">
      <c r="A3818" s="957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  <c r="R3818" s="2"/>
    </row>
    <row r="3819" spans="1:18" ht="19.5" hidden="1" thickBot="1" x14ac:dyDescent="0.3">
      <c r="A3819" s="979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  <c r="R3819" s="2"/>
    </row>
    <row r="3820" spans="1:18" ht="19.5" hidden="1" thickBot="1" x14ac:dyDescent="0.3">
      <c r="A3820" s="954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967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  <c r="R3820" s="2"/>
    </row>
    <row r="3821" spans="1:18" ht="19.5" hidden="1" thickBot="1" x14ac:dyDescent="0.3">
      <c r="A3821" s="978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977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  <c r="R3821" s="2"/>
    </row>
    <row r="3822" spans="1:18" ht="19.5" hidden="1" thickBot="1" x14ac:dyDescent="0.3">
      <c r="A3822" s="957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  <c r="R3822" s="2"/>
    </row>
    <row r="3823" spans="1:18" ht="19.5" hidden="1" thickBot="1" x14ac:dyDescent="0.3">
      <c r="A3823" s="958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  <c r="R3823" s="2"/>
    </row>
    <row r="3824" spans="1:18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  <c r="R3824" s="2"/>
    </row>
    <row r="3825" spans="1:18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  <c r="R3825" s="2"/>
    </row>
    <row r="3826" spans="1:18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  <c r="R3826" s="2"/>
    </row>
    <row r="3827" spans="1:18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  <c r="R3827" s="2"/>
    </row>
    <row r="3828" spans="1:18" ht="19.5" hidden="1" thickBot="1" x14ac:dyDescent="0.3">
      <c r="A3828" s="954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  <c r="R3828" s="2"/>
    </row>
    <row r="3829" spans="1:18" ht="19.5" hidden="1" thickBot="1" x14ac:dyDescent="0.3">
      <c r="A3829" s="955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  <c r="R3829" s="2"/>
    </row>
    <row r="3830" spans="1:18" ht="19.5" hidden="1" thickBot="1" x14ac:dyDescent="0.3">
      <c r="A3830" s="978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  <c r="R3830" s="2"/>
    </row>
    <row r="3831" spans="1:18" ht="19.5" hidden="1" thickBot="1" x14ac:dyDescent="0.3">
      <c r="A3831" s="957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  <c r="R3831" s="2"/>
    </row>
    <row r="3832" spans="1:18" ht="19.5" hidden="1" thickBot="1" x14ac:dyDescent="0.3">
      <c r="A3832" s="979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  <c r="R3832" s="2"/>
    </row>
    <row r="3833" spans="1:18" ht="19.5" hidden="1" thickBot="1" x14ac:dyDescent="0.3">
      <c r="A3833" s="954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  <c r="R3833" s="2"/>
    </row>
    <row r="3834" spans="1:18" ht="19.5" hidden="1" thickBot="1" x14ac:dyDescent="0.3">
      <c r="A3834" s="978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  <c r="R3834" s="2"/>
    </row>
    <row r="3835" spans="1:18" ht="19.5" hidden="1" thickBot="1" x14ac:dyDescent="0.3">
      <c r="A3835" s="957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  <c r="R3835" s="2"/>
    </row>
    <row r="3836" spans="1:18" ht="19.5" hidden="1" thickBot="1" x14ac:dyDescent="0.3">
      <c r="A3836" s="979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  <c r="R3836" s="2"/>
    </row>
    <row r="3837" spans="1:18" ht="19.5" hidden="1" thickBot="1" x14ac:dyDescent="0.3">
      <c r="A3837" s="954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  <c r="R3837" s="2"/>
    </row>
    <row r="3838" spans="1:18" ht="19.5" hidden="1" thickBot="1" x14ac:dyDescent="0.3">
      <c r="A3838" s="978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  <c r="R3838" s="2"/>
    </row>
    <row r="3839" spans="1:18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  <c r="R3839" s="2"/>
    </row>
    <row r="3840" spans="1:18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  <c r="R3840" s="2"/>
    </row>
    <row r="3841" spans="1:18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  <c r="R3841" s="2"/>
    </row>
    <row r="3842" spans="1:18" ht="19.5" hidden="1" thickBot="1" x14ac:dyDescent="0.3">
      <c r="A3842" s="954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  <c r="R3842" s="2"/>
    </row>
    <row r="3843" spans="1:18" ht="19.5" hidden="1" thickBot="1" x14ac:dyDescent="0.3">
      <c r="A3843" s="955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  <c r="R3843" s="2"/>
    </row>
    <row r="3844" spans="1:18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  <c r="R3844" s="2"/>
    </row>
    <row r="3845" spans="1:18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  <c r="R3845" s="2"/>
    </row>
    <row r="3846" spans="1:18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  <c r="R3846" s="2"/>
    </row>
    <row r="3847" spans="1:18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  <c r="R3847" s="2"/>
    </row>
    <row r="3848" spans="1:18" ht="19.5" hidden="1" thickBot="1" x14ac:dyDescent="0.3">
      <c r="A3848" s="958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  <c r="R3848" s="2"/>
    </row>
    <row r="3849" spans="1:18" ht="19.5" hidden="1" thickBot="1" x14ac:dyDescent="0.3">
      <c r="A3849" s="958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  <c r="R3849" s="2"/>
    </row>
    <row r="3850" spans="1:18" ht="19.5" hidden="1" thickBot="1" x14ac:dyDescent="0.3">
      <c r="A3850" s="958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  <c r="R3850" s="2"/>
    </row>
    <row r="3851" spans="1:18" ht="19.5" hidden="1" thickBot="1" x14ac:dyDescent="0.3">
      <c r="A3851" s="958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  <c r="R3851" s="2"/>
    </row>
    <row r="3852" spans="1:18" ht="19.5" hidden="1" thickBot="1" x14ac:dyDescent="0.3">
      <c r="A3852" s="958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  <c r="R3852" s="2"/>
    </row>
    <row r="3853" spans="1:18" ht="19.5" hidden="1" thickBot="1" x14ac:dyDescent="0.3">
      <c r="A3853" s="958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  <c r="R3853" s="2"/>
    </row>
    <row r="3854" spans="1:18" ht="19.5" hidden="1" thickBot="1" x14ac:dyDescent="0.3">
      <c r="A3854" s="954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  <c r="R3854" s="2"/>
    </row>
    <row r="3855" spans="1:18" ht="19.5" hidden="1" thickBot="1" x14ac:dyDescent="0.3">
      <c r="A3855" s="978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  <c r="R3855" s="2"/>
    </row>
    <row r="3856" spans="1:18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  <c r="R3856" s="2"/>
    </row>
    <row r="3857" spans="1:18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  <c r="R3857" s="2"/>
    </row>
    <row r="3858" spans="1:18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  <c r="R3858" s="2"/>
    </row>
    <row r="3859" spans="1:18" ht="19.5" hidden="1" thickBot="1" x14ac:dyDescent="0.3">
      <c r="A3859" s="954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  <c r="R3859" s="2"/>
    </row>
    <row r="3860" spans="1:18" ht="19.5" hidden="1" thickBot="1" x14ac:dyDescent="0.3">
      <c r="A3860" s="978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  <c r="R3860" s="2"/>
    </row>
    <row r="3861" spans="1:18" ht="19.5" hidden="1" thickBot="1" x14ac:dyDescent="0.3">
      <c r="A3861" s="957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  <c r="R3861" s="2"/>
    </row>
    <row r="3862" spans="1:18" ht="19.5" hidden="1" thickBot="1" x14ac:dyDescent="0.3">
      <c r="A3862" s="958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  <c r="R3862" s="2"/>
    </row>
    <row r="3863" spans="1:18" ht="19.5" hidden="1" thickBot="1" x14ac:dyDescent="0.3">
      <c r="A3863" s="958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  <c r="R3863" s="2"/>
    </row>
    <row r="3864" spans="1:18" ht="19.5" hidden="1" thickBot="1" x14ac:dyDescent="0.3">
      <c r="A3864" s="979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  <c r="R3864" s="2"/>
    </row>
    <row r="3865" spans="1:18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  <c r="R3865" s="2"/>
    </row>
    <row r="3866" spans="1:18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  <c r="R3866" s="2"/>
    </row>
    <row r="3867" spans="1:18" ht="19.5" hidden="1" thickBot="1" x14ac:dyDescent="0.3">
      <c r="A3867" s="954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  <c r="R3867" s="2"/>
    </row>
    <row r="3868" spans="1:18" ht="19.5" hidden="1" thickBot="1" x14ac:dyDescent="0.3">
      <c r="A3868" s="955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  <c r="R3868" s="2"/>
    </row>
    <row r="3869" spans="1:18" ht="19.5" hidden="1" thickBot="1" x14ac:dyDescent="0.3">
      <c r="A3869" s="955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  <c r="R3869" s="2"/>
    </row>
    <row r="3870" spans="1:18" ht="19.5" hidden="1" thickBot="1" x14ac:dyDescent="0.3">
      <c r="A3870" s="955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  <c r="R3870" s="2"/>
    </row>
    <row r="3871" spans="1:18" ht="19.5" hidden="1" thickBot="1" x14ac:dyDescent="0.3">
      <c r="A3871" s="955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  <c r="R3871" s="2"/>
    </row>
    <row r="3872" spans="1:18" ht="19.5" hidden="1" thickBot="1" x14ac:dyDescent="0.3">
      <c r="A3872" s="978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  <c r="R3872" s="2"/>
    </row>
    <row r="3873" spans="1:18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  <c r="R3873" s="2"/>
    </row>
    <row r="3874" spans="1:18" ht="19.5" hidden="1" thickBot="1" x14ac:dyDescent="0.3">
      <c r="A3874" s="954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  <c r="R3874" s="2"/>
    </row>
    <row r="3875" spans="1:18" ht="19.5" hidden="1" thickBot="1" x14ac:dyDescent="0.3">
      <c r="A3875" s="978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  <c r="R3875" s="2"/>
    </row>
    <row r="3876" spans="1:18" ht="19.5" hidden="1" thickBot="1" x14ac:dyDescent="0.3">
      <c r="A3876" s="957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  <c r="R3876" s="2"/>
    </row>
    <row r="3877" spans="1:18" ht="19.5" hidden="1" thickBot="1" x14ac:dyDescent="0.3">
      <c r="A3877" s="958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  <c r="R3877" s="2"/>
    </row>
    <row r="3878" spans="1:18" ht="19.5" hidden="1" thickBot="1" x14ac:dyDescent="0.3">
      <c r="A3878" s="958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  <c r="R3878" s="2"/>
    </row>
    <row r="3879" spans="1:18" ht="19.5" hidden="1" thickBot="1" x14ac:dyDescent="0.3">
      <c r="A3879" s="979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  <c r="R3879" s="2"/>
    </row>
    <row r="3880" spans="1:18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  <c r="R3880" s="2"/>
    </row>
    <row r="3881" spans="1:18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  <c r="R3881" s="2"/>
    </row>
    <row r="3882" spans="1:18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  <c r="R3882" s="2"/>
    </row>
    <row r="3883" spans="1:18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  <c r="R3883" s="2"/>
    </row>
    <row r="3884" spans="1:18" ht="19.5" hidden="1" thickBot="1" x14ac:dyDescent="0.3">
      <c r="A3884" s="957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  <c r="R3884" s="2"/>
    </row>
    <row r="3885" spans="1:18" ht="19.5" hidden="1" thickBot="1" x14ac:dyDescent="0.3">
      <c r="A3885" s="958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  <c r="R3885" s="2"/>
    </row>
    <row r="3886" spans="1:18" ht="19.5" hidden="1" thickBot="1" x14ac:dyDescent="0.3">
      <c r="A3886" s="958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  <c r="R3886" s="2"/>
    </row>
    <row r="3887" spans="1:18" ht="19.5" hidden="1" thickBot="1" x14ac:dyDescent="0.3">
      <c r="A3887" s="958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  <c r="R3887" s="2"/>
    </row>
    <row r="3888" spans="1:18" ht="19.5" hidden="1" thickBot="1" x14ac:dyDescent="0.3">
      <c r="A3888" s="958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  <c r="R3888" s="2"/>
    </row>
    <row r="3889" spans="1:18" ht="19.5" hidden="1" thickBot="1" x14ac:dyDescent="0.3">
      <c r="A3889" s="958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  <c r="R3889" s="2"/>
    </row>
    <row r="3890" spans="1:18" ht="19.5" hidden="1" thickBot="1" x14ac:dyDescent="0.3">
      <c r="A3890" s="954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  <c r="R3890" s="2"/>
    </row>
    <row r="3891" spans="1:18" ht="19.5" hidden="1" thickBot="1" x14ac:dyDescent="0.3">
      <c r="A3891" s="978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  <c r="R3891" s="2"/>
    </row>
    <row r="3892" spans="1:18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  <c r="R3892" s="2"/>
    </row>
    <row r="3893" spans="1:18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  <c r="R3893" s="2"/>
    </row>
    <row r="3894" spans="1:18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  <c r="R3894" s="2"/>
    </row>
    <row r="3895" spans="1:18" ht="19.5" hidden="1" thickBot="1" x14ac:dyDescent="0.3">
      <c r="A3895" s="954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967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  <c r="R3895" s="2"/>
    </row>
    <row r="3896" spans="1:18" ht="19.5" hidden="1" thickBot="1" x14ac:dyDescent="0.3">
      <c r="A3896" s="978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977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  <c r="R3896" s="2"/>
    </row>
    <row r="3897" spans="1:18" ht="19.5" hidden="1" thickBot="1" x14ac:dyDescent="0.3">
      <c r="A3897" s="957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  <c r="R3897" s="2"/>
    </row>
    <row r="3898" spans="1:18" ht="19.5" hidden="1" thickBot="1" x14ac:dyDescent="0.3">
      <c r="A3898" s="958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  <c r="R3898" s="2"/>
    </row>
    <row r="3899" spans="1:18" ht="19.5" hidden="1" thickBot="1" x14ac:dyDescent="0.3">
      <c r="A3899" s="979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  <c r="R3899" s="2"/>
    </row>
    <row r="3900" spans="1:18" ht="19.5" hidden="1" thickBot="1" x14ac:dyDescent="0.3">
      <c r="A3900" s="954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  <c r="R3900" s="2"/>
    </row>
    <row r="3901" spans="1:18" ht="19.5" hidden="1" thickBot="1" x14ac:dyDescent="0.3">
      <c r="A3901" s="955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  <c r="R3901" s="2"/>
    </row>
    <row r="3902" spans="1:18" ht="19.5" hidden="1" thickBot="1" x14ac:dyDescent="0.3">
      <c r="A3902" s="955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  <c r="R3902" s="2"/>
    </row>
    <row r="3903" spans="1:18" ht="19.5" hidden="1" thickBot="1" x14ac:dyDescent="0.3">
      <c r="A3903" s="978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  <c r="R3903" s="2"/>
    </row>
    <row r="3904" spans="1:18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  <c r="R3904" s="2"/>
    </row>
    <row r="3905" spans="1:18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  <c r="R3905" s="2"/>
    </row>
    <row r="3906" spans="1:18" ht="19.5" hidden="1" thickBot="1" x14ac:dyDescent="0.3">
      <c r="A3906" s="957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  <c r="R3906" s="2"/>
    </row>
    <row r="3907" spans="1:18" ht="19.5" hidden="1" thickBot="1" x14ac:dyDescent="0.3">
      <c r="A3907" s="958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  <c r="R3907" s="2"/>
    </row>
    <row r="3908" spans="1:18" ht="19.5" hidden="1" thickBot="1" x14ac:dyDescent="0.3">
      <c r="A3908" s="979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  <c r="R3908" s="2"/>
    </row>
    <row r="3909" spans="1:18" ht="19.5" hidden="1" thickBot="1" x14ac:dyDescent="0.3">
      <c r="A3909" s="954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967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  <c r="R3909" s="2"/>
    </row>
    <row r="3910" spans="1:18" ht="19.5" hidden="1" thickBot="1" x14ac:dyDescent="0.3">
      <c r="A3910" s="955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969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  <c r="R3910" s="2"/>
    </row>
    <row r="3911" spans="1:18" ht="19.5" hidden="1" thickBot="1" x14ac:dyDescent="0.3">
      <c r="A3911" s="978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977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  <c r="R3911" s="2"/>
    </row>
    <row r="3912" spans="1:18" ht="28.5" hidden="1" customHeight="1" thickBot="1" x14ac:dyDescent="0.3">
      <c r="A3912" s="957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970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  <c r="R3912" s="2"/>
    </row>
    <row r="3913" spans="1:18" ht="28.5" hidden="1" customHeight="1" thickBot="1" x14ac:dyDescent="0.3">
      <c r="A3913" s="979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980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  <c r="R3913" s="2"/>
    </row>
    <row r="3914" spans="1:18" ht="19.5" hidden="1" thickBot="1" x14ac:dyDescent="0.3">
      <c r="A3914" s="954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  <c r="R3914" s="2"/>
    </row>
    <row r="3915" spans="1:18" ht="19.5" hidden="1" thickBot="1" x14ac:dyDescent="0.3">
      <c r="A3915" s="978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  <c r="R3915" s="2"/>
    </row>
    <row r="3916" spans="1:18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  <c r="R3916" s="2"/>
    </row>
    <row r="3917" spans="1:18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  <c r="R3917" s="2"/>
    </row>
    <row r="3918" spans="1:18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  <c r="R3918" s="2"/>
    </row>
    <row r="3919" spans="1:18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  <c r="R3919" s="2"/>
    </row>
    <row r="3920" spans="1:18" ht="19.5" hidden="1" thickBot="1" x14ac:dyDescent="0.3">
      <c r="A3920" s="957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  <c r="R3920" s="2"/>
    </row>
    <row r="3921" spans="1:18" ht="19.5" hidden="1" thickBot="1" x14ac:dyDescent="0.3">
      <c r="A3921" s="979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  <c r="R3921" s="2"/>
    </row>
    <row r="3922" spans="1:18" ht="19.5" hidden="1" thickBot="1" x14ac:dyDescent="0.3">
      <c r="A3922" s="954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  <c r="R3922" s="2"/>
    </row>
    <row r="3923" spans="1:18" ht="19.5" hidden="1" thickBot="1" x14ac:dyDescent="0.3">
      <c r="A3923" s="955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  <c r="R3923" s="2"/>
    </row>
    <row r="3924" spans="1:18" ht="19.5" hidden="1" thickBot="1" x14ac:dyDescent="0.3">
      <c r="A3924" s="955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  <c r="R3924" s="2"/>
    </row>
    <row r="3925" spans="1:18" ht="19.5" hidden="1" thickBot="1" x14ac:dyDescent="0.3">
      <c r="A3925" s="955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  <c r="R3925" s="2"/>
    </row>
    <row r="3926" spans="1:18" ht="19.5" hidden="1" thickBot="1" x14ac:dyDescent="0.3">
      <c r="A3926" s="955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  <c r="R3926" s="2"/>
    </row>
    <row r="3927" spans="1:18" ht="19.5" hidden="1" thickBot="1" x14ac:dyDescent="0.3">
      <c r="A3927" s="955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  <c r="R3927" s="2"/>
    </row>
    <row r="3928" spans="1:18" ht="19.5" hidden="1" thickBot="1" x14ac:dyDescent="0.3">
      <c r="A3928" s="957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  <c r="R3928" s="2"/>
    </row>
    <row r="3929" spans="1:18" ht="19.5" hidden="1" thickBot="1" x14ac:dyDescent="0.3">
      <c r="A3929" s="979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  <c r="R3929" s="2"/>
    </row>
    <row r="3930" spans="1:18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  <c r="R3930" s="2"/>
    </row>
    <row r="3931" spans="1:18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  <c r="R3931" s="2"/>
    </row>
    <row r="3932" spans="1:18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  <c r="R3932" s="2"/>
    </row>
    <row r="3933" spans="1:18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  <c r="R3933" s="2"/>
    </row>
    <row r="3934" spans="1:18" ht="19.5" hidden="1" thickBot="1" x14ac:dyDescent="0.3">
      <c r="A3934" s="954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  <c r="R3934" s="2"/>
    </row>
    <row r="3935" spans="1:18" ht="57" hidden="1" thickBot="1" x14ac:dyDescent="0.3">
      <c r="A3935" s="978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  <c r="R3935" s="2"/>
    </row>
    <row r="3936" spans="1:18" ht="19.5" hidden="1" thickBot="1" x14ac:dyDescent="0.3">
      <c r="A3936" s="957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  <c r="R3936" s="2"/>
    </row>
    <row r="3937" spans="1:18" ht="19.5" hidden="1" thickBot="1" x14ac:dyDescent="0.3">
      <c r="A3937" s="958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  <c r="R3937" s="2"/>
    </row>
    <row r="3938" spans="1:18" ht="19.5" hidden="1" thickBot="1" x14ac:dyDescent="0.3">
      <c r="A3938" s="979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  <c r="R3938" s="2"/>
    </row>
    <row r="3939" spans="1:18" ht="19.5" hidden="1" thickBot="1" x14ac:dyDescent="0.3">
      <c r="A3939" s="954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  <c r="R3939" s="2"/>
    </row>
    <row r="3940" spans="1:18" ht="19.5" hidden="1" thickBot="1" x14ac:dyDescent="0.3">
      <c r="A3940" s="955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  <c r="R3940" s="2"/>
    </row>
    <row r="3941" spans="1:18" ht="19.5" hidden="1" thickBot="1" x14ac:dyDescent="0.3">
      <c r="A3941" s="955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  <c r="R3941" s="2"/>
    </row>
    <row r="3942" spans="1:18" ht="19.5" hidden="1" thickBot="1" x14ac:dyDescent="0.3">
      <c r="A3942" s="978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  <c r="R3942" s="2"/>
    </row>
    <row r="3943" spans="1:18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  <c r="R3943" s="2"/>
    </row>
    <row r="3944" spans="1:18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  <c r="R3944" s="2"/>
    </row>
    <row r="3945" spans="1:18" ht="19.5" hidden="1" thickBot="1" x14ac:dyDescent="0.3">
      <c r="A3945" s="957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  <c r="R3945" s="2"/>
    </row>
    <row r="3946" spans="1:18" ht="19.5" hidden="1" thickBot="1" x14ac:dyDescent="0.3">
      <c r="A3946" s="979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  <c r="R3946" s="2"/>
    </row>
    <row r="3947" spans="1:18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  <c r="R3947" s="2"/>
    </row>
    <row r="3948" spans="1:18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  <c r="R3948" s="2"/>
    </row>
    <row r="3949" spans="1:18" ht="19.5" hidden="1" thickBot="1" x14ac:dyDescent="0.3">
      <c r="A3949" s="954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967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  <c r="R3949" s="2"/>
    </row>
    <row r="3950" spans="1:18" ht="19.5" hidden="1" thickBot="1" x14ac:dyDescent="0.3">
      <c r="A3950" s="978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977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  <c r="R3950" s="2"/>
    </row>
    <row r="3951" spans="1:18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  <c r="R3951" s="2"/>
    </row>
    <row r="3952" spans="1:18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  <c r="R3952" s="2"/>
    </row>
    <row r="3953" spans="1:18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  <c r="R3953" s="2"/>
    </row>
    <row r="3954" spans="1:18" ht="19.5" hidden="1" thickBot="1" x14ac:dyDescent="0.3">
      <c r="A3954" s="954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  <c r="R3954" s="2"/>
    </row>
    <row r="3955" spans="1:18" ht="19.5" hidden="1" thickBot="1" x14ac:dyDescent="0.3">
      <c r="A3955" s="978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  <c r="R3955" s="2"/>
    </row>
    <row r="3956" spans="1:18" ht="19.5" hidden="1" thickBot="1" x14ac:dyDescent="0.3">
      <c r="A3956" s="957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  <c r="R3956" s="2"/>
    </row>
    <row r="3957" spans="1:18" ht="19.5" hidden="1" thickBot="1" x14ac:dyDescent="0.3">
      <c r="A3957" s="958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  <c r="R3957" s="2"/>
    </row>
    <row r="3958" spans="1:18" ht="19.5" hidden="1" thickBot="1" x14ac:dyDescent="0.3">
      <c r="A3958" s="979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  <c r="R3958" s="2"/>
    </row>
    <row r="3959" spans="1:18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  <c r="R3959" s="2"/>
    </row>
    <row r="3960" spans="1:18" ht="19.5" hidden="1" thickBot="1" x14ac:dyDescent="0.3">
      <c r="A3960" s="957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  <c r="R3960" s="2"/>
    </row>
    <row r="3961" spans="1:18" ht="19.5" hidden="1" thickBot="1" x14ac:dyDescent="0.3">
      <c r="A3961" s="979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  <c r="R3961" s="2"/>
    </row>
    <row r="3962" spans="1:18" ht="19.5" hidden="1" thickBot="1" x14ac:dyDescent="0.3">
      <c r="A3962" s="954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  <c r="R3962" s="2"/>
    </row>
    <row r="3963" spans="1:18" ht="19.5" hidden="1" thickBot="1" x14ac:dyDescent="0.3">
      <c r="A3963" s="955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  <c r="R3963" s="2"/>
    </row>
    <row r="3964" spans="1:18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  <c r="R3964" s="2"/>
    </row>
    <row r="3965" spans="1:18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  <c r="R3965" s="2"/>
    </row>
    <row r="3966" spans="1:18" ht="19.5" hidden="1" thickBot="1" x14ac:dyDescent="0.3">
      <c r="A3966" s="957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  <c r="R3966" s="2"/>
    </row>
    <row r="3967" spans="1:18" ht="19.5" hidden="1" thickBot="1" x14ac:dyDescent="0.3">
      <c r="A3967" s="958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  <c r="R3967" s="2"/>
    </row>
    <row r="3968" spans="1:18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  <c r="R3968" s="2"/>
    </row>
    <row r="3969" spans="1:18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  <c r="R3969" s="2"/>
    </row>
    <row r="3970" spans="1:18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  <c r="R3970" s="2"/>
    </row>
    <row r="3971" spans="1:18" ht="19.5" hidden="1" thickBot="1" x14ac:dyDescent="0.3">
      <c r="A3971" s="957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  <c r="R3971" s="2"/>
    </row>
    <row r="3972" spans="1:18" ht="19.5" hidden="1" thickBot="1" x14ac:dyDescent="0.3">
      <c r="A3972" s="958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  <c r="R3972" s="2"/>
    </row>
    <row r="3973" spans="1:18" ht="19.5" hidden="1" thickBot="1" x14ac:dyDescent="0.3">
      <c r="A3973" s="958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  <c r="R3973" s="2"/>
    </row>
    <row r="3974" spans="1:18" ht="19.5" hidden="1" thickBot="1" x14ac:dyDescent="0.3">
      <c r="A3974" s="958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  <c r="R3974" s="2"/>
    </row>
    <row r="3975" spans="1:18" ht="19.5" hidden="1" thickBot="1" x14ac:dyDescent="0.3">
      <c r="A3975" s="958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  <c r="R3975" s="2"/>
    </row>
    <row r="3976" spans="1:18" ht="19.5" hidden="1" thickBot="1" x14ac:dyDescent="0.3">
      <c r="A3976" s="954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  <c r="R3976" s="2"/>
    </row>
    <row r="3977" spans="1:18" ht="19.5" hidden="1" thickBot="1" x14ac:dyDescent="0.3">
      <c r="A3977" s="978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  <c r="R3977" s="2"/>
    </row>
    <row r="3978" spans="1:18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  <c r="R3978" s="2"/>
    </row>
    <row r="3979" spans="1:18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  <c r="R3979" s="2"/>
    </row>
    <row r="3980" spans="1:18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  <c r="R3980" s="2"/>
    </row>
    <row r="3981" spans="1:18" ht="19.5" hidden="1" thickBot="1" x14ac:dyDescent="0.3">
      <c r="A3981" s="954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  <c r="R3981" s="2"/>
    </row>
    <row r="3982" spans="1:18" ht="19.5" hidden="1" thickBot="1" x14ac:dyDescent="0.3">
      <c r="A3982" s="955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  <c r="R3982" s="2"/>
    </row>
    <row r="3983" spans="1:18" ht="19.5" hidden="1" thickBot="1" x14ac:dyDescent="0.3">
      <c r="A3983" s="957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970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  <c r="R3983" s="2"/>
    </row>
    <row r="3984" spans="1:18" ht="19.5" hidden="1" thickBot="1" x14ac:dyDescent="0.3">
      <c r="A3984" s="979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980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  <c r="R3984" s="2"/>
    </row>
    <row r="3985" spans="1:18" ht="19.5" hidden="1" thickBot="1" x14ac:dyDescent="0.3">
      <c r="A3985" s="954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  <c r="R3985" s="2"/>
    </row>
    <row r="3986" spans="1:18" ht="19.5" hidden="1" thickBot="1" x14ac:dyDescent="0.3">
      <c r="A3986" s="955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  <c r="R3986" s="2"/>
    </row>
    <row r="3987" spans="1:18" ht="19.5" hidden="1" thickBot="1" x14ac:dyDescent="0.3">
      <c r="A3987" s="955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  <c r="R3987" s="2"/>
    </row>
    <row r="3988" spans="1:18" ht="19.5" hidden="1" thickBot="1" x14ac:dyDescent="0.3">
      <c r="A3988" s="955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  <c r="R3988" s="2"/>
    </row>
    <row r="3989" spans="1:18" ht="19.5" hidden="1" thickBot="1" x14ac:dyDescent="0.3">
      <c r="A3989" s="955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  <c r="R3989" s="2"/>
    </row>
    <row r="3990" spans="1:18" ht="19.5" hidden="1" thickBot="1" x14ac:dyDescent="0.3">
      <c r="A3990" s="955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  <c r="R3990" s="2"/>
    </row>
    <row r="3991" spans="1:18" ht="19.5" hidden="1" thickBot="1" x14ac:dyDescent="0.3">
      <c r="A3991" s="978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  <c r="R3991" s="2"/>
    </row>
    <row r="3992" spans="1:18" ht="19.5" hidden="1" thickBot="1" x14ac:dyDescent="0.3">
      <c r="A3992" s="957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  <c r="R3992" s="2"/>
    </row>
    <row r="3993" spans="1:18" ht="19.5" hidden="1" thickBot="1" x14ac:dyDescent="0.3">
      <c r="A3993" s="958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  <c r="R3993" s="2"/>
    </row>
    <row r="3994" spans="1:18" ht="19.5" hidden="1" thickBot="1" x14ac:dyDescent="0.3">
      <c r="A3994" s="958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  <c r="R3994" s="2"/>
    </row>
    <row r="3995" spans="1:18" ht="19.5" hidden="1" thickBot="1" x14ac:dyDescent="0.3">
      <c r="A3995" s="958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  <c r="R3995" s="2"/>
    </row>
    <row r="3996" spans="1:18" ht="19.5" hidden="1" thickBot="1" x14ac:dyDescent="0.3">
      <c r="A3996" s="954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  <c r="R3996" s="2"/>
    </row>
    <row r="3997" spans="1:18" ht="19.5" hidden="1" thickBot="1" x14ac:dyDescent="0.3">
      <c r="A3997" s="955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  <c r="R3997" s="2"/>
    </row>
    <row r="3998" spans="1:18" ht="19.5" hidden="1" thickBot="1" x14ac:dyDescent="0.3">
      <c r="A3998" s="978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  <c r="R3998" s="2"/>
    </row>
    <row r="3999" spans="1:18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  <c r="R3999" s="2"/>
    </row>
    <row r="4000" spans="1:18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  <c r="R4000" s="2"/>
    </row>
    <row r="4001" spans="1:18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  <c r="R4001" s="2"/>
    </row>
    <row r="4002" spans="1:18" ht="19.5" hidden="1" thickBot="1" x14ac:dyDescent="0.3">
      <c r="A4002" s="954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  <c r="R4002" s="2"/>
    </row>
    <row r="4003" spans="1:18" ht="19.5" hidden="1" thickBot="1" x14ac:dyDescent="0.3">
      <c r="A4003" s="978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  <c r="R4003" s="2"/>
    </row>
    <row r="4004" spans="1:18" ht="19.5" hidden="1" thickBot="1" x14ac:dyDescent="0.3">
      <c r="A4004" s="957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  <c r="R4004" s="2"/>
    </row>
    <row r="4005" spans="1:18" ht="19.5" hidden="1" thickBot="1" x14ac:dyDescent="0.3">
      <c r="A4005" s="979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  <c r="R4005" s="2"/>
    </row>
    <row r="4006" spans="1:18" ht="19.5" hidden="1" thickBot="1" x14ac:dyDescent="0.3">
      <c r="A4006" s="954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  <c r="R4006" s="2"/>
    </row>
    <row r="4007" spans="1:18" ht="19.5" hidden="1" thickBot="1" x14ac:dyDescent="0.3">
      <c r="A4007" s="955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  <c r="R4007" s="2"/>
    </row>
    <row r="4008" spans="1:18" ht="19.5" hidden="1" thickBot="1" x14ac:dyDescent="0.3">
      <c r="A4008" s="978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  <c r="R4008" s="2"/>
    </row>
    <row r="4009" spans="1:18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  <c r="R4009" s="2"/>
    </row>
    <row r="4010" spans="1:18" ht="19.5" hidden="1" thickBot="1" x14ac:dyDescent="0.3">
      <c r="A4010" s="954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  <c r="R4010" s="2"/>
    </row>
    <row r="4011" spans="1:18" ht="19.5" hidden="1" thickBot="1" x14ac:dyDescent="0.3">
      <c r="A4011" s="978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  <c r="R4011" s="2"/>
    </row>
    <row r="4012" spans="1:18" ht="19.5" hidden="1" thickBot="1" x14ac:dyDescent="0.3">
      <c r="A4012" s="981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  <c r="R4012" s="2"/>
    </row>
    <row r="4013" spans="1:18" ht="19.5" hidden="1" thickBot="1" x14ac:dyDescent="0.3">
      <c r="A4013" s="982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  <c r="R4013" s="2"/>
    </row>
    <row r="4014" spans="1:18" ht="19.5" hidden="1" thickBot="1" x14ac:dyDescent="0.3">
      <c r="A4014" s="983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  <c r="R4014" s="2"/>
    </row>
    <row r="4015" spans="1:18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  <c r="R4015" s="2"/>
    </row>
    <row r="4016" spans="1:18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  <c r="R4016" s="2"/>
    </row>
    <row r="4017" spans="1:18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  <c r="R4017" s="2"/>
    </row>
    <row r="4018" spans="1:18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  <c r="R4018" s="2"/>
    </row>
    <row r="4019" spans="1:18" ht="19.5" hidden="1" thickBot="1" x14ac:dyDescent="0.3">
      <c r="A4019" s="954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  <c r="R4019" s="2"/>
    </row>
    <row r="4020" spans="1:18" ht="19.5" hidden="1" thickBot="1" x14ac:dyDescent="0.3">
      <c r="A4020" s="955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  <c r="R4020" s="2"/>
    </row>
    <row r="4021" spans="1:18" ht="19.5" hidden="1" thickBot="1" x14ac:dyDescent="0.3">
      <c r="A4021" s="955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  <c r="R4021" s="2"/>
    </row>
    <row r="4022" spans="1:18" ht="19.5" hidden="1" thickBot="1" x14ac:dyDescent="0.3">
      <c r="A4022" s="955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  <c r="R4022" s="2"/>
    </row>
    <row r="4023" spans="1:18" ht="19.5" hidden="1" thickBot="1" x14ac:dyDescent="0.3">
      <c r="A4023" s="955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  <c r="R4023" s="2"/>
    </row>
    <row r="4024" spans="1:18" ht="19.5" hidden="1" thickBot="1" x14ac:dyDescent="0.3">
      <c r="A4024" s="978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  <c r="R4024" s="2"/>
    </row>
    <row r="4025" spans="1:18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  <c r="R4025" s="2"/>
    </row>
    <row r="4026" spans="1:18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  <c r="R4026" s="2"/>
    </row>
    <row r="4027" spans="1:18" ht="19.5" hidden="1" thickBot="1" x14ac:dyDescent="0.3">
      <c r="A4027" s="957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  <c r="R4027" s="2"/>
    </row>
    <row r="4028" spans="1:18" ht="19.5" hidden="1" thickBot="1" x14ac:dyDescent="0.3">
      <c r="A4028" s="979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  <c r="R4028" s="2"/>
    </row>
    <row r="4029" spans="1:18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  <c r="R4029" s="2"/>
    </row>
    <row r="4030" spans="1:18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  <c r="R4030" s="2"/>
    </row>
    <row r="4031" spans="1:18" ht="19.5" hidden="1" thickBot="1" x14ac:dyDescent="0.3">
      <c r="A4031" s="954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  <c r="R4031" s="2"/>
    </row>
    <row r="4032" spans="1:18" ht="19.5" hidden="1" thickBot="1" x14ac:dyDescent="0.3">
      <c r="A4032" s="955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  <c r="R4032" s="2"/>
    </row>
    <row r="4033" spans="1:18" ht="19.5" hidden="1" thickBot="1" x14ac:dyDescent="0.3">
      <c r="A4033" s="978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  <c r="R4033" s="2"/>
    </row>
    <row r="4034" spans="1:18" ht="19.5" hidden="1" thickBot="1" x14ac:dyDescent="0.3">
      <c r="A4034" s="957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  <c r="R4034" s="2"/>
    </row>
    <row r="4035" spans="1:18" ht="19.5" hidden="1" thickBot="1" x14ac:dyDescent="0.3">
      <c r="A4035" s="979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  <c r="R4035" s="2"/>
    </row>
    <row r="4036" spans="1:18" ht="19.5" hidden="1" thickBot="1" x14ac:dyDescent="0.3">
      <c r="A4036" s="954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  <c r="R4036" s="2"/>
    </row>
    <row r="4037" spans="1:18" ht="19.5" hidden="1" thickBot="1" x14ac:dyDescent="0.3">
      <c r="A4037" s="978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  <c r="R4037" s="2"/>
    </row>
    <row r="4038" spans="1:18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  <c r="R4038" s="2"/>
    </row>
    <row r="4039" spans="1:18" ht="19.5" hidden="1" thickBot="1" x14ac:dyDescent="0.3">
      <c r="A4039" s="954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  <c r="R4039" s="2"/>
    </row>
    <row r="4040" spans="1:18" ht="19.5" hidden="1" thickBot="1" x14ac:dyDescent="0.3">
      <c r="A4040" s="978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  <c r="R4040" s="2"/>
    </row>
    <row r="4041" spans="1:18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  <c r="R4041" s="2"/>
    </row>
    <row r="4042" spans="1:18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  <c r="R4042" s="2"/>
    </row>
    <row r="4043" spans="1:18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  <c r="R4043" s="2"/>
    </row>
    <row r="4044" spans="1:18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  <c r="R4044" s="2"/>
    </row>
    <row r="4045" spans="1:18" ht="19.5" hidden="1" thickBot="1" x14ac:dyDescent="0.3">
      <c r="A4045" s="957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  <c r="R4045" s="2"/>
    </row>
    <row r="4046" spans="1:18" ht="19.5" hidden="1" thickBot="1" x14ac:dyDescent="0.3">
      <c r="A4046" s="958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  <c r="R4046" s="2"/>
    </row>
    <row r="4047" spans="1:18" ht="19.5" hidden="1" thickBot="1" x14ac:dyDescent="0.3">
      <c r="A4047" s="961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  <c r="R4047" s="2"/>
    </row>
    <row r="4048" spans="1:18" ht="19.5" hidden="1" thickBot="1" x14ac:dyDescent="0.3">
      <c r="A4048" s="954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  <c r="R4048" s="2"/>
    </row>
    <row r="4049" spans="1:18" ht="19.5" hidden="1" thickBot="1" x14ac:dyDescent="0.3">
      <c r="A4049" s="955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  <c r="R4049" s="2"/>
    </row>
    <row r="4050" spans="1:18" ht="19.5" hidden="1" thickBot="1" x14ac:dyDescent="0.3">
      <c r="A4050" s="956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  <c r="R4050" s="2"/>
    </row>
    <row r="4051" spans="1:18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  <c r="R4051" s="2"/>
    </row>
    <row r="4052" spans="1:18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  <c r="R4052" s="2"/>
    </row>
    <row r="4053" spans="1:18" ht="19.5" hidden="1" thickBot="1" x14ac:dyDescent="0.3">
      <c r="A4053" s="957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  <c r="R4053" s="2"/>
    </row>
    <row r="4054" spans="1:18" ht="19.5" hidden="1" thickBot="1" x14ac:dyDescent="0.3">
      <c r="A4054" s="961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  <c r="R4054" s="2"/>
    </row>
    <row r="4055" spans="1:18" ht="19.5" hidden="1" thickBot="1" x14ac:dyDescent="0.3">
      <c r="A4055" s="954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967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  <c r="R4055" s="2"/>
    </row>
    <row r="4056" spans="1:18" ht="19.5" hidden="1" thickBot="1" x14ac:dyDescent="0.3">
      <c r="A4056" s="956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968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  <c r="R4056" s="2"/>
    </row>
    <row r="4057" spans="1:18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  <c r="R4057" s="2"/>
    </row>
    <row r="4058" spans="1:18" ht="19.5" hidden="1" thickBot="1" x14ac:dyDescent="0.3">
      <c r="A4058" s="954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  <c r="R4058" s="2"/>
    </row>
    <row r="4059" spans="1:18" ht="19.5" hidden="1" thickBot="1" x14ac:dyDescent="0.3">
      <c r="A4059" s="955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  <c r="R4059" s="2"/>
    </row>
    <row r="4060" spans="1:18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  <c r="R4060" s="2"/>
    </row>
    <row r="4061" spans="1:18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  <c r="R4061" s="2"/>
    </row>
    <row r="4062" spans="1:18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  <c r="R4062" s="2"/>
    </row>
    <row r="4063" spans="1:18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  <c r="R4063" s="2"/>
    </row>
    <row r="4064" spans="1:18" ht="19.5" hidden="1" thickBot="1" x14ac:dyDescent="0.3">
      <c r="A4064" s="957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970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  <c r="R4064" s="2"/>
    </row>
    <row r="4065" spans="1:18" ht="19.5" hidden="1" thickBot="1" x14ac:dyDescent="0.3">
      <c r="A4065" s="961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971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  <c r="R4065" s="2"/>
    </row>
    <row r="4066" spans="1:18" ht="19.5" hidden="1" thickBot="1" x14ac:dyDescent="0.3">
      <c r="A4066" s="954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  <c r="R4066" s="2"/>
    </row>
    <row r="4067" spans="1:18" ht="19.5" hidden="1" thickBot="1" x14ac:dyDescent="0.3">
      <c r="A4067" s="955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  <c r="R4067" s="2"/>
    </row>
    <row r="4068" spans="1:18" ht="19.5" hidden="1" thickBot="1" x14ac:dyDescent="0.3">
      <c r="A4068" s="955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  <c r="R4068" s="2"/>
    </row>
    <row r="4069" spans="1:18" ht="19.5" hidden="1" thickBot="1" x14ac:dyDescent="0.3">
      <c r="A4069" s="955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  <c r="R4069" s="2"/>
    </row>
    <row r="4070" spans="1:18" ht="19.5" hidden="1" thickBot="1" x14ac:dyDescent="0.3">
      <c r="A4070" s="955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  <c r="R4070" s="2"/>
    </row>
    <row r="4071" spans="1:18" ht="19.5" hidden="1" thickBot="1" x14ac:dyDescent="0.3">
      <c r="A4071" s="957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  <c r="R4071" s="2"/>
    </row>
    <row r="4072" spans="1:18" ht="19.5" hidden="1" thickBot="1" x14ac:dyDescent="0.3">
      <c r="A4072" s="961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  <c r="R4072" s="2"/>
    </row>
    <row r="4073" spans="1:18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  <c r="R4073" s="2"/>
    </row>
    <row r="4074" spans="1:18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  <c r="R4074" s="2"/>
    </row>
    <row r="4075" spans="1:18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  <c r="R4075" s="2"/>
    </row>
    <row r="4076" spans="1:18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  <c r="R4076" s="2"/>
    </row>
    <row r="4077" spans="1:18" ht="19.5" hidden="1" thickBot="1" x14ac:dyDescent="0.3">
      <c r="A4077" s="954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  <c r="R4077" s="2"/>
    </row>
    <row r="4078" spans="1:18" ht="57" hidden="1" thickBot="1" x14ac:dyDescent="0.3">
      <c r="A4078" s="956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  <c r="R4078" s="2"/>
    </row>
    <row r="4079" spans="1:18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  <c r="R4079" s="2"/>
    </row>
    <row r="4080" spans="1:18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  <c r="R4080" s="2"/>
    </row>
    <row r="4081" spans="1:18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  <c r="R4081" s="2"/>
    </row>
    <row r="4082" spans="1:18" ht="19.5" hidden="1" thickBot="1" x14ac:dyDescent="0.3">
      <c r="A4082" s="954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  <c r="R4082" s="2"/>
    </row>
    <row r="4083" spans="1:18" ht="19.5" hidden="1" thickBot="1" x14ac:dyDescent="0.3">
      <c r="A4083" s="955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  <c r="R4083" s="2"/>
    </row>
    <row r="4084" spans="1:18" ht="19.5" hidden="1" thickBot="1" x14ac:dyDescent="0.3">
      <c r="A4084" s="956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  <c r="R4084" s="2"/>
    </row>
    <row r="4085" spans="1:18" ht="19.5" hidden="1" thickBot="1" x14ac:dyDescent="0.3">
      <c r="A4085" s="957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  <c r="R4085" s="2"/>
    </row>
    <row r="4086" spans="1:18" ht="19.5" hidden="1" thickBot="1" x14ac:dyDescent="0.3">
      <c r="A4086" s="961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  <c r="R4086" s="2"/>
    </row>
    <row r="4087" spans="1:18" ht="19.5" hidden="1" thickBot="1" x14ac:dyDescent="0.3">
      <c r="A4087" s="954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  <c r="R4087" s="2"/>
    </row>
    <row r="4088" spans="1:18" ht="19.5" hidden="1" thickBot="1" x14ac:dyDescent="0.3">
      <c r="A4088" s="955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  <c r="R4088" s="2"/>
    </row>
    <row r="4089" spans="1:18" ht="19.5" hidden="1" thickBot="1" x14ac:dyDescent="0.3">
      <c r="A4089" s="955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  <c r="R4089" s="2"/>
    </row>
    <row r="4090" spans="1:18" ht="25.5" hidden="1" customHeight="1" x14ac:dyDescent="0.25">
      <c r="A4090" s="957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970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  <c r="R4090" s="2"/>
    </row>
    <row r="4091" spans="1:18" ht="25.5" hidden="1" customHeight="1" x14ac:dyDescent="0.25">
      <c r="A4091" s="958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973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  <c r="R4091" s="2"/>
    </row>
    <row r="4092" spans="1:18" ht="25.5" hidden="1" customHeight="1" thickBot="1" x14ac:dyDescent="0.3">
      <c r="A4092" s="961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971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  <c r="R4092" s="2"/>
    </row>
    <row r="4093" spans="1:18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  <c r="R4093" s="2"/>
    </row>
    <row r="4094" spans="1:18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  <c r="R4094" s="2"/>
    </row>
    <row r="4095" spans="1:18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  <c r="R4095" s="2"/>
    </row>
    <row r="4096" spans="1:18" ht="19.5" hidden="1" thickBot="1" x14ac:dyDescent="0.3">
      <c r="A4096" s="957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  <c r="R4096" s="2"/>
    </row>
    <row r="4097" spans="1:18" ht="19.5" hidden="1" thickBot="1" x14ac:dyDescent="0.3">
      <c r="A4097" s="961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  <c r="R4097" s="2"/>
    </row>
    <row r="4098" spans="1:18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  <c r="R4098" s="2"/>
    </row>
    <row r="4099" spans="1:18" ht="19.5" hidden="1" thickBot="1" x14ac:dyDescent="0.3">
      <c r="A4099" s="957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  <c r="R4099" s="2"/>
    </row>
    <row r="4100" spans="1:18" ht="19.5" hidden="1" thickBot="1" x14ac:dyDescent="0.3">
      <c r="A4100" s="958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  <c r="R4100" s="2"/>
    </row>
    <row r="4101" spans="1:18" ht="19.5" hidden="1" thickBot="1" x14ac:dyDescent="0.3">
      <c r="A4101" s="961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  <c r="R4101" s="2"/>
    </row>
    <row r="4102" spans="1:18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  <c r="R4102" s="2"/>
    </row>
    <row r="4103" spans="1:18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  <c r="R4103" s="2"/>
    </row>
    <row r="4104" spans="1:18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  <c r="R4104" s="2"/>
    </row>
    <row r="4105" spans="1:18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  <c r="R4105" s="2"/>
    </row>
    <row r="4106" spans="1:18" ht="19.5" hidden="1" thickBot="1" x14ac:dyDescent="0.3">
      <c r="A4106" s="954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  <c r="R4106" s="2"/>
    </row>
    <row r="4107" spans="1:18" ht="19.5" hidden="1" thickBot="1" x14ac:dyDescent="0.3">
      <c r="A4107" s="955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  <c r="R4107" s="2"/>
    </row>
    <row r="4108" spans="1:18" ht="19.5" hidden="1" thickBot="1" x14ac:dyDescent="0.3">
      <c r="A4108" s="956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  <c r="R4108" s="2"/>
    </row>
    <row r="4109" spans="1:18" ht="19.5" hidden="1" thickBot="1" x14ac:dyDescent="0.3">
      <c r="A4109" s="957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  <c r="R4109" s="2"/>
    </row>
    <row r="4110" spans="1:18" ht="19.5" hidden="1" thickBot="1" x14ac:dyDescent="0.3">
      <c r="A4110" s="958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  <c r="R4110" s="2"/>
    </row>
    <row r="4111" spans="1:18" ht="19.5" hidden="1" thickBot="1" x14ac:dyDescent="0.3">
      <c r="A4111" s="958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  <c r="R4111" s="2"/>
    </row>
    <row r="4112" spans="1:18" ht="19.5" hidden="1" thickBot="1" x14ac:dyDescent="0.3">
      <c r="A4112" s="958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  <c r="R4112" s="2"/>
    </row>
    <row r="4113" spans="1:18" ht="19.5" hidden="1" thickBot="1" x14ac:dyDescent="0.3">
      <c r="A4113" s="958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  <c r="R4113" s="2"/>
    </row>
    <row r="4114" spans="1:18" ht="19.5" hidden="1" thickBot="1" x14ac:dyDescent="0.3">
      <c r="A4114" s="954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  <c r="R4114" s="2"/>
    </row>
    <row r="4115" spans="1:18" ht="19.5" hidden="1" thickBot="1" x14ac:dyDescent="0.3">
      <c r="A4115" s="956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  <c r="R4115" s="2"/>
    </row>
    <row r="4116" spans="1:18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  <c r="R4116" s="2"/>
    </row>
    <row r="4117" spans="1:18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  <c r="R4117" s="2"/>
    </row>
    <row r="4118" spans="1:18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  <c r="R4118" s="2"/>
    </row>
    <row r="4119" spans="1:18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  <c r="R4119" s="2"/>
    </row>
    <row r="4120" spans="1:18" ht="19.5" hidden="1" thickBot="1" x14ac:dyDescent="0.3">
      <c r="A4120" s="957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  <c r="R4120" s="2"/>
    </row>
    <row r="4121" spans="1:18" ht="19.5" hidden="1" thickBot="1" x14ac:dyDescent="0.3">
      <c r="A4121" s="958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  <c r="R4121" s="2"/>
    </row>
    <row r="4122" spans="1:18" ht="19.5" hidden="1" thickBot="1" x14ac:dyDescent="0.3">
      <c r="A4122" s="961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  <c r="R4122" s="2"/>
    </row>
    <row r="4123" spans="1:18" ht="19.5" hidden="1" thickBot="1" x14ac:dyDescent="0.3">
      <c r="A4123" s="954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  <c r="R4123" s="2"/>
    </row>
    <row r="4124" spans="1:18" ht="19.5" hidden="1" thickBot="1" x14ac:dyDescent="0.3">
      <c r="A4124" s="955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  <c r="R4124" s="2"/>
    </row>
    <row r="4125" spans="1:18" ht="19.5" hidden="1" thickBot="1" x14ac:dyDescent="0.3">
      <c r="A4125" s="955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  <c r="R4125" s="2"/>
    </row>
    <row r="4126" spans="1:18" ht="19.5" hidden="1" thickBot="1" x14ac:dyDescent="0.3">
      <c r="A4126" s="956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  <c r="R4126" s="2"/>
    </row>
    <row r="4127" spans="1:18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  <c r="R4127" s="2"/>
    </row>
    <row r="4128" spans="1:18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  <c r="R4128" s="2"/>
    </row>
    <row r="4129" spans="1:18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  <c r="R4129" s="2"/>
    </row>
    <row r="4130" spans="1:18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  <c r="R4130" s="2"/>
    </row>
    <row r="4131" spans="1:18" ht="19.5" hidden="1" thickBot="1" x14ac:dyDescent="0.3">
      <c r="A4131" s="957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  <c r="R4131" s="2"/>
    </row>
    <row r="4132" spans="1:18" ht="19.5" hidden="1" thickBot="1" x14ac:dyDescent="0.3">
      <c r="A4132" s="961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  <c r="R4132" s="2"/>
    </row>
    <row r="4133" spans="1:18" ht="19.5" hidden="1" thickBot="1" x14ac:dyDescent="0.3">
      <c r="A4133" s="954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  <c r="R4133" s="2"/>
    </row>
    <row r="4134" spans="1:18" ht="19.5" hidden="1" thickBot="1" x14ac:dyDescent="0.3">
      <c r="A4134" s="955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  <c r="R4134" s="2"/>
    </row>
    <row r="4135" spans="1:18" ht="19.5" hidden="1" thickBot="1" x14ac:dyDescent="0.3">
      <c r="A4135" s="955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  <c r="R4135" s="2"/>
    </row>
    <row r="4136" spans="1:18" ht="19.5" hidden="1" thickBot="1" x14ac:dyDescent="0.3">
      <c r="A4136" s="956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  <c r="R4136" s="2"/>
    </row>
    <row r="4137" spans="1:18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  <c r="R4137" s="2"/>
    </row>
    <row r="4138" spans="1:18" ht="19.5" hidden="1" thickBot="1" x14ac:dyDescent="0.3">
      <c r="A4138" s="954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  <c r="R4138" s="2"/>
    </row>
    <row r="4139" spans="1:18" ht="19.5" hidden="1" thickBot="1" x14ac:dyDescent="0.3">
      <c r="A4139" s="956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  <c r="R4139" s="2"/>
    </row>
    <row r="4140" spans="1:18" ht="19.5" hidden="1" thickBot="1" x14ac:dyDescent="0.3">
      <c r="A4140" s="957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  <c r="R4140" s="2"/>
    </row>
    <row r="4141" spans="1:18" ht="19.5" hidden="1" thickBot="1" x14ac:dyDescent="0.3">
      <c r="A4141" s="958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  <c r="R4141" s="2"/>
    </row>
    <row r="4142" spans="1:18" ht="19.5" hidden="1" thickBot="1" x14ac:dyDescent="0.3">
      <c r="A4142" s="958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  <c r="R4142" s="2"/>
    </row>
    <row r="4143" spans="1:18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  <c r="R4143" s="2"/>
    </row>
    <row r="4144" spans="1:18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  <c r="R4144" s="2"/>
    </row>
    <row r="4145" spans="1:18" ht="19.5" hidden="1" thickBot="1" x14ac:dyDescent="0.3">
      <c r="A4145" s="954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  <c r="R4145" s="2"/>
    </row>
    <row r="4146" spans="1:18" ht="19.5" hidden="1" thickBot="1" x14ac:dyDescent="0.3">
      <c r="A4146" s="956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  <c r="R4146" s="2"/>
    </row>
    <row r="4147" spans="1:18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  <c r="R4147" s="2"/>
    </row>
    <row r="4148" spans="1:18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  <c r="R4148" s="2"/>
    </row>
    <row r="4149" spans="1:18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  <c r="R4149" s="2"/>
    </row>
    <row r="4150" spans="1:18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  <c r="R4150" s="2"/>
    </row>
    <row r="4151" spans="1:18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  <c r="R4151" s="2"/>
    </row>
    <row r="4152" spans="1:18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  <c r="R4152" s="2"/>
    </row>
    <row r="4153" spans="1:18" ht="19.5" hidden="1" thickBot="1" x14ac:dyDescent="0.3">
      <c r="A4153" s="957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  <c r="R4153" s="2"/>
    </row>
    <row r="4154" spans="1:18" ht="19.5" hidden="1" thickBot="1" x14ac:dyDescent="0.3">
      <c r="A4154" s="958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  <c r="R4154" s="2"/>
    </row>
    <row r="4155" spans="1:18" ht="19.5" hidden="1" thickBot="1" x14ac:dyDescent="0.3">
      <c r="A4155" s="958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  <c r="R4155" s="2"/>
    </row>
    <row r="4156" spans="1:18" ht="19.5" hidden="1" thickBot="1" x14ac:dyDescent="0.3">
      <c r="A4156" s="958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  <c r="R4156" s="2"/>
    </row>
    <row r="4157" spans="1:18" ht="19.5" hidden="1" thickBot="1" x14ac:dyDescent="0.3">
      <c r="A4157" s="958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  <c r="R4157" s="2"/>
    </row>
    <row r="4158" spans="1:18" ht="19.5" hidden="1" thickBot="1" x14ac:dyDescent="0.3">
      <c r="A4158" s="954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  <c r="R4158" s="2"/>
    </row>
    <row r="4159" spans="1:18" ht="19.5" hidden="1" thickBot="1" x14ac:dyDescent="0.3">
      <c r="A4159" s="956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  <c r="R4159" s="2"/>
    </row>
    <row r="4160" spans="1:18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  <c r="R4160" s="2"/>
    </row>
    <row r="4161" spans="1:18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  <c r="R4161" s="2"/>
    </row>
    <row r="4162" spans="1:18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  <c r="R4162" s="2"/>
    </row>
    <row r="4163" spans="1:18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  <c r="R4163" s="2"/>
    </row>
    <row r="4164" spans="1:18" ht="19.5" hidden="1" thickBot="1" x14ac:dyDescent="0.3">
      <c r="A4164" s="957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  <c r="R4164" s="2"/>
    </row>
    <row r="4165" spans="1:18" ht="19.5" hidden="1" thickBot="1" x14ac:dyDescent="0.3">
      <c r="A4165" s="958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  <c r="R4165" s="2"/>
    </row>
    <row r="4166" spans="1:18" ht="19.5" hidden="1" thickBot="1" x14ac:dyDescent="0.3">
      <c r="A4166" s="961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  <c r="R4166" s="2"/>
    </row>
    <row r="4167" spans="1:18" ht="19.5" hidden="1" thickBot="1" x14ac:dyDescent="0.3">
      <c r="A4167" s="954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  <c r="R4167" s="2"/>
    </row>
    <row r="4168" spans="1:18" ht="19.5" hidden="1" thickBot="1" x14ac:dyDescent="0.3">
      <c r="A4168" s="956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  <c r="R4168" s="2"/>
    </row>
    <row r="4169" spans="1:18" ht="19.5" hidden="1" thickBot="1" x14ac:dyDescent="0.3">
      <c r="A4169" s="957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  <c r="R4169" s="2"/>
    </row>
    <row r="4170" spans="1:18" ht="19.5" hidden="1" thickBot="1" x14ac:dyDescent="0.3">
      <c r="A4170" s="961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  <c r="R4170" s="2"/>
    </row>
    <row r="4171" spans="1:18" ht="19.5" hidden="1" thickBot="1" x14ac:dyDescent="0.3">
      <c r="A4171" s="954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  <c r="R4171" s="2"/>
    </row>
    <row r="4172" spans="1:18" ht="19.5" hidden="1" thickBot="1" x14ac:dyDescent="0.3">
      <c r="A4172" s="956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  <c r="R4172" s="2"/>
    </row>
    <row r="4173" spans="1:18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  <c r="R4173" s="2"/>
    </row>
    <row r="4174" spans="1:18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  <c r="R4174" s="2"/>
    </row>
    <row r="4175" spans="1:18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  <c r="R4175" s="2"/>
    </row>
    <row r="4176" spans="1:18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  <c r="R4176" s="2"/>
    </row>
    <row r="4177" spans="1:18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  <c r="R4177" s="2"/>
    </row>
    <row r="4178" spans="1:18" ht="19.5" hidden="1" thickBot="1" x14ac:dyDescent="0.3">
      <c r="A4178" s="954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  <c r="R4178" s="2"/>
    </row>
    <row r="4179" spans="1:18" ht="19.5" hidden="1" thickBot="1" x14ac:dyDescent="0.3">
      <c r="A4179" s="955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  <c r="R4179" s="2"/>
    </row>
    <row r="4180" spans="1:18" ht="19.5" hidden="1" thickBot="1" x14ac:dyDescent="0.3">
      <c r="A4180" s="956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  <c r="R4180" s="2"/>
    </row>
    <row r="4181" spans="1:18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  <c r="R4181" s="2"/>
    </row>
    <row r="4182" spans="1:18" ht="19.5" hidden="1" thickBot="1" x14ac:dyDescent="0.3">
      <c r="A4182" s="954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  <c r="R4182" s="2"/>
    </row>
    <row r="4183" spans="1:18" ht="19.5" hidden="1" thickBot="1" x14ac:dyDescent="0.3">
      <c r="A4183" s="956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  <c r="R4183" s="2"/>
    </row>
    <row r="4184" spans="1:18" ht="19.5" hidden="1" thickBot="1" x14ac:dyDescent="0.3">
      <c r="A4184" s="957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  <c r="R4184" s="2"/>
    </row>
    <row r="4185" spans="1:18" ht="19.5" hidden="1" thickBot="1" x14ac:dyDescent="0.3">
      <c r="A4185" s="961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  <c r="R4185" s="2"/>
    </row>
    <row r="4186" spans="1:18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  <c r="R4186" s="2"/>
    </row>
    <row r="4187" spans="1:18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  <c r="R4187" s="2"/>
    </row>
    <row r="4188" spans="1:18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  <c r="R4188" s="2"/>
    </row>
    <row r="4189" spans="1:18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  <c r="R4189" s="2"/>
    </row>
    <row r="4190" spans="1:18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  <c r="R4190" s="2"/>
    </row>
    <row r="4191" spans="1:18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  <c r="R4191" s="2"/>
    </row>
    <row r="4192" spans="1:18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  <c r="R4192" s="2"/>
    </row>
    <row r="4193" spans="1:18" ht="19.5" hidden="1" thickBot="1" x14ac:dyDescent="0.3">
      <c r="A4193" s="957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  <c r="R4193" s="2"/>
    </row>
    <row r="4194" spans="1:18" ht="19.5" hidden="1" thickBot="1" x14ac:dyDescent="0.3">
      <c r="A4194" s="958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  <c r="R4194" s="2"/>
    </row>
    <row r="4195" spans="1:18" ht="19.5" hidden="1" thickBot="1" x14ac:dyDescent="0.3">
      <c r="A4195" s="961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  <c r="R4195" s="2"/>
    </row>
    <row r="4196" spans="1:18" ht="19.5" hidden="1" thickBot="1" x14ac:dyDescent="0.3">
      <c r="A4196" s="954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  <c r="R4196" s="2"/>
    </row>
    <row r="4197" spans="1:18" ht="19.5" hidden="1" thickBot="1" x14ac:dyDescent="0.3">
      <c r="A4197" s="955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  <c r="R4197" s="2"/>
    </row>
    <row r="4198" spans="1:18" ht="19.5" hidden="1" thickBot="1" x14ac:dyDescent="0.3">
      <c r="A4198" s="955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  <c r="R4198" s="2"/>
    </row>
    <row r="4199" spans="1:18" ht="19.5" hidden="1" thickBot="1" x14ac:dyDescent="0.3">
      <c r="A4199" s="955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  <c r="R4199" s="2"/>
    </row>
    <row r="4200" spans="1:18" ht="19.5" hidden="1" thickBot="1" x14ac:dyDescent="0.3">
      <c r="A4200" s="956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  <c r="R4200" s="2"/>
    </row>
    <row r="4201" spans="1:18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  <c r="R4201" s="2"/>
    </row>
    <row r="4202" spans="1:18" ht="19.5" hidden="1" thickBot="1" x14ac:dyDescent="0.3">
      <c r="A4202" s="954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  <c r="R4202" s="2"/>
    </row>
    <row r="4203" spans="1:18" ht="19.5" hidden="1" thickBot="1" x14ac:dyDescent="0.3">
      <c r="A4203" s="955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  <c r="R4203" s="2"/>
    </row>
    <row r="4204" spans="1:18" ht="19.5" hidden="1" thickBot="1" x14ac:dyDescent="0.3">
      <c r="A4204" s="957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  <c r="R4204" s="2"/>
    </row>
    <row r="4205" spans="1:18" ht="19.5" hidden="1" thickBot="1" x14ac:dyDescent="0.3">
      <c r="A4205" s="961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  <c r="R4205" s="2"/>
    </row>
    <row r="4206" spans="1:18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  <c r="R4206" s="2"/>
    </row>
    <row r="4207" spans="1:18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  <c r="R4207" s="2"/>
    </row>
    <row r="4208" spans="1:18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  <c r="R4208" s="2"/>
    </row>
    <row r="4209" spans="1:18" ht="57" hidden="1" thickBot="1" x14ac:dyDescent="0.3">
      <c r="A4209" s="957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  <c r="R4209" s="2"/>
    </row>
    <row r="4210" spans="1:18" ht="19.5" hidden="1" thickBot="1" x14ac:dyDescent="0.3">
      <c r="A4210" s="961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  <c r="R4210" s="2"/>
    </row>
    <row r="4211" spans="1:18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  <c r="R4211" s="2"/>
    </row>
    <row r="4212" spans="1:18" ht="19.5" hidden="1" thickBot="1" x14ac:dyDescent="0.3">
      <c r="A4212" s="957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  <c r="R4212" s="2"/>
    </row>
    <row r="4213" spans="1:18" ht="19.5" hidden="1" thickBot="1" x14ac:dyDescent="0.3">
      <c r="A4213" s="961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  <c r="R4213" s="2"/>
    </row>
    <row r="4214" spans="1:18" ht="19.5" hidden="1" thickBot="1" x14ac:dyDescent="0.3">
      <c r="A4214" s="954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  <c r="R4214" s="2"/>
    </row>
    <row r="4215" spans="1:18" ht="19.5" hidden="1" thickBot="1" x14ac:dyDescent="0.3">
      <c r="A4215" s="955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  <c r="R4215" s="2"/>
    </row>
    <row r="4216" spans="1:18" ht="19.5" hidden="1" thickBot="1" x14ac:dyDescent="0.3">
      <c r="A4216" s="956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  <c r="R4216" s="2"/>
    </row>
    <row r="4217" spans="1:18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  <c r="R4217" s="2"/>
    </row>
    <row r="4218" spans="1:18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  <c r="R4218" s="2"/>
    </row>
    <row r="4219" spans="1:18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  <c r="R4219" s="2"/>
    </row>
    <row r="4220" spans="1:18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  <c r="R4220" s="2"/>
    </row>
    <row r="4221" spans="1:18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  <c r="R4221" s="2"/>
    </row>
    <row r="4222" spans="1:18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  <c r="R4222" s="2"/>
    </row>
    <row r="4223" spans="1:18" ht="19.5" hidden="1" thickBot="1" x14ac:dyDescent="0.3">
      <c r="A4223" s="957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  <c r="R4223" s="2"/>
    </row>
    <row r="4224" spans="1:18" ht="19.5" hidden="1" thickBot="1" x14ac:dyDescent="0.3">
      <c r="A4224" s="958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  <c r="R4224" s="2"/>
    </row>
    <row r="4225" spans="1:18" ht="19.5" hidden="1" thickBot="1" x14ac:dyDescent="0.3">
      <c r="A4225" s="958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  <c r="R4225" s="2"/>
    </row>
    <row r="4226" spans="1:18" ht="19.5" hidden="1" thickBot="1" x14ac:dyDescent="0.3">
      <c r="A4226" s="961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  <c r="R4226" s="2"/>
    </row>
    <row r="4227" spans="1:18" ht="19.5" hidden="1" thickBot="1" x14ac:dyDescent="0.3">
      <c r="A4227" s="954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  <c r="R4227" s="2"/>
    </row>
    <row r="4228" spans="1:18" ht="19.5" hidden="1" thickBot="1" x14ac:dyDescent="0.3">
      <c r="A4228" s="955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  <c r="R4228" s="2"/>
    </row>
    <row r="4229" spans="1:18" ht="19.5" hidden="1" thickBot="1" x14ac:dyDescent="0.3">
      <c r="A4229" s="956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  <c r="R4229" s="2"/>
    </row>
    <row r="4230" spans="1:18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  <c r="R4230" s="2"/>
    </row>
    <row r="4231" spans="1:18" ht="37.5" hidden="1" customHeight="1" x14ac:dyDescent="0.25">
      <c r="A4231" s="954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967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  <c r="R4231" s="2"/>
    </row>
    <row r="4232" spans="1:18" ht="37.5" hidden="1" customHeight="1" thickBot="1" x14ac:dyDescent="0.3">
      <c r="A4232" s="956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968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  <c r="R4232" s="2"/>
    </row>
    <row r="4233" spans="1:18" ht="19.5" hidden="1" thickBot="1" x14ac:dyDescent="0.3">
      <c r="A4233" s="957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  <c r="R4233" s="2"/>
    </row>
    <row r="4234" spans="1:18" ht="19.5" hidden="1" thickBot="1" x14ac:dyDescent="0.3">
      <c r="A4234" s="958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  <c r="R4234" s="2"/>
    </row>
    <row r="4235" spans="1:18" ht="19.5" hidden="1" thickBot="1" x14ac:dyDescent="0.3">
      <c r="A4235" s="961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  <c r="R4235" s="2"/>
    </row>
    <row r="4236" spans="1:18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  <c r="R4236" s="2"/>
    </row>
    <row r="4237" spans="1:18" ht="19.5" hidden="1" thickBot="1" x14ac:dyDescent="0.3">
      <c r="A4237" s="957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  <c r="R4237" s="2"/>
    </row>
    <row r="4238" spans="1:18" ht="19.5" hidden="1" thickBot="1" x14ac:dyDescent="0.3">
      <c r="A4238" s="958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  <c r="R4238" s="2"/>
    </row>
    <row r="4239" spans="1:18" ht="19.5" hidden="1" thickBot="1" x14ac:dyDescent="0.3">
      <c r="A4239" s="961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  <c r="R4239" s="2"/>
    </row>
    <row r="4240" spans="1:18" ht="19.5" hidden="1" thickBot="1" x14ac:dyDescent="0.3">
      <c r="A4240" s="954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  <c r="R4240" s="2"/>
    </row>
    <row r="4241" spans="1:18" ht="19.5" hidden="1" thickBot="1" x14ac:dyDescent="0.3">
      <c r="A4241" s="955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  <c r="R4241" s="2"/>
    </row>
    <row r="4242" spans="1:18" ht="19.5" hidden="1" thickBot="1" x14ac:dyDescent="0.3">
      <c r="A4242" s="955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  <c r="R4242" s="2"/>
    </row>
    <row r="4243" spans="1:18" ht="19.5" hidden="1" thickBot="1" x14ac:dyDescent="0.3">
      <c r="A4243" s="956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  <c r="R4243" s="2"/>
    </row>
    <row r="4244" spans="1:18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  <c r="R4244" s="2"/>
    </row>
    <row r="4245" spans="1:18" ht="19.5" hidden="1" thickBot="1" x14ac:dyDescent="0.3">
      <c r="A4245" s="954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  <c r="R4245" s="2"/>
    </row>
    <row r="4246" spans="1:18" ht="19.5" hidden="1" thickBot="1" x14ac:dyDescent="0.3">
      <c r="A4246" s="956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  <c r="R4246" s="2"/>
    </row>
    <row r="4247" spans="1:18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  <c r="R4247" s="2"/>
    </row>
    <row r="4248" spans="1:18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  <c r="R4248" s="2"/>
    </row>
    <row r="4249" spans="1:18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  <c r="R4249" s="2"/>
    </row>
    <row r="4250" spans="1:18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  <c r="R4250" s="2"/>
    </row>
    <row r="4251" spans="1:18" ht="24" hidden="1" customHeight="1" x14ac:dyDescent="0.25">
      <c r="A4251" s="957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970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  <c r="R4251" s="2"/>
    </row>
    <row r="4252" spans="1:18" ht="24" hidden="1" customHeight="1" x14ac:dyDescent="0.25">
      <c r="A4252" s="958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973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  <c r="R4252" s="2"/>
    </row>
    <row r="4253" spans="1:18" ht="24" hidden="1" customHeight="1" x14ac:dyDescent="0.25">
      <c r="A4253" s="958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973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  <c r="R4253" s="2"/>
    </row>
    <row r="4254" spans="1:18" ht="24" hidden="1" customHeight="1" thickBot="1" x14ac:dyDescent="0.3">
      <c r="A4254" s="961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971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  <c r="R4254" s="2"/>
    </row>
    <row r="4255" spans="1:18" ht="19.5" hidden="1" thickBot="1" x14ac:dyDescent="0.3">
      <c r="A4255" s="954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  <c r="R4255" s="2"/>
    </row>
    <row r="4256" spans="1:18" ht="19.5" hidden="1" thickBot="1" x14ac:dyDescent="0.3">
      <c r="A4256" s="955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  <c r="R4256" s="2"/>
    </row>
    <row r="4257" spans="1:18" ht="19.5" hidden="1" thickBot="1" x14ac:dyDescent="0.3">
      <c r="A4257" s="956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  <c r="R4257" s="2"/>
    </row>
    <row r="4258" spans="1:18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  <c r="R4258" s="2"/>
    </row>
    <row r="4259" spans="1:18" ht="19.5" hidden="1" thickBot="1" x14ac:dyDescent="0.3">
      <c r="A4259" s="954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  <c r="R4259" s="2"/>
    </row>
    <row r="4260" spans="1:18" ht="19.5" hidden="1" thickBot="1" x14ac:dyDescent="0.3">
      <c r="A4260" s="956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  <c r="R4260" s="2"/>
    </row>
    <row r="4261" spans="1:18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  <c r="R4261" s="2"/>
    </row>
    <row r="4262" spans="1:18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  <c r="R4262" s="2"/>
    </row>
    <row r="4263" spans="1:18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  <c r="R4263" s="2"/>
    </row>
    <row r="4264" spans="1:18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  <c r="R4264" s="2"/>
    </row>
    <row r="4265" spans="1:18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  <c r="R4265" s="2"/>
    </row>
    <row r="4266" spans="1:18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  <c r="R4266" s="2"/>
    </row>
    <row r="4267" spans="1:18" ht="19.5" hidden="1" thickBot="1" x14ac:dyDescent="0.3">
      <c r="A4267" s="957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  <c r="R4267" s="2"/>
    </row>
    <row r="4268" spans="1:18" ht="19.5" hidden="1" thickBot="1" x14ac:dyDescent="0.3">
      <c r="A4268" s="958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  <c r="R4268" s="2"/>
    </row>
    <row r="4269" spans="1:18" ht="19.5" hidden="1" thickBot="1" x14ac:dyDescent="0.3">
      <c r="A4269" s="961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  <c r="R4269" s="2"/>
    </row>
    <row r="4270" spans="1:18" ht="19.5" hidden="1" thickBot="1" x14ac:dyDescent="0.3">
      <c r="A4270" s="954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  <c r="R4270" s="2"/>
    </row>
    <row r="4271" spans="1:18" ht="19.5" hidden="1" thickBot="1" x14ac:dyDescent="0.3">
      <c r="A4271" s="956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  <c r="R4271" s="2"/>
    </row>
    <row r="4272" spans="1:18" ht="19.5" hidden="1" thickBot="1" x14ac:dyDescent="0.3">
      <c r="A4272" s="957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  <c r="R4272" s="2"/>
    </row>
    <row r="4273" spans="1:18" ht="19.5" hidden="1" thickBot="1" x14ac:dyDescent="0.3">
      <c r="A4273" s="958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  <c r="R4273" s="2"/>
    </row>
    <row r="4274" spans="1:18" ht="19.5" hidden="1" thickBot="1" x14ac:dyDescent="0.3">
      <c r="A4274" s="958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  <c r="R4274" s="2"/>
    </row>
    <row r="4275" spans="1:18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  <c r="R4275" s="2"/>
    </row>
    <row r="4276" spans="1:18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  <c r="R4276" s="2"/>
    </row>
    <row r="4277" spans="1:18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  <c r="R4277" s="2"/>
    </row>
    <row r="4278" spans="1:18" ht="38.25" hidden="1" customHeight="1" x14ac:dyDescent="0.25">
      <c r="A4278" s="957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970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  <c r="R4278" s="2"/>
    </row>
    <row r="4279" spans="1:18" ht="38.25" hidden="1" customHeight="1" thickBot="1" x14ac:dyDescent="0.3">
      <c r="A4279" s="961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971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  <c r="R4279" s="2"/>
    </row>
    <row r="4280" spans="1:18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  <c r="R4280" s="2"/>
    </row>
    <row r="4281" spans="1:18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  <c r="R4281" s="2"/>
    </row>
    <row r="4282" spans="1:18" ht="19.5" hidden="1" thickBot="1" x14ac:dyDescent="0.3">
      <c r="A4282" s="954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  <c r="R4282" s="2"/>
    </row>
    <row r="4283" spans="1:18" ht="19.5" hidden="1" thickBot="1" x14ac:dyDescent="0.3">
      <c r="A4283" s="956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  <c r="R4283" s="2"/>
    </row>
    <row r="4284" spans="1:18" ht="19.5" hidden="1" thickBot="1" x14ac:dyDescent="0.3">
      <c r="A4284" s="957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  <c r="R4284" s="2"/>
    </row>
    <row r="4285" spans="1:18" ht="19.5" hidden="1" thickBot="1" x14ac:dyDescent="0.3">
      <c r="A4285" s="958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  <c r="R4285" s="2"/>
    </row>
    <row r="4286" spans="1:18" ht="19.5" hidden="1" thickBot="1" x14ac:dyDescent="0.3">
      <c r="A4286" s="961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  <c r="R4286" s="2"/>
    </row>
    <row r="4287" spans="1:18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  <c r="R4287" s="2"/>
    </row>
    <row r="4288" spans="1:18" ht="19.5" hidden="1" thickBot="1" x14ac:dyDescent="0.3">
      <c r="A4288" s="957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  <c r="R4288" s="2"/>
    </row>
    <row r="4289" spans="1:18" ht="19.5" hidden="1" thickBot="1" x14ac:dyDescent="0.3">
      <c r="A4289" s="961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  <c r="R4289" s="2"/>
    </row>
    <row r="4290" spans="1:18" ht="19.5" hidden="1" thickBot="1" x14ac:dyDescent="0.3">
      <c r="A4290" s="954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  <c r="R4290" s="2"/>
    </row>
    <row r="4291" spans="1:18" ht="19.5" hidden="1" thickBot="1" x14ac:dyDescent="0.3">
      <c r="A4291" s="956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  <c r="R4291" s="2"/>
    </row>
    <row r="4292" spans="1:18" ht="19.5" hidden="1" thickBot="1" x14ac:dyDescent="0.3">
      <c r="A4292" s="957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  <c r="R4292" s="2"/>
    </row>
    <row r="4293" spans="1:18" ht="19.5" hidden="1" thickBot="1" x14ac:dyDescent="0.3">
      <c r="A4293" s="958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  <c r="R4293" s="2"/>
    </row>
    <row r="4294" spans="1:18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  <c r="R4294" s="2"/>
    </row>
    <row r="4295" spans="1:18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  <c r="R4295" s="2"/>
    </row>
    <row r="4296" spans="1:18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  <c r="R4296" s="2"/>
    </row>
    <row r="4297" spans="1:18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  <c r="R4297" s="2"/>
    </row>
    <row r="4298" spans="1:18" ht="19.5" hidden="1" thickBot="1" x14ac:dyDescent="0.3">
      <c r="A4298" s="954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  <c r="R4298" s="2"/>
    </row>
    <row r="4299" spans="1:18" ht="19.5" hidden="1" thickBot="1" x14ac:dyDescent="0.3">
      <c r="A4299" s="956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  <c r="R4299" s="2"/>
    </row>
    <row r="4300" spans="1:18" ht="19.5" hidden="1" thickBot="1" x14ac:dyDescent="0.3">
      <c r="A4300" s="957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  <c r="R4300" s="2"/>
    </row>
    <row r="4301" spans="1:18" ht="19.5" hidden="1" thickBot="1" x14ac:dyDescent="0.3">
      <c r="A4301" s="958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  <c r="R4301" s="2"/>
    </row>
    <row r="4302" spans="1:18" ht="19.5" hidden="1" thickBot="1" x14ac:dyDescent="0.3">
      <c r="A4302" s="958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  <c r="R4302" s="2"/>
    </row>
    <row r="4303" spans="1:18" ht="19.5" hidden="1" thickBot="1" x14ac:dyDescent="0.3">
      <c r="A4303" s="958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  <c r="R4303" s="2"/>
    </row>
    <row r="4304" spans="1:18" ht="19.5" hidden="1" thickBot="1" x14ac:dyDescent="0.3">
      <c r="A4304" s="958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  <c r="R4304" s="2"/>
    </row>
    <row r="4305" spans="1:18" ht="19.5" hidden="1" thickBot="1" x14ac:dyDescent="0.3">
      <c r="A4305" s="954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  <c r="R4305" s="2"/>
    </row>
    <row r="4306" spans="1:18" ht="19.5" hidden="1" thickBot="1" x14ac:dyDescent="0.3">
      <c r="A4306" s="955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  <c r="R4306" s="2"/>
    </row>
    <row r="4307" spans="1:18" ht="19.5" hidden="1" thickBot="1" x14ac:dyDescent="0.3">
      <c r="A4307" s="956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  <c r="R4307" s="2"/>
    </row>
    <row r="4308" spans="1:18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  <c r="R4308" s="2"/>
    </row>
    <row r="4309" spans="1:18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  <c r="R4309" s="2"/>
    </row>
    <row r="4310" spans="1:18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  <c r="R4310" s="2"/>
    </row>
    <row r="4311" spans="1:18" ht="19.5" hidden="1" thickBot="1" x14ac:dyDescent="0.3">
      <c r="A4311" s="954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967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  <c r="R4311" s="2"/>
    </row>
    <row r="4312" spans="1:18" ht="19.5" hidden="1" thickBot="1" x14ac:dyDescent="0.3">
      <c r="A4312" s="955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969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  <c r="R4312" s="2"/>
    </row>
    <row r="4313" spans="1:18" ht="19.5" hidden="1" thickBot="1" x14ac:dyDescent="0.3">
      <c r="A4313" s="955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969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  <c r="R4313" s="2"/>
    </row>
    <row r="4314" spans="1:18" ht="19.5" hidden="1" thickBot="1" x14ac:dyDescent="0.3">
      <c r="A4314" s="956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968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  <c r="R4314" s="2"/>
    </row>
    <row r="4315" spans="1:18" ht="19.5" hidden="1" thickBot="1" x14ac:dyDescent="0.3">
      <c r="A4315" s="957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  <c r="R4315" s="2"/>
    </row>
    <row r="4316" spans="1:18" ht="19.5" hidden="1" thickBot="1" x14ac:dyDescent="0.3">
      <c r="A4316" s="961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  <c r="R4316" s="2"/>
    </row>
    <row r="4317" spans="1:18" ht="19.5" hidden="1" thickBot="1" x14ac:dyDescent="0.3">
      <c r="A4317" s="954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  <c r="R4317" s="2"/>
    </row>
    <row r="4318" spans="1:18" ht="19.5" hidden="1" thickBot="1" x14ac:dyDescent="0.3">
      <c r="A4318" s="956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  <c r="R4318" s="2"/>
    </row>
    <row r="4319" spans="1:18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  <c r="R4319" s="2"/>
    </row>
    <row r="4320" spans="1:18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  <c r="R4320" s="2"/>
    </row>
    <row r="4321" spans="1:18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  <c r="R4321" s="2"/>
    </row>
    <row r="4322" spans="1:18" ht="19.5" hidden="1" thickBot="1" x14ac:dyDescent="0.3">
      <c r="A4322" s="954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  <c r="R4322" s="2"/>
    </row>
    <row r="4323" spans="1:18" ht="19.5" hidden="1" thickBot="1" x14ac:dyDescent="0.3">
      <c r="A4323" s="956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  <c r="R4323" s="2"/>
    </row>
    <row r="4324" spans="1:18" ht="19.5" hidden="1" thickBot="1" x14ac:dyDescent="0.3">
      <c r="A4324" s="957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  <c r="R4324" s="2"/>
    </row>
    <row r="4325" spans="1:18" ht="19.5" hidden="1" thickBot="1" x14ac:dyDescent="0.3">
      <c r="A4325" s="958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  <c r="R4325" s="2"/>
    </row>
    <row r="4326" spans="1:18" ht="19.5" hidden="1" thickBot="1" x14ac:dyDescent="0.3">
      <c r="A4326" s="961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  <c r="R4326" s="2"/>
    </row>
    <row r="4327" spans="1:18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  <c r="R4327" s="2"/>
    </row>
    <row r="4328" spans="1:18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  <c r="R4328" s="2"/>
    </row>
    <row r="4329" spans="1:18" ht="19.5" hidden="1" thickBot="1" x14ac:dyDescent="0.3">
      <c r="A4329" s="954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  <c r="R4329" s="2"/>
    </row>
    <row r="4330" spans="1:18" ht="19.5" hidden="1" thickBot="1" x14ac:dyDescent="0.3">
      <c r="A4330" s="956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  <c r="R4330" s="2"/>
    </row>
    <row r="4331" spans="1:18" ht="29.25" hidden="1" customHeight="1" x14ac:dyDescent="0.25">
      <c r="A4331" s="957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970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  <c r="R4331" s="2"/>
    </row>
    <row r="4332" spans="1:18" ht="29.25" hidden="1" customHeight="1" thickBot="1" x14ac:dyDescent="0.3">
      <c r="A4332" s="961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971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  <c r="R4332" s="2"/>
    </row>
    <row r="4333" spans="1:18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  <c r="R4333" s="2"/>
    </row>
    <row r="4334" spans="1:18" ht="19.5" hidden="1" thickBot="1" x14ac:dyDescent="0.3">
      <c r="A4334" s="957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  <c r="R4334" s="2"/>
    </row>
    <row r="4335" spans="1:18" ht="19.5" hidden="1" thickBot="1" x14ac:dyDescent="0.3">
      <c r="A4335" s="958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  <c r="R4335" s="2"/>
    </row>
    <row r="4336" spans="1:18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  <c r="R4336" s="2"/>
    </row>
    <row r="4337" spans="1:18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  <c r="R4337" s="2"/>
    </row>
    <row r="4338" spans="1:18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  <c r="R4338" s="2"/>
    </row>
    <row r="4339" spans="1:18" ht="19.5" hidden="1" thickBot="1" x14ac:dyDescent="0.3">
      <c r="A4339" s="957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  <c r="R4339" s="2"/>
    </row>
    <row r="4340" spans="1:18" ht="19.5" hidden="1" thickBot="1" x14ac:dyDescent="0.3">
      <c r="A4340" s="958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  <c r="R4340" s="2"/>
    </row>
    <row r="4341" spans="1:18" ht="19.5" hidden="1" thickBot="1" x14ac:dyDescent="0.3">
      <c r="A4341" s="958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  <c r="R4341" s="2"/>
    </row>
    <row r="4342" spans="1:18" ht="19.5" hidden="1" thickBot="1" x14ac:dyDescent="0.3">
      <c r="A4342" s="958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  <c r="R4342" s="2"/>
    </row>
    <row r="4343" spans="1:18" ht="19.5" hidden="1" thickBot="1" x14ac:dyDescent="0.3">
      <c r="A4343" s="958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  <c r="R4343" s="2"/>
    </row>
    <row r="4344" spans="1:18" ht="19.5" hidden="1" thickBot="1" x14ac:dyDescent="0.3">
      <c r="A4344" s="961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  <c r="R4344" s="2"/>
    </row>
    <row r="4345" spans="1:18" ht="19.5" hidden="1" thickBot="1" x14ac:dyDescent="0.3">
      <c r="A4345" s="954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  <c r="R4345" s="2"/>
    </row>
    <row r="4346" spans="1:18" ht="19.5" hidden="1" thickBot="1" x14ac:dyDescent="0.3">
      <c r="A4346" s="955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  <c r="R4346" s="2"/>
    </row>
    <row r="4347" spans="1:18" ht="19.5" hidden="1" thickBot="1" x14ac:dyDescent="0.3">
      <c r="A4347" s="957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  <c r="R4347" s="2"/>
    </row>
    <row r="4348" spans="1:18" ht="19.5" hidden="1" thickBot="1" x14ac:dyDescent="0.3">
      <c r="A4348" s="958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  <c r="R4348" s="2"/>
    </row>
    <row r="4349" spans="1:18" ht="19.5" hidden="1" thickBot="1" x14ac:dyDescent="0.3">
      <c r="A4349" s="961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  <c r="R4349" s="2"/>
    </row>
    <row r="4350" spans="1:18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  <c r="R4350" s="2"/>
    </row>
    <row r="4351" spans="1:18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  <c r="R4351" s="2"/>
    </row>
    <row r="4352" spans="1:18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  <c r="R4352" s="2"/>
    </row>
    <row r="4353" spans="1:18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  <c r="R4353" s="2"/>
    </row>
    <row r="4354" spans="1:18" ht="57" hidden="1" thickBot="1" x14ac:dyDescent="0.3">
      <c r="A4354" s="954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  <c r="R4354" s="2"/>
    </row>
    <row r="4355" spans="1:18" ht="19.5" hidden="1" thickBot="1" x14ac:dyDescent="0.3">
      <c r="A4355" s="956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  <c r="R4355" s="2"/>
    </row>
    <row r="4356" spans="1:18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  <c r="R4356" s="2"/>
    </row>
    <row r="4357" spans="1:18" ht="19.5" hidden="1" thickBot="1" x14ac:dyDescent="0.3">
      <c r="A4357" s="954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  <c r="R4357" s="2"/>
    </row>
    <row r="4358" spans="1:18" ht="19.5" hidden="1" thickBot="1" x14ac:dyDescent="0.3">
      <c r="A4358" s="955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  <c r="R4358" s="2"/>
    </row>
    <row r="4359" spans="1:18" ht="19.5" hidden="1" thickBot="1" x14ac:dyDescent="0.3">
      <c r="A4359" s="956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  <c r="R4359" s="2"/>
    </row>
    <row r="4360" spans="1:18" ht="19.5" hidden="1" thickBot="1" x14ac:dyDescent="0.3">
      <c r="A4360" s="957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  <c r="R4360" s="2"/>
    </row>
    <row r="4361" spans="1:18" ht="19.5" hidden="1" thickBot="1" x14ac:dyDescent="0.3">
      <c r="A4361" s="958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  <c r="R4361" s="2"/>
    </row>
    <row r="4362" spans="1:18" ht="19.5" hidden="1" thickBot="1" x14ac:dyDescent="0.3">
      <c r="A4362" s="961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  <c r="R4362" s="2"/>
    </row>
    <row r="4363" spans="1:18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  <c r="R4363" s="2"/>
    </row>
    <row r="4364" spans="1:18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  <c r="R4364" s="2"/>
    </row>
    <row r="4365" spans="1:18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  <c r="R4365" s="2"/>
    </row>
    <row r="4366" spans="1:18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  <c r="R4366" s="2"/>
    </row>
    <row r="4367" spans="1:18" ht="19.5" hidden="1" thickBot="1" x14ac:dyDescent="0.3">
      <c r="A4367" s="954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  <c r="R4367" s="2"/>
    </row>
    <row r="4368" spans="1:18" ht="19.5" hidden="1" thickBot="1" x14ac:dyDescent="0.3">
      <c r="A4368" s="955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  <c r="R4368" s="2"/>
    </row>
    <row r="4369" spans="1:18" ht="19.5" hidden="1" thickBot="1" x14ac:dyDescent="0.3">
      <c r="A4369" s="956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  <c r="R4369" s="2"/>
    </row>
    <row r="4370" spans="1:18" ht="19.5" hidden="1" thickBot="1" x14ac:dyDescent="0.3">
      <c r="A4370" s="957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  <c r="R4370" s="2"/>
    </row>
    <row r="4371" spans="1:18" ht="19.5" hidden="1" thickBot="1" x14ac:dyDescent="0.3">
      <c r="A4371" s="958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  <c r="R4371" s="2"/>
    </row>
    <row r="4372" spans="1:18" ht="19.5" hidden="1" thickBot="1" x14ac:dyDescent="0.3">
      <c r="A4372" s="961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  <c r="R4372" s="2"/>
    </row>
    <row r="4373" spans="1:18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  <c r="R4373" s="2"/>
    </row>
    <row r="4374" spans="1:18" ht="19.5" hidden="1" thickBot="1" x14ac:dyDescent="0.3">
      <c r="A4374" s="957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  <c r="R4374" s="2"/>
    </row>
    <row r="4375" spans="1:18" ht="19.5" hidden="1" thickBot="1" x14ac:dyDescent="0.3">
      <c r="A4375" s="961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  <c r="R4375" s="2"/>
    </row>
    <row r="4376" spans="1:18" ht="19.5" hidden="1" thickBot="1" x14ac:dyDescent="0.3">
      <c r="A4376" s="954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  <c r="R4376" s="2"/>
    </row>
    <row r="4377" spans="1:18" ht="19.5" hidden="1" thickBot="1" x14ac:dyDescent="0.3">
      <c r="A4377" s="956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  <c r="R4377" s="2"/>
    </row>
    <row r="4378" spans="1:18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  <c r="R4378" s="2"/>
    </row>
    <row r="4379" spans="1:18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  <c r="R4379" s="2"/>
    </row>
    <row r="4380" spans="1:18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  <c r="R4380" s="2"/>
    </row>
    <row r="4381" spans="1:18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  <c r="R4381" s="2"/>
    </row>
    <row r="4382" spans="1:18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  <c r="R4382" s="2"/>
    </row>
    <row r="4383" spans="1:18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  <c r="R4383" s="2"/>
    </row>
    <row r="4384" spans="1:18" ht="57" hidden="1" thickBot="1" x14ac:dyDescent="0.3">
      <c r="A4384" s="957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  <c r="R4384" s="2"/>
    </row>
    <row r="4385" spans="1:18" ht="57" hidden="1" thickBot="1" x14ac:dyDescent="0.3">
      <c r="A4385" s="958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  <c r="R4385" s="2"/>
    </row>
    <row r="4386" spans="1:18" ht="57" hidden="1" thickBot="1" x14ac:dyDescent="0.3">
      <c r="A4386" s="961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  <c r="R4386" s="2"/>
    </row>
    <row r="4387" spans="1:18" ht="57" hidden="1" thickBot="1" x14ac:dyDescent="0.3">
      <c r="A4387" s="954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  <c r="R4387" s="2"/>
    </row>
    <row r="4388" spans="1:18" ht="57" hidden="1" thickBot="1" x14ac:dyDescent="0.3">
      <c r="A4388" s="955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  <c r="R4388" s="2"/>
    </row>
    <row r="4389" spans="1:18" ht="57" hidden="1" thickBot="1" x14ac:dyDescent="0.3">
      <c r="A4389" s="955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  <c r="R4389" s="2"/>
    </row>
    <row r="4390" spans="1:18" ht="57" hidden="1" thickBot="1" x14ac:dyDescent="0.3">
      <c r="A4390" s="956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  <c r="R4390" s="2"/>
    </row>
    <row r="4391" spans="1:18" ht="57" hidden="1" thickBot="1" x14ac:dyDescent="0.3">
      <c r="A4391" s="957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970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  <c r="R4391" s="2"/>
    </row>
    <row r="4392" spans="1:18" ht="57" hidden="1" thickBot="1" x14ac:dyDescent="0.3">
      <c r="A4392" s="958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971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  <c r="R4392" s="2"/>
    </row>
    <row r="4393" spans="1:18" ht="19.5" hidden="1" thickBot="1" x14ac:dyDescent="0.3">
      <c r="A4393" s="954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  <c r="R4393" s="2"/>
    </row>
    <row r="4394" spans="1:18" ht="19.5" hidden="1" thickBot="1" x14ac:dyDescent="0.3">
      <c r="A4394" s="955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  <c r="R4394" s="2"/>
    </row>
    <row r="4395" spans="1:18" ht="19.5" hidden="1" thickBot="1" x14ac:dyDescent="0.3">
      <c r="A4395" s="956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  <c r="R4395" s="2"/>
    </row>
    <row r="4396" spans="1:18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  <c r="R4396" s="2"/>
    </row>
    <row r="4397" spans="1:18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  <c r="R4397" s="2"/>
    </row>
    <row r="4398" spans="1:18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  <c r="R4398" s="2"/>
    </row>
    <row r="4399" spans="1:18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  <c r="R4399" s="2"/>
    </row>
    <row r="4400" spans="1:18" ht="19.5" hidden="1" thickBot="1" x14ac:dyDescent="0.3">
      <c r="A4400" s="957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  <c r="R4400" s="2"/>
    </row>
    <row r="4401" spans="1:18" ht="19.5" hidden="1" thickBot="1" x14ac:dyDescent="0.3">
      <c r="A4401" s="961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  <c r="R4401" s="2"/>
    </row>
    <row r="4402" spans="1:18" ht="19.5" hidden="1" thickBot="1" x14ac:dyDescent="0.3">
      <c r="A4402" s="954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  <c r="R4402" s="2"/>
    </row>
    <row r="4403" spans="1:18" ht="19.5" hidden="1" thickBot="1" x14ac:dyDescent="0.3">
      <c r="A4403" s="955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  <c r="R4403" s="2"/>
    </row>
    <row r="4404" spans="1:18" ht="19.5" hidden="1" thickBot="1" x14ac:dyDescent="0.3">
      <c r="A4404" s="955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  <c r="R4404" s="2"/>
    </row>
    <row r="4405" spans="1:18" ht="19.5" hidden="1" thickBot="1" x14ac:dyDescent="0.3">
      <c r="A4405" s="955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  <c r="R4405" s="2"/>
    </row>
    <row r="4406" spans="1:18" ht="19.5" hidden="1" thickBot="1" x14ac:dyDescent="0.3">
      <c r="A4406" s="957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  <c r="R4406" s="2"/>
    </row>
    <row r="4407" spans="1:18" ht="19.5" hidden="1" thickBot="1" x14ac:dyDescent="0.3">
      <c r="A4407" s="961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  <c r="R4407" s="2"/>
    </row>
    <row r="4408" spans="1:18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  <c r="R4408" s="2"/>
    </row>
    <row r="4409" spans="1:18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  <c r="R4409" s="2"/>
    </row>
    <row r="4410" spans="1:18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  <c r="R4410" s="2"/>
    </row>
    <row r="4411" spans="1:18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  <c r="R4411" s="2"/>
    </row>
    <row r="4412" spans="1:18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  <c r="R4412" s="2"/>
    </row>
    <row r="4413" spans="1:18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  <c r="R4413" s="2"/>
    </row>
    <row r="4414" spans="1:18" ht="19.5" hidden="1" thickBot="1" x14ac:dyDescent="0.3">
      <c r="A4414" s="954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  <c r="R4414" s="2"/>
    </row>
    <row r="4415" spans="1:18" ht="19.5" hidden="1" thickBot="1" x14ac:dyDescent="0.3">
      <c r="A4415" s="956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  <c r="R4415" s="2"/>
    </row>
    <row r="4416" spans="1:18" ht="19.5" hidden="1" thickBot="1" x14ac:dyDescent="0.3">
      <c r="A4416" s="957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  <c r="R4416" s="2"/>
    </row>
    <row r="4417" spans="1:18" ht="19.5" hidden="1" thickBot="1" x14ac:dyDescent="0.3">
      <c r="A4417" s="958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  <c r="R4417" s="2"/>
    </row>
    <row r="4418" spans="1:18" ht="19.5" hidden="1" thickBot="1" x14ac:dyDescent="0.3">
      <c r="A4418" s="958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  <c r="R4418" s="2"/>
    </row>
    <row r="4419" spans="1:18" ht="57" hidden="1" thickBot="1" x14ac:dyDescent="0.3">
      <c r="A4419" s="961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  <c r="R4419" s="2"/>
    </row>
    <row r="4420" spans="1:18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  <c r="R4420" s="2"/>
    </row>
    <row r="4421" spans="1:18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  <c r="R4421" s="2"/>
    </row>
    <row r="4422" spans="1:18" ht="19.5" hidden="1" thickBot="1" x14ac:dyDescent="0.3">
      <c r="A4422" s="954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  <c r="R4422" s="2"/>
    </row>
    <row r="4423" spans="1:18" ht="19.5" hidden="1" thickBot="1" x14ac:dyDescent="0.3">
      <c r="A4423" s="956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  <c r="R4423" s="2"/>
    </row>
    <row r="4424" spans="1:18" ht="19.5" hidden="1" thickBot="1" x14ac:dyDescent="0.3">
      <c r="A4424" s="957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  <c r="R4424" s="2"/>
    </row>
    <row r="4425" spans="1:18" ht="19.5" hidden="1" thickBot="1" x14ac:dyDescent="0.3">
      <c r="A4425" s="961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  <c r="R4425" s="2"/>
    </row>
    <row r="4426" spans="1:18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  <c r="R4426" s="2"/>
    </row>
    <row r="4427" spans="1:18" ht="19.5" hidden="1" thickBot="1" x14ac:dyDescent="0.3">
      <c r="A4427" s="957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  <c r="R4427" s="2"/>
    </row>
    <row r="4428" spans="1:18" ht="19.5" hidden="1" thickBot="1" x14ac:dyDescent="0.3">
      <c r="A4428" s="961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  <c r="R4428" s="2"/>
    </row>
    <row r="4429" spans="1:18" ht="19.5" hidden="1" thickBot="1" x14ac:dyDescent="0.3">
      <c r="A4429" s="954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  <c r="R4429" s="2"/>
    </row>
    <row r="4430" spans="1:18" ht="19.5" hidden="1" thickBot="1" x14ac:dyDescent="0.3">
      <c r="A4430" s="956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  <c r="R4430" s="2"/>
    </row>
    <row r="4431" spans="1:18" ht="19.5" hidden="1" thickBot="1" x14ac:dyDescent="0.3">
      <c r="A4431" s="957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  <c r="R4431" s="2"/>
    </row>
    <row r="4432" spans="1:18" ht="19.5" hidden="1" thickBot="1" x14ac:dyDescent="0.3">
      <c r="A4432" s="958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  <c r="R4432" s="2"/>
    </row>
    <row r="4433" spans="1:18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  <c r="R4433" s="2"/>
    </row>
    <row r="4434" spans="1:18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  <c r="R4434" s="2"/>
    </row>
    <row r="4435" spans="1:18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  <c r="R4435" s="2"/>
    </row>
    <row r="4436" spans="1:18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  <c r="R4436" s="2"/>
    </row>
    <row r="4437" spans="1:18" ht="19.5" hidden="1" thickBot="1" x14ac:dyDescent="0.3">
      <c r="A4437" s="954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  <c r="R4437" s="2"/>
    </row>
    <row r="4438" spans="1:18" ht="19.5" hidden="1" thickBot="1" x14ac:dyDescent="0.3">
      <c r="A4438" s="955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  <c r="R4438" s="2"/>
    </row>
    <row r="4439" spans="1:18" ht="19.5" hidden="1" thickBot="1" x14ac:dyDescent="0.3">
      <c r="A4439" s="955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  <c r="R4439" s="2"/>
    </row>
    <row r="4440" spans="1:18" ht="19.5" hidden="1" thickBot="1" x14ac:dyDescent="0.3">
      <c r="A4440" s="956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  <c r="R4440" s="2"/>
    </row>
    <row r="4441" spans="1:18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  <c r="R4441" s="2"/>
    </row>
    <row r="4442" spans="1:18" ht="19.5" hidden="1" thickBot="1" x14ac:dyDescent="0.3">
      <c r="A4442" s="954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  <c r="R4442" s="2"/>
    </row>
    <row r="4443" spans="1:18" ht="19.5" hidden="1" thickBot="1" x14ac:dyDescent="0.3">
      <c r="A4443" s="956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  <c r="R4443" s="2"/>
    </row>
    <row r="4444" spans="1:18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  <c r="R4444" s="2"/>
    </row>
    <row r="4445" spans="1:18" ht="19.5" hidden="1" thickBot="1" x14ac:dyDescent="0.3">
      <c r="A4445" s="954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  <c r="R4445" s="2"/>
    </row>
    <row r="4446" spans="1:18" ht="19.5" hidden="1" thickBot="1" x14ac:dyDescent="0.3">
      <c r="A4446" s="955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  <c r="R4446" s="2"/>
    </row>
    <row r="4447" spans="1:18" ht="19.5" hidden="1" thickBot="1" x14ac:dyDescent="0.3">
      <c r="A4447" s="955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  <c r="R4447" s="2"/>
    </row>
    <row r="4448" spans="1:18" ht="19.5" hidden="1" thickBot="1" x14ac:dyDescent="0.3">
      <c r="A4448" s="956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  <c r="R4448" s="2"/>
    </row>
    <row r="4449" spans="1:18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  <c r="R4449" s="2"/>
    </row>
    <row r="4450" spans="1:18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  <c r="R4450" s="2"/>
    </row>
    <row r="4451" spans="1:18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  <c r="R4451" s="2"/>
    </row>
    <row r="4452" spans="1:18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  <c r="R4452" s="2"/>
    </row>
    <row r="4453" spans="1:18" ht="19.5" hidden="1" thickBot="1" x14ac:dyDescent="0.3">
      <c r="A4453" s="957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  <c r="R4453" s="2"/>
    </row>
    <row r="4454" spans="1:18" ht="19.5" hidden="1" thickBot="1" x14ac:dyDescent="0.3">
      <c r="A4454" s="961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  <c r="R4454" s="2"/>
    </row>
    <row r="4455" spans="1:18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  <c r="R4455" s="2"/>
    </row>
    <row r="4456" spans="1:18" ht="19.5" hidden="1" thickBot="1" x14ac:dyDescent="0.3">
      <c r="A4456" s="957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  <c r="R4456" s="2"/>
    </row>
    <row r="4457" spans="1:18" ht="19.5" hidden="1" thickBot="1" x14ac:dyDescent="0.3">
      <c r="A4457" s="961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  <c r="R4457" s="2"/>
    </row>
    <row r="4458" spans="1:18" ht="19.5" hidden="1" thickBot="1" x14ac:dyDescent="0.3">
      <c r="A4458" s="954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  <c r="R4458" s="2"/>
    </row>
    <row r="4459" spans="1:18" ht="19.5" hidden="1" thickBot="1" x14ac:dyDescent="0.3">
      <c r="A4459" s="955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  <c r="R4459" s="2"/>
    </row>
    <row r="4460" spans="1:18" ht="19.5" hidden="1" thickBot="1" x14ac:dyDescent="0.3">
      <c r="A4460" s="956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  <c r="R4460" s="2"/>
    </row>
    <row r="4461" spans="1:18" ht="19.5" hidden="1" thickBot="1" x14ac:dyDescent="0.3">
      <c r="A4461" s="957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  <c r="R4461" s="2"/>
    </row>
    <row r="4462" spans="1:18" ht="19.5" hidden="1" thickBot="1" x14ac:dyDescent="0.3">
      <c r="A4462" s="958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  <c r="R4462" s="2"/>
    </row>
    <row r="4463" spans="1:18" ht="19.5" hidden="1" thickBot="1" x14ac:dyDescent="0.3">
      <c r="A4463" s="961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  <c r="R4463" s="2"/>
    </row>
    <row r="4464" spans="1:18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  <c r="R4464" s="2"/>
    </row>
    <row r="4465" spans="1:18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  <c r="R4465" s="2"/>
    </row>
    <row r="4466" spans="1:18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  <c r="R4466" s="2"/>
    </row>
    <row r="4467" spans="1:18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  <c r="R4467" s="2"/>
    </row>
    <row r="4468" spans="1:18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  <c r="R4468" s="2"/>
    </row>
    <row r="4469" spans="1:18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  <c r="R4469" s="2"/>
    </row>
    <row r="4470" spans="1:18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  <c r="R4470" s="2"/>
    </row>
    <row r="4471" spans="1:18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  <c r="R4471" s="2"/>
    </row>
    <row r="4472" spans="1:18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  <c r="R4472" s="2"/>
    </row>
    <row r="4473" spans="1:18" ht="19.5" hidden="1" thickBot="1" x14ac:dyDescent="0.3">
      <c r="A4473" s="957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  <c r="R4473" s="2"/>
    </row>
    <row r="4474" spans="1:18" ht="19.5" hidden="1" thickBot="1" x14ac:dyDescent="0.3">
      <c r="A4474" s="958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  <c r="R4474" s="2"/>
    </row>
    <row r="4475" spans="1:18" ht="19.5" hidden="1" thickBot="1" x14ac:dyDescent="0.3">
      <c r="A4475" s="961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  <c r="R4475" s="2"/>
    </row>
    <row r="4476" spans="1:18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  <c r="R4476" s="2"/>
    </row>
    <row r="4477" spans="1:18" ht="19.5" hidden="1" thickBot="1" x14ac:dyDescent="0.3">
      <c r="A4477" s="957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  <c r="R4477" s="2"/>
    </row>
    <row r="4478" spans="1:18" ht="19.5" hidden="1" thickBot="1" x14ac:dyDescent="0.3">
      <c r="A4478" s="958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  <c r="R4478" s="2"/>
    </row>
    <row r="4479" spans="1:18" ht="19.5" hidden="1" thickBot="1" x14ac:dyDescent="0.3">
      <c r="A4479" s="961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  <c r="R4479" s="2"/>
    </row>
    <row r="4480" spans="1:18" ht="19.5" hidden="1" thickBot="1" x14ac:dyDescent="0.3">
      <c r="A4480" s="954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  <c r="R4480" s="2"/>
    </row>
    <row r="4481" spans="1:18" ht="19.5" hidden="1" thickBot="1" x14ac:dyDescent="0.3">
      <c r="A4481" s="956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  <c r="R4481" s="2"/>
    </row>
    <row r="4482" spans="1:18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  <c r="R4482" s="2"/>
    </row>
    <row r="4483" spans="1:18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  <c r="R4483" s="2"/>
    </row>
    <row r="4484" spans="1:18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  <c r="R4484" s="2"/>
    </row>
    <row r="4485" spans="1:18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  <c r="R4485" s="2"/>
    </row>
    <row r="4486" spans="1:18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  <c r="R4486" s="2"/>
    </row>
    <row r="4487" spans="1:18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  <c r="R4487" s="2"/>
    </row>
    <row r="4488" spans="1:18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  <c r="R4488" s="2"/>
    </row>
    <row r="4489" spans="1:18" ht="19.5" hidden="1" thickBot="1" x14ac:dyDescent="0.3">
      <c r="A4489" s="954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  <c r="R4489" s="2"/>
    </row>
    <row r="4490" spans="1:18" ht="19.5" hidden="1" thickBot="1" x14ac:dyDescent="0.3">
      <c r="A4490" s="955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  <c r="R4490" s="2"/>
    </row>
    <row r="4491" spans="1:18" ht="19.5" hidden="1" thickBot="1" x14ac:dyDescent="0.3">
      <c r="A4491" s="955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  <c r="R4491" s="2"/>
    </row>
    <row r="4492" spans="1:18" ht="19.5" hidden="1" thickBot="1" x14ac:dyDescent="0.3">
      <c r="A4492" s="956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  <c r="R4492" s="2"/>
    </row>
    <row r="4493" spans="1:18" ht="19.5" hidden="1" thickBot="1" x14ac:dyDescent="0.3">
      <c r="A4493" s="957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970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  <c r="R4493" s="2"/>
    </row>
    <row r="4494" spans="1:18" ht="19.5" hidden="1" thickBot="1" x14ac:dyDescent="0.3">
      <c r="A4494" s="958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973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  <c r="R4494" s="2"/>
    </row>
    <row r="4495" spans="1:18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  <c r="R4495" s="2"/>
    </row>
    <row r="4496" spans="1:18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  <c r="R4496" s="2"/>
    </row>
    <row r="4497" spans="1:18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  <c r="R4497" s="2"/>
    </row>
    <row r="4498" spans="1:18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  <c r="R4498" s="2"/>
    </row>
    <row r="4499" spans="1:18" ht="19.5" hidden="1" thickBot="1" x14ac:dyDescent="0.3">
      <c r="A4499" s="954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  <c r="R4499" s="2"/>
    </row>
    <row r="4500" spans="1:18" ht="19.5" hidden="1" thickBot="1" x14ac:dyDescent="0.3">
      <c r="A4500" s="956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  <c r="R4500" s="2"/>
    </row>
    <row r="4501" spans="1:18" ht="19.5" hidden="1" thickBot="1" x14ac:dyDescent="0.3">
      <c r="A4501" s="957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  <c r="R4501" s="2"/>
    </row>
    <row r="4502" spans="1:18" ht="57" hidden="1" thickBot="1" x14ac:dyDescent="0.3">
      <c r="A4502" s="961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  <c r="R4502" s="2"/>
    </row>
    <row r="4503" spans="1:18" ht="19.5" hidden="1" thickBot="1" x14ac:dyDescent="0.3">
      <c r="A4503" s="954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  <c r="R4503" s="2"/>
    </row>
    <row r="4504" spans="1:18" ht="19.5" hidden="1" thickBot="1" x14ac:dyDescent="0.3">
      <c r="A4504" s="956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  <c r="R4504" s="2"/>
    </row>
    <row r="4505" spans="1:18" ht="19.5" hidden="1" thickBot="1" x14ac:dyDescent="0.3">
      <c r="A4505" s="957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  <c r="R4505" s="2"/>
    </row>
    <row r="4506" spans="1:18" ht="19.5" hidden="1" thickBot="1" x14ac:dyDescent="0.3">
      <c r="A4506" s="961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  <c r="R4506" s="2"/>
    </row>
    <row r="4507" spans="1:18" ht="19.5" hidden="1" thickBot="1" x14ac:dyDescent="0.3">
      <c r="A4507" s="954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  <c r="R4507" s="2"/>
    </row>
    <row r="4508" spans="1:18" ht="19.5" hidden="1" thickBot="1" x14ac:dyDescent="0.3">
      <c r="A4508" s="956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  <c r="R4508" s="2"/>
    </row>
    <row r="4509" spans="1:18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  <c r="R4509" s="2"/>
    </row>
    <row r="4510" spans="1:18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  <c r="R4510" s="2"/>
    </row>
    <row r="4511" spans="1:18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  <c r="R4511" s="2"/>
    </row>
    <row r="4512" spans="1:18" ht="19.5" hidden="1" thickBot="1" x14ac:dyDescent="0.3">
      <c r="A4512" s="954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  <c r="R4512" s="2"/>
    </row>
    <row r="4513" spans="1:18" ht="19.5" hidden="1" thickBot="1" x14ac:dyDescent="0.3">
      <c r="A4513" s="955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  <c r="R4513" s="2"/>
    </row>
    <row r="4514" spans="1:18" ht="19.5" hidden="1" thickBot="1" x14ac:dyDescent="0.3">
      <c r="A4514" s="956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  <c r="R4514" s="2"/>
    </row>
    <row r="4515" spans="1:18" ht="19.5" hidden="1" thickBot="1" x14ac:dyDescent="0.3">
      <c r="A4515" s="957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  <c r="R4515" s="2"/>
    </row>
    <row r="4516" spans="1:18" ht="19.5" hidden="1" thickBot="1" x14ac:dyDescent="0.3">
      <c r="A4516" s="961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  <c r="R4516" s="2"/>
    </row>
    <row r="4517" spans="1:18" ht="19.5" hidden="1" thickBot="1" x14ac:dyDescent="0.3">
      <c r="A4517" s="954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  <c r="R4517" s="2"/>
    </row>
    <row r="4518" spans="1:18" ht="19.5" hidden="1" thickBot="1" x14ac:dyDescent="0.3">
      <c r="A4518" s="956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  <c r="R4518" s="2"/>
    </row>
    <row r="4519" spans="1:18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  <c r="R4519" s="2"/>
    </row>
    <row r="4520" spans="1:18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  <c r="R4520" s="2"/>
    </row>
    <row r="4521" spans="1:18" ht="19.5" hidden="1" thickBot="1" x14ac:dyDescent="0.3">
      <c r="A4521" s="957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  <c r="R4521" s="2"/>
    </row>
    <row r="4522" spans="1:18" ht="19.5" hidden="1" thickBot="1" x14ac:dyDescent="0.3">
      <c r="A4522" s="958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  <c r="R4522" s="2"/>
    </row>
    <row r="4523" spans="1:18" ht="19.5" hidden="1" thickBot="1" x14ac:dyDescent="0.3">
      <c r="A4523" s="961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  <c r="R4523" s="2"/>
    </row>
    <row r="4524" spans="1:18" ht="19.5" hidden="1" thickBot="1" x14ac:dyDescent="0.3">
      <c r="A4524" s="954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  <c r="R4524" s="2"/>
    </row>
    <row r="4525" spans="1:18" ht="19.5" hidden="1" thickBot="1" x14ac:dyDescent="0.3">
      <c r="A4525" s="955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  <c r="R4525" s="2"/>
    </row>
    <row r="4526" spans="1:18" ht="19.5" hidden="1" thickBot="1" x14ac:dyDescent="0.3">
      <c r="A4526" s="956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  <c r="R4526" s="2"/>
    </row>
    <row r="4527" spans="1:18" ht="19.5" hidden="1" thickBot="1" x14ac:dyDescent="0.3">
      <c r="A4527" s="957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  <c r="R4527" s="2"/>
    </row>
    <row r="4528" spans="1:18" ht="19.5" hidden="1" thickBot="1" x14ac:dyDescent="0.3">
      <c r="A4528" s="961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  <c r="R4528" s="2"/>
    </row>
    <row r="4529" spans="1:18" ht="19.5" hidden="1" thickBot="1" x14ac:dyDescent="0.3">
      <c r="A4529" s="954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  <c r="R4529" s="2"/>
    </row>
    <row r="4530" spans="1:18" ht="19.5" hidden="1" thickBot="1" x14ac:dyDescent="0.3">
      <c r="A4530" s="956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  <c r="R4530" s="2"/>
    </row>
    <row r="4531" spans="1:18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  <c r="R4531" s="2"/>
    </row>
    <row r="4532" spans="1:18" ht="19.5" hidden="1" thickBot="1" x14ac:dyDescent="0.3">
      <c r="A4532" s="954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  <c r="R4532" s="2"/>
    </row>
    <row r="4533" spans="1:18" ht="19.5" hidden="1" thickBot="1" x14ac:dyDescent="0.3">
      <c r="A4533" s="955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  <c r="R4533" s="2"/>
    </row>
    <row r="4534" spans="1:18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  <c r="R4534" s="2"/>
    </row>
    <row r="4535" spans="1:18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  <c r="R4535" s="2"/>
    </row>
    <row r="4536" spans="1:18" ht="19.5" hidden="1" thickBot="1" x14ac:dyDescent="0.3">
      <c r="A4536" s="957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  <c r="R4536" s="2"/>
    </row>
    <row r="4537" spans="1:18" ht="19.5" hidden="1" thickBot="1" x14ac:dyDescent="0.3">
      <c r="A4537" s="958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  <c r="R4537" s="2"/>
    </row>
    <row r="4538" spans="1:18" ht="19.5" hidden="1" thickBot="1" x14ac:dyDescent="0.3">
      <c r="A4538" s="961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  <c r="R4538" s="2"/>
    </row>
    <row r="4539" spans="1:18" ht="19.5" hidden="1" thickBot="1" x14ac:dyDescent="0.3">
      <c r="A4539" s="954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  <c r="R4539" s="2"/>
    </row>
    <row r="4540" spans="1:18" ht="19.5" hidden="1" thickBot="1" x14ac:dyDescent="0.3">
      <c r="A4540" s="955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  <c r="R4540" s="2"/>
    </row>
    <row r="4541" spans="1:18" ht="19.5" hidden="1" thickBot="1" x14ac:dyDescent="0.3">
      <c r="A4541" s="956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  <c r="R4541" s="2"/>
    </row>
    <row r="4542" spans="1:18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  <c r="R4542" s="2"/>
    </row>
    <row r="4543" spans="1:18" ht="19.5" hidden="1" thickBot="1" x14ac:dyDescent="0.3">
      <c r="A4543" s="954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  <c r="R4543" s="2"/>
    </row>
    <row r="4544" spans="1:18" ht="19.5" hidden="1" thickBot="1" x14ac:dyDescent="0.3">
      <c r="A4544" s="956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  <c r="R4544" s="2"/>
    </row>
    <row r="4545" spans="1:18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  <c r="R4545" s="2"/>
    </row>
    <row r="4546" spans="1:18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  <c r="R4546" s="2"/>
    </row>
    <row r="4547" spans="1:18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  <c r="R4547" s="2"/>
    </row>
    <row r="4548" spans="1:18" ht="19.5" hidden="1" thickBot="1" x14ac:dyDescent="0.3">
      <c r="A4548" s="954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  <c r="R4548" s="2"/>
    </row>
    <row r="4549" spans="1:18" ht="19.5" hidden="1" thickBot="1" x14ac:dyDescent="0.3">
      <c r="A4549" s="956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  <c r="R4549" s="2"/>
    </row>
    <row r="4550" spans="1:18" ht="19.5" hidden="1" thickBot="1" x14ac:dyDescent="0.3">
      <c r="A4550" s="957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  <c r="R4550" s="2"/>
    </row>
    <row r="4551" spans="1:18" ht="19.5" hidden="1" thickBot="1" x14ac:dyDescent="0.3">
      <c r="A4551" s="961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  <c r="R4551" s="2"/>
    </row>
    <row r="4552" spans="1:18" ht="19.5" hidden="1" thickBot="1" x14ac:dyDescent="0.3">
      <c r="A4552" s="954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  <c r="R4552" s="2"/>
    </row>
    <row r="4553" spans="1:18" ht="19.5" hidden="1" thickBot="1" x14ac:dyDescent="0.3">
      <c r="A4553" s="956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  <c r="R4553" s="2"/>
    </row>
    <row r="4554" spans="1:18" ht="19.5" hidden="1" thickBot="1" x14ac:dyDescent="0.3">
      <c r="A4554" s="957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  <c r="R4554" s="2"/>
    </row>
    <row r="4555" spans="1:18" ht="19.5" hidden="1" thickBot="1" x14ac:dyDescent="0.3">
      <c r="A4555" s="961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  <c r="R4555" s="2"/>
    </row>
    <row r="4556" spans="1:18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  <c r="R4556" s="2"/>
    </row>
    <row r="4557" spans="1:18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  <c r="R4557" s="2"/>
    </row>
    <row r="4558" spans="1:18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  <c r="R4558" s="2"/>
    </row>
    <row r="4559" spans="1:18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  <c r="R4559" s="2"/>
    </row>
    <row r="4560" spans="1:18" ht="19.5" hidden="1" thickBot="1" x14ac:dyDescent="0.3">
      <c r="A4560" s="954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  <c r="R4560" s="2"/>
    </row>
    <row r="4561" spans="1:18" ht="19.5" hidden="1" thickBot="1" x14ac:dyDescent="0.3">
      <c r="A4561" s="955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  <c r="R4561" s="2"/>
    </row>
    <row r="4562" spans="1:18" ht="19.5" hidden="1" thickBot="1" x14ac:dyDescent="0.3">
      <c r="A4562" s="956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  <c r="R4562" s="2"/>
    </row>
    <row r="4563" spans="1:18" ht="19.5" hidden="1" thickBot="1" x14ac:dyDescent="0.3">
      <c r="A4563" s="957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  <c r="R4563" s="2"/>
    </row>
    <row r="4564" spans="1:18" ht="19.5" hidden="1" thickBot="1" x14ac:dyDescent="0.3">
      <c r="A4564" s="958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  <c r="R4564" s="2"/>
    </row>
    <row r="4565" spans="1:18" ht="19.5" hidden="1" thickBot="1" x14ac:dyDescent="0.3">
      <c r="A4565" s="961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  <c r="R4565" s="2"/>
    </row>
    <row r="4566" spans="1:18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  <c r="R4566" s="2"/>
    </row>
    <row r="4567" spans="1:18" ht="19.5" hidden="1" thickBot="1" x14ac:dyDescent="0.3">
      <c r="A4567" s="957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  <c r="R4567" s="2"/>
    </row>
    <row r="4568" spans="1:18" ht="19.5" hidden="1" thickBot="1" x14ac:dyDescent="0.3">
      <c r="A4568" s="958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  <c r="R4568" s="2"/>
    </row>
    <row r="4569" spans="1:18" ht="19.5" hidden="1" thickBot="1" x14ac:dyDescent="0.3">
      <c r="A4569" s="961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  <c r="R4569" s="2"/>
    </row>
    <row r="4570" spans="1:18" ht="19.5" hidden="1" thickBot="1" x14ac:dyDescent="0.3">
      <c r="A4570" s="954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  <c r="R4570" s="2"/>
    </row>
    <row r="4571" spans="1:18" ht="19.5" hidden="1" thickBot="1" x14ac:dyDescent="0.3">
      <c r="A4571" s="956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  <c r="R4571" s="2"/>
    </row>
    <row r="4572" spans="1:18" ht="19.5" hidden="1" thickBot="1" x14ac:dyDescent="0.3">
      <c r="A4572" s="957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  <c r="R4572" s="2"/>
    </row>
    <row r="4573" spans="1:18" ht="19.5" hidden="1" thickBot="1" x14ac:dyDescent="0.3">
      <c r="A4573" s="958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  <c r="R4573" s="2"/>
    </row>
    <row r="4574" spans="1:18" ht="19.5" hidden="1" thickBot="1" x14ac:dyDescent="0.3">
      <c r="A4574" s="961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  <c r="R4574" s="2"/>
    </row>
    <row r="4575" spans="1:18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  <c r="R4575" s="2"/>
    </row>
    <row r="4576" spans="1:18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  <c r="R4576" s="2"/>
    </row>
    <row r="4577" spans="1:18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  <c r="R4577" s="2"/>
    </row>
    <row r="4578" spans="1:18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  <c r="R4578" s="2"/>
    </row>
    <row r="4579" spans="1:18" ht="27.75" hidden="1" customHeight="1" x14ac:dyDescent="0.25">
      <c r="A4579" s="954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967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  <c r="R4579" s="2"/>
    </row>
    <row r="4580" spans="1:18" ht="27.75" hidden="1" customHeight="1" x14ac:dyDescent="0.25">
      <c r="A4580" s="955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969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  <c r="R4580" s="2"/>
    </row>
    <row r="4581" spans="1:18" ht="27.75" hidden="1" customHeight="1" thickBot="1" x14ac:dyDescent="0.3">
      <c r="A4581" s="956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968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  <c r="R4581" s="2"/>
    </row>
    <row r="4582" spans="1:18" ht="19.5" hidden="1" thickBot="1" x14ac:dyDescent="0.3">
      <c r="A4582" s="957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  <c r="R4582" s="2"/>
    </row>
    <row r="4583" spans="1:18" ht="19.5" hidden="1" thickBot="1" x14ac:dyDescent="0.3">
      <c r="A4583" s="958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  <c r="R4583" s="2"/>
    </row>
    <row r="4584" spans="1:18" ht="19.5" hidden="1" thickBot="1" x14ac:dyDescent="0.3">
      <c r="A4584" s="961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  <c r="R4584" s="2"/>
    </row>
    <row r="4585" spans="1:18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  <c r="R4585" s="2"/>
    </row>
    <row r="4586" spans="1:18" ht="19.5" hidden="1" thickBot="1" x14ac:dyDescent="0.3">
      <c r="A4586" s="957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  <c r="R4586" s="2"/>
    </row>
    <row r="4587" spans="1:18" ht="19.5" hidden="1" thickBot="1" x14ac:dyDescent="0.3">
      <c r="A4587" s="961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  <c r="R4587" s="2"/>
    </row>
    <row r="4588" spans="1:18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  <c r="R4588" s="2"/>
    </row>
    <row r="4589" spans="1:18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  <c r="R4589" s="2"/>
    </row>
    <row r="4590" spans="1:18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  <c r="R4590" s="2"/>
    </row>
    <row r="4591" spans="1:18" ht="19.5" hidden="1" thickBot="1" x14ac:dyDescent="0.3">
      <c r="A4591" s="957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  <c r="R4591" s="2"/>
    </row>
    <row r="4592" spans="1:18" ht="19.5" hidden="1" thickBot="1" x14ac:dyDescent="0.3">
      <c r="A4592" s="961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  <c r="R4592" s="2"/>
    </row>
    <row r="4593" spans="1:18" ht="19.5" hidden="1" thickBot="1" x14ac:dyDescent="0.3">
      <c r="A4593" s="954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  <c r="R4593" s="2"/>
    </row>
    <row r="4594" spans="1:18" ht="19.5" hidden="1" thickBot="1" x14ac:dyDescent="0.3">
      <c r="A4594" s="955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  <c r="R4594" s="2"/>
    </row>
    <row r="4595" spans="1:18" ht="19.5" hidden="1" thickBot="1" x14ac:dyDescent="0.3">
      <c r="A4595" s="956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  <c r="R4595" s="2"/>
    </row>
    <row r="4596" spans="1:18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  <c r="R4596" s="2"/>
    </row>
    <row r="4597" spans="1:18" ht="19.5" hidden="1" thickBot="1" x14ac:dyDescent="0.3">
      <c r="A4597" s="954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  <c r="R4597" s="2"/>
    </row>
    <row r="4598" spans="1:18" ht="19.5" hidden="1" thickBot="1" x14ac:dyDescent="0.3">
      <c r="A4598" s="956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  <c r="R4598" s="2"/>
    </row>
    <row r="4599" spans="1:18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  <c r="R4599" s="2"/>
    </row>
    <row r="4600" spans="1:18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  <c r="R4600" s="2"/>
    </row>
    <row r="4601" spans="1:18" ht="19.5" hidden="1" thickBot="1" x14ac:dyDescent="0.3">
      <c r="A4601" s="957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  <c r="R4601" s="2"/>
    </row>
    <row r="4602" spans="1:18" ht="19.5" hidden="1" thickBot="1" x14ac:dyDescent="0.3">
      <c r="A4602" s="958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  <c r="R4602" s="2"/>
    </row>
    <row r="4603" spans="1:18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  <c r="R4603" s="2"/>
    </row>
    <row r="4604" spans="1:18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  <c r="R4604" s="2"/>
    </row>
    <row r="4605" spans="1:18" ht="19.5" hidden="1" thickBot="1" x14ac:dyDescent="0.3">
      <c r="A4605" s="954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  <c r="R4605" s="2"/>
    </row>
    <row r="4606" spans="1:18" ht="19.5" hidden="1" thickBot="1" x14ac:dyDescent="0.3">
      <c r="A4606" s="955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  <c r="R4606" s="2"/>
    </row>
    <row r="4607" spans="1:18" ht="19.5" hidden="1" thickBot="1" x14ac:dyDescent="0.3">
      <c r="A4607" s="955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  <c r="R4607" s="2"/>
    </row>
    <row r="4608" spans="1:18" ht="19.5" hidden="1" thickBot="1" x14ac:dyDescent="0.3">
      <c r="A4608" s="956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  <c r="R4608" s="2"/>
    </row>
    <row r="4609" spans="1:18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  <c r="R4609" s="2"/>
    </row>
    <row r="4610" spans="1:18" ht="19.5" hidden="1" thickBot="1" x14ac:dyDescent="0.3">
      <c r="A4610" s="954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  <c r="R4610" s="2"/>
    </row>
    <row r="4611" spans="1:18" ht="19.5" hidden="1" thickBot="1" x14ac:dyDescent="0.3">
      <c r="A4611" s="956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  <c r="R4611" s="2"/>
    </row>
    <row r="4612" spans="1:18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  <c r="R4612" s="2"/>
    </row>
    <row r="4613" spans="1:18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  <c r="R4613" s="2"/>
    </row>
    <row r="4614" spans="1:18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  <c r="R4614" s="2"/>
    </row>
    <row r="4615" spans="1:18" ht="28.5" hidden="1" customHeight="1" x14ac:dyDescent="0.25">
      <c r="A4615" s="954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967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  <c r="R4615" s="2"/>
    </row>
    <row r="4616" spans="1:18" ht="28.5" hidden="1" customHeight="1" thickBot="1" x14ac:dyDescent="0.3">
      <c r="A4616" s="956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968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  <c r="R4616" s="2"/>
    </row>
    <row r="4617" spans="1:18" ht="19.5" hidden="1" thickBot="1" x14ac:dyDescent="0.3">
      <c r="A4617" s="957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  <c r="R4617" s="2"/>
    </row>
    <row r="4618" spans="1:18" ht="19.5" hidden="1" thickBot="1" x14ac:dyDescent="0.3">
      <c r="A4618" s="961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  <c r="R4618" s="2"/>
    </row>
    <row r="4619" spans="1:18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  <c r="R4619" s="2"/>
    </row>
    <row r="4620" spans="1:18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  <c r="R4620" s="2"/>
    </row>
    <row r="4621" spans="1:18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  <c r="R4621" s="2"/>
    </row>
    <row r="4622" spans="1:18" ht="19.5" hidden="1" thickBot="1" x14ac:dyDescent="0.3">
      <c r="A4622" s="957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  <c r="R4622" s="2"/>
    </row>
    <row r="4623" spans="1:18" ht="19.5" hidden="1" thickBot="1" x14ac:dyDescent="0.3">
      <c r="A4623" s="958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  <c r="R4623" s="2"/>
    </row>
    <row r="4624" spans="1:18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  <c r="R4624" s="2"/>
    </row>
    <row r="4625" spans="1:18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  <c r="R4625" s="2"/>
    </row>
    <row r="4626" spans="1:18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  <c r="R4626" s="2"/>
    </row>
    <row r="4627" spans="1:18" ht="19.5" hidden="1" thickBot="1" x14ac:dyDescent="0.3">
      <c r="A4627" s="957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  <c r="R4627" s="2"/>
    </row>
    <row r="4628" spans="1:18" ht="19.5" hidden="1" thickBot="1" x14ac:dyDescent="0.3">
      <c r="A4628" s="961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  <c r="R4628" s="2"/>
    </row>
    <row r="4629" spans="1:18" ht="19.5" hidden="1" thickBot="1" x14ac:dyDescent="0.3">
      <c r="A4629" s="954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  <c r="R4629" s="2"/>
    </row>
    <row r="4630" spans="1:18" ht="19.5" hidden="1" thickBot="1" x14ac:dyDescent="0.3">
      <c r="A4630" s="955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  <c r="R4630" s="2"/>
    </row>
    <row r="4631" spans="1:18" ht="19.5" hidden="1" thickBot="1" x14ac:dyDescent="0.3">
      <c r="A4631" s="955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  <c r="R4631" s="2"/>
    </row>
    <row r="4632" spans="1:18" ht="19.5" hidden="1" thickBot="1" x14ac:dyDescent="0.3">
      <c r="A4632" s="956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  <c r="R4632" s="2"/>
    </row>
    <row r="4633" spans="1:18" ht="19.5" hidden="1" thickBot="1" x14ac:dyDescent="0.3">
      <c r="A4633" s="957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  <c r="R4633" s="2"/>
    </row>
    <row r="4634" spans="1:18" ht="19.5" hidden="1" thickBot="1" x14ac:dyDescent="0.3">
      <c r="A4634" s="958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  <c r="R4634" s="2"/>
    </row>
    <row r="4635" spans="1:18" ht="19.5" hidden="1" thickBot="1" x14ac:dyDescent="0.3">
      <c r="A4635" s="954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  <c r="R4635" s="2"/>
    </row>
    <row r="4636" spans="1:18" ht="19.5" hidden="1" thickBot="1" x14ac:dyDescent="0.3">
      <c r="A4636" s="956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  <c r="R4636" s="2"/>
    </row>
    <row r="4637" spans="1:18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  <c r="R4637" s="2"/>
    </row>
    <row r="4638" spans="1:18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  <c r="R4638" s="2"/>
    </row>
    <row r="4639" spans="1:18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  <c r="R4639" s="2"/>
    </row>
    <row r="4640" spans="1:18" ht="57" hidden="1" thickBot="1" x14ac:dyDescent="0.3">
      <c r="A4640" s="954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  <c r="R4640" s="2"/>
    </row>
    <row r="4641" spans="1:18" ht="19.5" hidden="1" thickBot="1" x14ac:dyDescent="0.3">
      <c r="A4641" s="956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  <c r="R4641" s="2"/>
    </row>
    <row r="4642" spans="1:18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  <c r="R4642" s="2"/>
    </row>
    <row r="4643" spans="1:18" ht="19.5" hidden="1" thickBot="1" x14ac:dyDescent="0.3">
      <c r="A4643" s="954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  <c r="R4643" s="2"/>
    </row>
    <row r="4644" spans="1:18" ht="19.5" hidden="1" thickBot="1" x14ac:dyDescent="0.3">
      <c r="A4644" s="955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  <c r="R4644" s="2"/>
    </row>
    <row r="4645" spans="1:18" ht="19.5" hidden="1" thickBot="1" x14ac:dyDescent="0.3">
      <c r="A4645" s="956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  <c r="R4645" s="2"/>
    </row>
    <row r="4646" spans="1:18" ht="19.5" hidden="1" thickBot="1" x14ac:dyDescent="0.3">
      <c r="A4646" s="957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  <c r="R4646" s="2"/>
    </row>
    <row r="4647" spans="1:18" ht="19.5" hidden="1" thickBot="1" x14ac:dyDescent="0.3">
      <c r="A4647" s="958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  <c r="R4647" s="2"/>
    </row>
    <row r="4648" spans="1:18" ht="19.5" hidden="1" thickBot="1" x14ac:dyDescent="0.3">
      <c r="A4648" s="961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  <c r="R4648" s="2"/>
    </row>
    <row r="4649" spans="1:18" ht="19.5" hidden="1" thickBot="1" x14ac:dyDescent="0.3">
      <c r="A4649" s="954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  <c r="R4649" s="2"/>
    </row>
    <row r="4650" spans="1:18" ht="19.5" hidden="1" thickBot="1" x14ac:dyDescent="0.3">
      <c r="A4650" s="956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  <c r="R4650" s="2"/>
    </row>
    <row r="4651" spans="1:18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  <c r="R4651" s="2"/>
    </row>
    <row r="4652" spans="1:18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  <c r="R4652" s="2"/>
    </row>
    <row r="4653" spans="1:18" ht="19.5" hidden="1" thickBot="1" x14ac:dyDescent="0.3">
      <c r="A4653" s="957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  <c r="R4653" s="2"/>
    </row>
    <row r="4654" spans="1:18" ht="19.5" hidden="1" thickBot="1" x14ac:dyDescent="0.3">
      <c r="A4654" s="958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  <c r="R4654" s="2"/>
    </row>
    <row r="4655" spans="1:18" ht="19.5" hidden="1" thickBot="1" x14ac:dyDescent="0.3">
      <c r="A4655" s="961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  <c r="R4655" s="2"/>
    </row>
    <row r="4656" spans="1:18" ht="19.5" hidden="1" thickBot="1" x14ac:dyDescent="0.3">
      <c r="A4656" s="954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  <c r="R4656" s="2"/>
    </row>
    <row r="4657" spans="1:18" ht="19.5" hidden="1" thickBot="1" x14ac:dyDescent="0.3">
      <c r="A4657" s="956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  <c r="R4657" s="2"/>
    </row>
    <row r="4658" spans="1:18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  <c r="R4658" s="2"/>
    </row>
    <row r="4659" spans="1:18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  <c r="R4659" s="2"/>
    </row>
    <row r="4660" spans="1:18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  <c r="R4660" s="2"/>
    </row>
    <row r="4661" spans="1:18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  <c r="R4661" s="2"/>
    </row>
    <row r="4662" spans="1:18" ht="19.5" hidden="1" thickBot="1" x14ac:dyDescent="0.3">
      <c r="A4662" s="957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  <c r="R4662" s="2"/>
    </row>
    <row r="4663" spans="1:18" ht="19.5" hidden="1" thickBot="1" x14ac:dyDescent="0.3">
      <c r="A4663" s="961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  <c r="R4663" s="2"/>
    </row>
    <row r="4664" spans="1:18" ht="19.5" hidden="1" thickBot="1" x14ac:dyDescent="0.3">
      <c r="A4664" s="954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  <c r="R4664" s="2"/>
    </row>
    <row r="4665" spans="1:18" ht="19.5" hidden="1" thickBot="1" x14ac:dyDescent="0.3">
      <c r="A4665" s="956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  <c r="R4665" s="2"/>
    </row>
    <row r="4666" spans="1:18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  <c r="R4666" s="2"/>
    </row>
    <row r="4667" spans="1:18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  <c r="R4667" s="2"/>
    </row>
    <row r="4668" spans="1:18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  <c r="R4668" s="2"/>
    </row>
    <row r="4669" spans="1:18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  <c r="R4669" s="2"/>
    </row>
    <row r="4670" spans="1:18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  <c r="R4670" s="2"/>
    </row>
    <row r="4671" spans="1:18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  <c r="R4671" s="2"/>
    </row>
    <row r="4672" spans="1:18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  <c r="R4672" s="2"/>
    </row>
    <row r="4673" spans="1:18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  <c r="R4673" s="2"/>
    </row>
    <row r="4674" spans="1:18" ht="19.5" hidden="1" thickBot="1" x14ac:dyDescent="0.3">
      <c r="A4674" s="957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  <c r="R4674" s="2"/>
    </row>
    <row r="4675" spans="1:18" ht="19.5" hidden="1" thickBot="1" x14ac:dyDescent="0.3">
      <c r="A4675" s="958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  <c r="R4675" s="2"/>
    </row>
    <row r="4676" spans="1:18" ht="19.5" hidden="1" thickBot="1" x14ac:dyDescent="0.3">
      <c r="A4676" s="961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  <c r="R4676" s="2"/>
    </row>
    <row r="4677" spans="1:18" ht="19.5" hidden="1" thickBot="1" x14ac:dyDescent="0.3">
      <c r="A4677" s="955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  <c r="R4677" s="2"/>
    </row>
    <row r="4678" spans="1:18" ht="19.5" hidden="1" thickBot="1" x14ac:dyDescent="0.3">
      <c r="A4678" s="955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  <c r="R4678" s="2"/>
    </row>
    <row r="4679" spans="1:18" ht="19.5" hidden="1" thickBot="1" x14ac:dyDescent="0.3">
      <c r="A4679" s="957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  <c r="R4679" s="2"/>
    </row>
    <row r="4680" spans="1:18" ht="19.5" hidden="1" thickBot="1" x14ac:dyDescent="0.3">
      <c r="A4680" s="958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  <c r="R4680" s="2"/>
    </row>
    <row r="4681" spans="1:18" ht="19.5" hidden="1" thickBot="1" x14ac:dyDescent="0.3">
      <c r="A4681" s="954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  <c r="R4681" s="2"/>
    </row>
    <row r="4682" spans="1:18" ht="19.5" hidden="1" thickBot="1" x14ac:dyDescent="0.3">
      <c r="A4682" s="956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  <c r="R4682" s="2"/>
    </row>
    <row r="4683" spans="1:18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  <c r="R4683" s="2"/>
    </row>
    <row r="4684" spans="1:18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  <c r="R4684" s="2"/>
    </row>
    <row r="4685" spans="1:18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  <c r="R4685" s="2"/>
    </row>
    <row r="4686" spans="1:18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  <c r="R4686" s="2"/>
    </row>
    <row r="4687" spans="1:18" ht="19.5" hidden="1" thickBot="1" x14ac:dyDescent="0.3">
      <c r="A4687" s="957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  <c r="R4687" s="2"/>
    </row>
    <row r="4688" spans="1:18" ht="19.5" hidden="1" thickBot="1" x14ac:dyDescent="0.3">
      <c r="A4688" s="958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  <c r="R4688" s="2"/>
    </row>
    <row r="4689" spans="1:18" ht="19.5" hidden="1" thickBot="1" x14ac:dyDescent="0.3">
      <c r="A4689" s="958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  <c r="R4689" s="2"/>
    </row>
    <row r="4690" spans="1:18" ht="19.5" hidden="1" thickBot="1" x14ac:dyDescent="0.3">
      <c r="A4690" s="961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  <c r="R4690" s="2"/>
    </row>
    <row r="4691" spans="1:18" ht="19.5" hidden="1" thickBot="1" x14ac:dyDescent="0.3">
      <c r="A4691" s="954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  <c r="R4691" s="2"/>
    </row>
    <row r="4692" spans="1:18" ht="19.5" hidden="1" thickBot="1" x14ac:dyDescent="0.3">
      <c r="A4692" s="956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  <c r="R4692" s="2"/>
    </row>
    <row r="4693" spans="1:18" ht="19.5" hidden="1" thickBot="1" x14ac:dyDescent="0.3">
      <c r="A4693" s="957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  <c r="R4693" s="2"/>
    </row>
    <row r="4694" spans="1:18" ht="19.5" hidden="1" thickBot="1" x14ac:dyDescent="0.3">
      <c r="A4694" s="961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  <c r="R4694" s="2"/>
    </row>
    <row r="4695" spans="1:18" ht="19.5" hidden="1" thickBot="1" x14ac:dyDescent="0.3">
      <c r="A4695" s="954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  <c r="R4695" s="2"/>
    </row>
    <row r="4696" spans="1:18" ht="19.5" hidden="1" thickBot="1" x14ac:dyDescent="0.3">
      <c r="A4696" s="956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  <c r="R4696" s="2"/>
    </row>
    <row r="4697" spans="1:18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  <c r="R4697" s="2"/>
    </row>
    <row r="4698" spans="1:18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  <c r="R4698" s="2"/>
    </row>
    <row r="4699" spans="1:18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  <c r="R4699" s="2"/>
    </row>
    <row r="4700" spans="1:18" ht="28.5" hidden="1" customHeight="1" x14ac:dyDescent="0.25">
      <c r="A4700" s="954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967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  <c r="R4700" s="2"/>
    </row>
    <row r="4701" spans="1:18" ht="28.5" hidden="1" customHeight="1" thickBot="1" x14ac:dyDescent="0.3">
      <c r="A4701" s="956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968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  <c r="R4701" s="2"/>
    </row>
    <row r="4702" spans="1:18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  <c r="R4702" s="2"/>
    </row>
    <row r="4703" spans="1:18" ht="19.5" hidden="1" thickBot="1" x14ac:dyDescent="0.3">
      <c r="A4703" s="954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  <c r="R4703" s="2"/>
    </row>
    <row r="4704" spans="1:18" ht="19.5" hidden="1" thickBot="1" x14ac:dyDescent="0.3">
      <c r="A4704" s="955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  <c r="R4704" s="2"/>
    </row>
    <row r="4705" spans="1:18" ht="19.5" hidden="1" thickBot="1" x14ac:dyDescent="0.3">
      <c r="A4705" s="956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  <c r="R4705" s="2"/>
    </row>
    <row r="4706" spans="1:18" ht="19.5" hidden="1" thickBot="1" x14ac:dyDescent="0.3">
      <c r="A4706" s="957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  <c r="R4706" s="2"/>
    </row>
    <row r="4707" spans="1:18" ht="19.5" hidden="1" thickBot="1" x14ac:dyDescent="0.3">
      <c r="A4707" s="958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  <c r="R4707" s="2"/>
    </row>
    <row r="4708" spans="1:18" ht="19.5" hidden="1" thickBot="1" x14ac:dyDescent="0.3">
      <c r="A4708" s="961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  <c r="R4708" s="2"/>
    </row>
    <row r="4709" spans="1:18" ht="19.5" hidden="1" thickBot="1" x14ac:dyDescent="0.3">
      <c r="A4709" s="954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  <c r="R4709" s="2"/>
    </row>
    <row r="4710" spans="1:18" ht="19.5" hidden="1" thickBot="1" x14ac:dyDescent="0.3">
      <c r="A4710" s="955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  <c r="R4710" s="2"/>
    </row>
    <row r="4711" spans="1:18" ht="19.5" hidden="1" thickBot="1" x14ac:dyDescent="0.3">
      <c r="A4711" s="956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  <c r="R4711" s="2"/>
    </row>
    <row r="4712" spans="1:18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  <c r="R4712" s="2"/>
    </row>
    <row r="4713" spans="1:18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  <c r="R4713" s="2"/>
    </row>
    <row r="4714" spans="1:18" ht="19.5" hidden="1" thickBot="1" x14ac:dyDescent="0.3">
      <c r="A4714" s="957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  <c r="R4714" s="2"/>
    </row>
    <row r="4715" spans="1:18" ht="19.5" hidden="1" thickBot="1" x14ac:dyDescent="0.3">
      <c r="A4715" s="958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  <c r="R4715" s="2"/>
    </row>
    <row r="4716" spans="1:18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  <c r="R4716" s="2"/>
    </row>
    <row r="4717" spans="1:18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  <c r="R4717" s="2"/>
    </row>
    <row r="4718" spans="1:18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  <c r="R4718" s="2"/>
    </row>
    <row r="4719" spans="1:18" ht="19.5" hidden="1" thickBot="1" x14ac:dyDescent="0.3">
      <c r="A4719" s="957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  <c r="R4719" s="2"/>
    </row>
    <row r="4720" spans="1:18" ht="19.5" hidden="1" thickBot="1" x14ac:dyDescent="0.3">
      <c r="A4720" s="961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  <c r="R4720" s="2"/>
    </row>
    <row r="4721" spans="1:18" ht="19.5" hidden="1" thickBot="1" x14ac:dyDescent="0.3">
      <c r="A4721" s="954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  <c r="R4721" s="2"/>
    </row>
    <row r="4722" spans="1:18" ht="19.5" hidden="1" thickBot="1" x14ac:dyDescent="0.3">
      <c r="A4722" s="955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  <c r="R4722" s="2"/>
    </row>
    <row r="4723" spans="1:18" ht="19.5" hidden="1" thickBot="1" x14ac:dyDescent="0.3">
      <c r="A4723" s="957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  <c r="R4723" s="2"/>
    </row>
    <row r="4724" spans="1:18" ht="19.5" hidden="1" thickBot="1" x14ac:dyDescent="0.3">
      <c r="A4724" s="961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  <c r="R4724" s="2"/>
    </row>
    <row r="4725" spans="1:18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  <c r="R4725" s="2"/>
    </row>
    <row r="4726" spans="1:18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  <c r="R4726" s="2"/>
    </row>
    <row r="4727" spans="1:18" ht="19.5" hidden="1" thickBot="1" x14ac:dyDescent="0.3">
      <c r="A4727" s="954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  <c r="R4727" s="2"/>
    </row>
    <row r="4728" spans="1:18" ht="19.5" hidden="1" thickBot="1" x14ac:dyDescent="0.3">
      <c r="A4728" s="956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  <c r="R4728" s="2"/>
    </row>
    <row r="4729" spans="1:18" ht="19.5" hidden="1" thickBot="1" x14ac:dyDescent="0.3">
      <c r="A4729" s="957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970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  <c r="R4729" s="2"/>
    </row>
    <row r="4730" spans="1:18" ht="19.5" hidden="1" thickBot="1" x14ac:dyDescent="0.3">
      <c r="A4730" s="958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973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  <c r="R4730" s="2"/>
    </row>
    <row r="4731" spans="1:18" ht="19.5" hidden="1" thickBot="1" x14ac:dyDescent="0.3">
      <c r="A4731" s="958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973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  <c r="R4731" s="2"/>
    </row>
    <row r="4732" spans="1:18" ht="19.5" hidden="1" thickBot="1" x14ac:dyDescent="0.3">
      <c r="A4732" s="961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971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  <c r="R4732" s="2"/>
    </row>
    <row r="4733" spans="1:18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  <c r="R4733" s="2"/>
    </row>
    <row r="4734" spans="1:18" ht="19.5" hidden="1" thickBot="1" x14ac:dyDescent="0.3">
      <c r="A4734" s="957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  <c r="R4734" s="2"/>
    </row>
    <row r="4735" spans="1:18" ht="19.5" hidden="1" thickBot="1" x14ac:dyDescent="0.3">
      <c r="A4735" s="958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  <c r="R4735" s="2"/>
    </row>
    <row r="4736" spans="1:18" ht="19.5" hidden="1" thickBot="1" x14ac:dyDescent="0.3">
      <c r="A4736" s="961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  <c r="R4736" s="2"/>
    </row>
    <row r="4737" spans="1:18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  <c r="R4737" s="2"/>
    </row>
    <row r="4738" spans="1:18" ht="19.5" hidden="1" thickBot="1" x14ac:dyDescent="0.3">
      <c r="A4738" s="957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970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  <c r="R4738" s="2"/>
    </row>
    <row r="4739" spans="1:18" ht="19.5" hidden="1" thickBot="1" x14ac:dyDescent="0.3">
      <c r="A4739" s="961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971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  <c r="R4739" s="2"/>
    </row>
    <row r="4740" spans="1:18" ht="19.5" hidden="1" thickBot="1" x14ac:dyDescent="0.3">
      <c r="A4740" s="954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  <c r="R4740" s="2"/>
    </row>
    <row r="4741" spans="1:18" ht="19.5" hidden="1" thickBot="1" x14ac:dyDescent="0.3">
      <c r="A4741" s="955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  <c r="R4741" s="2"/>
    </row>
    <row r="4742" spans="1:18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  <c r="R4742" s="2"/>
    </row>
    <row r="4743" spans="1:18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  <c r="R4743" s="2"/>
    </row>
    <row r="4744" spans="1:18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  <c r="R4744" s="2"/>
    </row>
    <row r="4745" spans="1:18" ht="19.5" hidden="1" thickBot="1" x14ac:dyDescent="0.3">
      <c r="A4745" s="954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  <c r="R4745" s="2"/>
    </row>
    <row r="4746" spans="1:18" ht="19.5" hidden="1" thickBot="1" x14ac:dyDescent="0.3">
      <c r="A4746" s="955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  <c r="R4746" s="2"/>
    </row>
    <row r="4747" spans="1:18" ht="19.5" hidden="1" thickBot="1" x14ac:dyDescent="0.3">
      <c r="A4747" s="956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  <c r="R4747" s="2"/>
    </row>
    <row r="4748" spans="1:18" ht="19.5" hidden="1" thickBot="1" x14ac:dyDescent="0.3">
      <c r="A4748" s="957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  <c r="R4748" s="2"/>
    </row>
    <row r="4749" spans="1:18" ht="19.5" hidden="1" thickBot="1" x14ac:dyDescent="0.3">
      <c r="A4749" s="958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  <c r="R4749" s="2"/>
    </row>
    <row r="4750" spans="1:18" ht="19.5" hidden="1" thickBot="1" x14ac:dyDescent="0.3">
      <c r="A4750" s="961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  <c r="R4750" s="2"/>
    </row>
    <row r="4751" spans="1:18" ht="27.75" hidden="1" customHeight="1" thickBot="1" x14ac:dyDescent="0.3">
      <c r="A4751" s="954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967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  <c r="R4751" s="2"/>
    </row>
    <row r="4752" spans="1:18" ht="27.75" hidden="1" customHeight="1" thickBot="1" x14ac:dyDescent="0.3">
      <c r="A4752" s="956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968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  <c r="R4752" s="2"/>
    </row>
    <row r="4753" spans="1:18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  <c r="R4753" s="2"/>
    </row>
    <row r="4754" spans="1:18" ht="19.5" hidden="1" thickBot="1" x14ac:dyDescent="0.3">
      <c r="A4754" s="954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  <c r="R4754" s="2"/>
    </row>
    <row r="4755" spans="1:18" ht="19.5" hidden="1" thickBot="1" x14ac:dyDescent="0.3">
      <c r="A4755" s="956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  <c r="R4755" s="2"/>
    </row>
    <row r="4756" spans="1:18" ht="19.5" hidden="1" thickBot="1" x14ac:dyDescent="0.3">
      <c r="A4756" s="957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  <c r="R4756" s="2"/>
    </row>
    <row r="4757" spans="1:18" ht="19.5" hidden="1" thickBot="1" x14ac:dyDescent="0.3">
      <c r="A4757" s="958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  <c r="R4757" s="2"/>
    </row>
    <row r="4758" spans="1:18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  <c r="R4758" s="2"/>
    </row>
    <row r="4759" spans="1:18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  <c r="R4759" s="2"/>
    </row>
    <row r="4760" spans="1:18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  <c r="R4760" s="2"/>
    </row>
    <row r="4761" spans="1:18" ht="19.5" hidden="1" thickBot="1" x14ac:dyDescent="0.3">
      <c r="A4761" s="957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  <c r="R4761" s="2"/>
    </row>
    <row r="4762" spans="1:18" ht="19.5" hidden="1" thickBot="1" x14ac:dyDescent="0.3">
      <c r="A4762" s="958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  <c r="R4762" s="2"/>
    </row>
    <row r="4763" spans="1:18" ht="19.5" hidden="1" thickBot="1" x14ac:dyDescent="0.3">
      <c r="A4763" s="958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  <c r="R4763" s="2"/>
    </row>
    <row r="4764" spans="1:18" ht="19.5" hidden="1" thickBot="1" x14ac:dyDescent="0.3">
      <c r="A4764" s="961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  <c r="R4764" s="2"/>
    </row>
    <row r="4765" spans="1:18" ht="19.5" hidden="1" thickBot="1" x14ac:dyDescent="0.3">
      <c r="A4765" s="954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967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  <c r="R4765" s="2"/>
    </row>
    <row r="4766" spans="1:18" ht="19.5" hidden="1" thickBot="1" x14ac:dyDescent="0.3">
      <c r="A4766" s="955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969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  <c r="R4766" s="2"/>
    </row>
    <row r="4767" spans="1:18" ht="19.5" hidden="1" thickBot="1" x14ac:dyDescent="0.3">
      <c r="A4767" s="957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  <c r="R4767" s="2"/>
    </row>
    <row r="4768" spans="1:18" ht="19.5" hidden="1" thickBot="1" x14ac:dyDescent="0.3">
      <c r="A4768" s="961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  <c r="R4768" s="2"/>
    </row>
    <row r="4769" spans="1:18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  <c r="R4769" s="2"/>
    </row>
    <row r="4770" spans="1:18" ht="19.5" hidden="1" thickBot="1" x14ac:dyDescent="0.3">
      <c r="A4770" s="957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  <c r="R4770" s="2"/>
    </row>
    <row r="4771" spans="1:18" ht="19.5" hidden="1" thickBot="1" x14ac:dyDescent="0.3">
      <c r="A4771" s="961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  <c r="R4771" s="2"/>
    </row>
    <row r="4772" spans="1:18" ht="19.5" hidden="1" thickBot="1" x14ac:dyDescent="0.3">
      <c r="A4772" s="954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  <c r="R4772" s="2"/>
    </row>
    <row r="4773" spans="1:18" ht="19.5" hidden="1" thickBot="1" x14ac:dyDescent="0.3">
      <c r="A4773" s="956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  <c r="R4773" s="2"/>
    </row>
    <row r="4774" spans="1:18" ht="19.5" hidden="1" thickBot="1" x14ac:dyDescent="0.3">
      <c r="A4774" s="957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  <c r="R4774" s="2"/>
    </row>
    <row r="4775" spans="1:18" ht="19.5" hidden="1" thickBot="1" x14ac:dyDescent="0.3">
      <c r="A4775" s="961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  <c r="R4775" s="2"/>
    </row>
    <row r="4776" spans="1:18" ht="28.5" hidden="1" customHeight="1" x14ac:dyDescent="0.25">
      <c r="A4776" s="954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967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  <c r="R4776" s="2"/>
    </row>
    <row r="4777" spans="1:18" ht="28.5" hidden="1" customHeight="1" thickBot="1" x14ac:dyDescent="0.3">
      <c r="A4777" s="956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968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  <c r="R4777" s="2"/>
    </row>
    <row r="4778" spans="1:18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  <c r="R4778" s="2"/>
    </row>
    <row r="4779" spans="1:18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  <c r="R4779" s="2"/>
    </row>
    <row r="4780" spans="1:18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  <c r="R4780" s="2"/>
    </row>
    <row r="4781" spans="1:18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  <c r="R4781" s="2"/>
    </row>
    <row r="4782" spans="1:18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  <c r="R4782" s="2"/>
    </row>
    <row r="4783" spans="1:18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  <c r="R4783" s="2"/>
    </row>
    <row r="4784" spans="1:18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  <c r="R4784" s="2"/>
    </row>
    <row r="4785" spans="1:18" ht="19.5" hidden="1" thickBot="1" x14ac:dyDescent="0.3">
      <c r="A4785" s="954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  <c r="R4785" s="2"/>
    </row>
    <row r="4786" spans="1:18" ht="19.5" hidden="1" thickBot="1" x14ac:dyDescent="0.3">
      <c r="A4786" s="955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  <c r="R4786" s="2"/>
    </row>
    <row r="4787" spans="1:18" ht="19.5" hidden="1" thickBot="1" x14ac:dyDescent="0.3">
      <c r="A4787" s="956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  <c r="R4787" s="2"/>
    </row>
    <row r="4788" spans="1:18" ht="19.5" hidden="1" thickBot="1" x14ac:dyDescent="0.3">
      <c r="A4788" s="957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  <c r="R4788" s="2"/>
    </row>
    <row r="4789" spans="1:18" ht="19.5" hidden="1" thickBot="1" x14ac:dyDescent="0.3">
      <c r="A4789" s="958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  <c r="R4789" s="2"/>
    </row>
    <row r="4790" spans="1:18" ht="19.5" hidden="1" thickBot="1" x14ac:dyDescent="0.3">
      <c r="A4790" s="961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  <c r="R4790" s="2"/>
    </row>
    <row r="4791" spans="1:18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  <c r="R4791" s="2"/>
    </row>
    <row r="4792" spans="1:18" ht="33" hidden="1" customHeight="1" x14ac:dyDescent="0.25">
      <c r="A4792" s="957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970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  <c r="R4792" s="2"/>
    </row>
    <row r="4793" spans="1:18" ht="33" hidden="1" customHeight="1" thickBot="1" x14ac:dyDescent="0.3">
      <c r="A4793" s="961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971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  <c r="R4793" s="2"/>
    </row>
    <row r="4794" spans="1:18" ht="19.5" hidden="1" thickBot="1" x14ac:dyDescent="0.3">
      <c r="A4794" s="954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  <c r="R4794" s="2"/>
    </row>
    <row r="4795" spans="1:18" ht="19.5" hidden="1" thickBot="1" x14ac:dyDescent="0.3">
      <c r="A4795" s="956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  <c r="R4795" s="2"/>
    </row>
    <row r="4796" spans="1:18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  <c r="R4796" s="2"/>
    </row>
    <row r="4797" spans="1:18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  <c r="R4797" s="2"/>
    </row>
    <row r="4798" spans="1:18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  <c r="R4798" s="2"/>
    </row>
    <row r="4799" spans="1:18" ht="19.5" hidden="1" thickBot="1" x14ac:dyDescent="0.3">
      <c r="A4799" s="954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  <c r="R4799" s="2"/>
    </row>
    <row r="4800" spans="1:18" ht="19.5" hidden="1" thickBot="1" x14ac:dyDescent="0.3">
      <c r="A4800" s="955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  <c r="R4800" s="2"/>
    </row>
    <row r="4801" spans="1:18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  <c r="R4801" s="2"/>
    </row>
    <row r="4802" spans="1:18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  <c r="R4802" s="2"/>
    </row>
    <row r="4803" spans="1:18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  <c r="R4803" s="2"/>
    </row>
    <row r="4804" spans="1:18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  <c r="R4804" s="2"/>
    </row>
    <row r="4805" spans="1:18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  <c r="R4805" s="2"/>
    </row>
    <row r="4806" spans="1:18" ht="19.5" hidden="1" thickBot="1" x14ac:dyDescent="0.3">
      <c r="A4806" s="954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  <c r="R4806" s="2"/>
    </row>
    <row r="4807" spans="1:18" ht="19.5" hidden="1" thickBot="1" x14ac:dyDescent="0.3">
      <c r="A4807" s="956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  <c r="R4807" s="2"/>
    </row>
    <row r="4808" spans="1:18" ht="19.5" hidden="1" thickBot="1" x14ac:dyDescent="0.3">
      <c r="A4808" s="957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  <c r="R4808" s="2"/>
    </row>
    <row r="4809" spans="1:18" ht="19.5" hidden="1" thickBot="1" x14ac:dyDescent="0.3">
      <c r="A4809" s="958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  <c r="R4809" s="2"/>
    </row>
    <row r="4810" spans="1:18" ht="19.5" hidden="1" thickBot="1" x14ac:dyDescent="0.3">
      <c r="A4810" s="958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  <c r="R4810" s="2"/>
    </row>
    <row r="4811" spans="1:18" ht="19.5" hidden="1" thickBot="1" x14ac:dyDescent="0.3">
      <c r="A4811" s="958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  <c r="R4811" s="2"/>
    </row>
    <row r="4812" spans="1:18" ht="19.5" hidden="1" thickBot="1" x14ac:dyDescent="0.3">
      <c r="A4812" s="954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  <c r="R4812" s="2"/>
    </row>
    <row r="4813" spans="1:18" ht="19.5" hidden="1" thickBot="1" x14ac:dyDescent="0.3">
      <c r="A4813" s="956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  <c r="R4813" s="2"/>
    </row>
    <row r="4814" spans="1:18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  <c r="R4814" s="2"/>
    </row>
    <row r="4815" spans="1:18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  <c r="R4815" s="2"/>
    </row>
    <row r="4816" spans="1:18" ht="19.5" hidden="1" thickBot="1" x14ac:dyDescent="0.3">
      <c r="A4816" s="957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  <c r="R4816" s="2"/>
    </row>
    <row r="4817" spans="1:18" ht="19.5" hidden="1" thickBot="1" x14ac:dyDescent="0.3">
      <c r="A4817" s="961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  <c r="R4817" s="2"/>
    </row>
    <row r="4818" spans="1:18" ht="19.5" hidden="1" thickBot="1" x14ac:dyDescent="0.3">
      <c r="A4818" s="954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  <c r="R4818" s="2"/>
    </row>
    <row r="4819" spans="1:18" ht="19.5" hidden="1" thickBot="1" x14ac:dyDescent="0.3">
      <c r="A4819" s="956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  <c r="R4819" s="2"/>
    </row>
    <row r="4820" spans="1:18" ht="19.5" hidden="1" thickBot="1" x14ac:dyDescent="0.3">
      <c r="A4820" s="957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970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  <c r="R4820" s="2"/>
    </row>
    <row r="4821" spans="1:18" ht="19.5" hidden="1" thickBot="1" x14ac:dyDescent="0.3">
      <c r="A4821" s="958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973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  <c r="R4821" s="2"/>
    </row>
    <row r="4822" spans="1:18" ht="19.5" hidden="1" thickBot="1" x14ac:dyDescent="0.3">
      <c r="A4822" s="961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971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  <c r="R4822" s="2"/>
    </row>
    <row r="4823" spans="1:18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  <c r="R4823" s="2"/>
    </row>
    <row r="4824" spans="1:18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  <c r="R4824" s="2"/>
    </row>
    <row r="4825" spans="1:18" ht="19.5" hidden="1" thickBot="1" x14ac:dyDescent="0.3">
      <c r="A4825" s="954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  <c r="R4825" s="2"/>
    </row>
    <row r="4826" spans="1:18" ht="57" hidden="1" thickBot="1" x14ac:dyDescent="0.3">
      <c r="A4826" s="956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  <c r="R4826" s="2"/>
    </row>
    <row r="4827" spans="1:18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  <c r="R4827" s="2"/>
    </row>
    <row r="4828" spans="1:18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  <c r="R4828" s="2"/>
    </row>
    <row r="4829" spans="1:18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  <c r="R4829" s="2"/>
    </row>
    <row r="4830" spans="1:18" ht="19.5" hidden="1" thickBot="1" x14ac:dyDescent="0.3">
      <c r="A4830" s="954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967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  <c r="R4830" s="2"/>
    </row>
    <row r="4831" spans="1:18" ht="19.5" hidden="1" thickBot="1" x14ac:dyDescent="0.3">
      <c r="A4831" s="956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968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  <c r="R4831" s="2"/>
    </row>
    <row r="4832" spans="1:18" ht="19.5" hidden="1" thickBot="1" x14ac:dyDescent="0.3">
      <c r="A4832" s="957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  <c r="R4832" s="2"/>
    </row>
    <row r="4833" spans="1:18" ht="19.5" hidden="1" thickBot="1" x14ac:dyDescent="0.3">
      <c r="A4833" s="961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  <c r="R4833" s="2"/>
    </row>
    <row r="4834" spans="1:18" ht="19.5" hidden="1" thickBot="1" x14ac:dyDescent="0.3">
      <c r="A4834" s="954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  <c r="R4834" s="2"/>
    </row>
    <row r="4835" spans="1:18" ht="19.5" hidden="1" thickBot="1" x14ac:dyDescent="0.3">
      <c r="A4835" s="955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  <c r="R4835" s="2"/>
    </row>
    <row r="4836" spans="1:18" ht="19.5" hidden="1" thickBot="1" x14ac:dyDescent="0.3">
      <c r="A4836" s="955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  <c r="R4836" s="2"/>
    </row>
    <row r="4837" spans="1:18" ht="19.5" hidden="1" thickBot="1" x14ac:dyDescent="0.3">
      <c r="A4837" s="956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  <c r="R4837" s="2"/>
    </row>
    <row r="4838" spans="1:18" ht="29.25" hidden="1" customHeight="1" x14ac:dyDescent="0.25">
      <c r="A4838" s="957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970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  <c r="R4838" s="2"/>
    </row>
    <row r="4839" spans="1:18" ht="29.25" hidden="1" customHeight="1" thickBot="1" x14ac:dyDescent="0.3">
      <c r="A4839" s="961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971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  <c r="R4839" s="2"/>
    </row>
    <row r="4840" spans="1:18" ht="19.5" hidden="1" thickBot="1" x14ac:dyDescent="0.3">
      <c r="A4840" s="954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  <c r="R4840" s="2"/>
    </row>
    <row r="4841" spans="1:18" ht="19.5" hidden="1" thickBot="1" x14ac:dyDescent="0.3">
      <c r="A4841" s="956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  <c r="R4841" s="2"/>
    </row>
    <row r="4842" spans="1:18" ht="19.5" hidden="1" thickBot="1" x14ac:dyDescent="0.3">
      <c r="A4842" s="957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  <c r="R4842" s="2"/>
    </row>
    <row r="4843" spans="1:18" ht="19.5" hidden="1" thickBot="1" x14ac:dyDescent="0.3">
      <c r="A4843" s="961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  <c r="R4843" s="2"/>
    </row>
    <row r="4844" spans="1:18" ht="19.5" hidden="1" thickBot="1" x14ac:dyDescent="0.3">
      <c r="A4844" s="954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  <c r="R4844" s="2"/>
    </row>
    <row r="4845" spans="1:18" ht="19.5" hidden="1" thickBot="1" x14ac:dyDescent="0.3">
      <c r="A4845" s="956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  <c r="R4845" s="2"/>
    </row>
    <row r="4846" spans="1:18" ht="19.5" hidden="1" thickBot="1" x14ac:dyDescent="0.3">
      <c r="A4846" s="957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  <c r="R4846" s="2"/>
    </row>
    <row r="4847" spans="1:18" ht="19.5" hidden="1" thickBot="1" x14ac:dyDescent="0.3">
      <c r="A4847" s="958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  <c r="R4847" s="2"/>
    </row>
    <row r="4848" spans="1:18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  <c r="R4848" s="2"/>
    </row>
    <row r="4849" spans="1:18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  <c r="R4849" s="2"/>
    </row>
    <row r="4850" spans="1:18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  <c r="R4850" s="2"/>
    </row>
    <row r="4851" spans="1:18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  <c r="R4851" s="2"/>
    </row>
    <row r="4852" spans="1:18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  <c r="R4852" s="2"/>
    </row>
    <row r="4853" spans="1:18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  <c r="R4853" s="2"/>
    </row>
    <row r="4854" spans="1:18" ht="19.5" hidden="1" thickBot="1" x14ac:dyDescent="0.3">
      <c r="A4854" s="954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967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  <c r="R4854" s="2"/>
    </row>
    <row r="4855" spans="1:18" ht="19.5" hidden="1" thickBot="1" x14ac:dyDescent="0.3">
      <c r="A4855" s="956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968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  <c r="R4855" s="2"/>
    </row>
    <row r="4856" spans="1:18" ht="19.5" hidden="1" thickBot="1" x14ac:dyDescent="0.3">
      <c r="A4856" s="957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  <c r="R4856" s="2"/>
    </row>
    <row r="4857" spans="1:18" ht="19.5" hidden="1" thickBot="1" x14ac:dyDescent="0.3">
      <c r="A4857" s="958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  <c r="R4857" s="2"/>
    </row>
    <row r="4858" spans="1:18" ht="19.5" hidden="1" thickBot="1" x14ac:dyDescent="0.3">
      <c r="A4858" s="958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  <c r="R4858" s="2"/>
    </row>
    <row r="4859" spans="1:18" ht="19.5" hidden="1" thickBot="1" x14ac:dyDescent="0.3">
      <c r="A4859" s="954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  <c r="R4859" s="2"/>
    </row>
    <row r="4860" spans="1:18" ht="19.5" hidden="1" thickBot="1" x14ac:dyDescent="0.3">
      <c r="A4860" s="956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  <c r="R4860" s="2"/>
    </row>
    <row r="4861" spans="1:18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  <c r="R4861" s="2"/>
    </row>
    <row r="4862" spans="1:18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  <c r="R4862" s="2"/>
    </row>
    <row r="4863" spans="1:18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  <c r="R4863" s="2"/>
    </row>
    <row r="4864" spans="1:18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  <c r="R4864" s="2"/>
    </row>
    <row r="4865" spans="1:18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  <c r="R4865" s="2"/>
    </row>
    <row r="4866" spans="1:18" ht="29.25" hidden="1" customHeight="1" x14ac:dyDescent="0.25">
      <c r="A4866" s="954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967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  <c r="R4866" s="2"/>
    </row>
    <row r="4867" spans="1:18" ht="29.25" hidden="1" customHeight="1" thickBot="1" x14ac:dyDescent="0.3">
      <c r="A4867" s="956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968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  <c r="R4867" s="2"/>
    </row>
    <row r="4868" spans="1:18" ht="19.5" hidden="1" thickBot="1" x14ac:dyDescent="0.3">
      <c r="A4868" s="957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  <c r="R4868" s="2"/>
    </row>
    <row r="4869" spans="1:18" ht="19.5" hidden="1" thickBot="1" x14ac:dyDescent="0.3">
      <c r="A4869" s="958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  <c r="R4869" s="2"/>
    </row>
    <row r="4870" spans="1:18" ht="19.5" hidden="1" thickBot="1" x14ac:dyDescent="0.3">
      <c r="A4870" s="958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  <c r="R4870" s="2"/>
    </row>
    <row r="4871" spans="1:18" ht="19.5" hidden="1" thickBot="1" x14ac:dyDescent="0.3">
      <c r="A4871" s="961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  <c r="R4871" s="2"/>
    </row>
    <row r="4872" spans="1:18" ht="19.5" hidden="1" thickBot="1" x14ac:dyDescent="0.3">
      <c r="A4872" s="954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  <c r="R4872" s="2"/>
    </row>
    <row r="4873" spans="1:18" ht="19.5" hidden="1" thickBot="1" x14ac:dyDescent="0.3">
      <c r="A4873" s="956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  <c r="R4873" s="2"/>
    </row>
    <row r="4874" spans="1:18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  <c r="R4874" s="2"/>
    </row>
    <row r="4875" spans="1:18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  <c r="R4875" s="2"/>
    </row>
    <row r="4876" spans="1:18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  <c r="R4876" s="2"/>
    </row>
    <row r="4877" spans="1:18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  <c r="R4877" s="2"/>
    </row>
    <row r="4878" spans="1:18" ht="19.5" hidden="1" thickBot="1" x14ac:dyDescent="0.3">
      <c r="A4878" s="957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  <c r="R4878" s="2"/>
    </row>
    <row r="4879" spans="1:18" ht="19.5" hidden="1" thickBot="1" x14ac:dyDescent="0.3">
      <c r="A4879" s="958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  <c r="R4879" s="2"/>
    </row>
    <row r="4880" spans="1:18" ht="19.5" hidden="1" thickBot="1" x14ac:dyDescent="0.3">
      <c r="A4880" s="961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  <c r="R4880" s="2"/>
    </row>
    <row r="4881" spans="1:18" ht="19.5" hidden="1" thickBot="1" x14ac:dyDescent="0.3">
      <c r="A4881" s="954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  <c r="R4881" s="2"/>
    </row>
    <row r="4882" spans="1:18" ht="19.5" hidden="1" thickBot="1" x14ac:dyDescent="0.3">
      <c r="A4882" s="955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  <c r="R4882" s="2"/>
    </row>
    <row r="4883" spans="1:18" ht="19.5" hidden="1" thickBot="1" x14ac:dyDescent="0.3">
      <c r="A4883" s="955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  <c r="R4883" s="2"/>
    </row>
    <row r="4884" spans="1:18" ht="19.5" hidden="1" thickBot="1" x14ac:dyDescent="0.3">
      <c r="A4884" s="956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  <c r="R4884" s="2"/>
    </row>
    <row r="4885" spans="1:18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  <c r="R4885" s="2"/>
    </row>
    <row r="4886" spans="1:18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  <c r="R4886" s="2"/>
    </row>
    <row r="4887" spans="1:18" ht="19.5" hidden="1" thickBot="1" x14ac:dyDescent="0.3">
      <c r="A4887" s="957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  <c r="R4887" s="2"/>
    </row>
    <row r="4888" spans="1:18" ht="19.5" hidden="1" thickBot="1" x14ac:dyDescent="0.3">
      <c r="A4888" s="961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  <c r="R4888" s="2"/>
    </row>
    <row r="4889" spans="1:18" ht="19.5" hidden="1" thickBot="1" x14ac:dyDescent="0.3">
      <c r="A4889" s="954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  <c r="R4889" s="2"/>
    </row>
    <row r="4890" spans="1:18" ht="19.5" hidden="1" thickBot="1" x14ac:dyDescent="0.3">
      <c r="A4890" s="956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  <c r="R4890" s="2"/>
    </row>
    <row r="4891" spans="1:18" ht="19.5" hidden="1" thickBot="1" x14ac:dyDescent="0.3">
      <c r="A4891" s="957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  <c r="R4891" s="2"/>
    </row>
    <row r="4892" spans="1:18" ht="19.5" hidden="1" thickBot="1" x14ac:dyDescent="0.3">
      <c r="A4892" s="961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  <c r="R4892" s="2"/>
    </row>
    <row r="4893" spans="1:18" ht="29.25" hidden="1" customHeight="1" x14ac:dyDescent="0.25">
      <c r="A4893" s="954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967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  <c r="R4893" s="2"/>
    </row>
    <row r="4894" spans="1:18" ht="29.25" hidden="1" customHeight="1" thickBot="1" x14ac:dyDescent="0.3">
      <c r="A4894" s="956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968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  <c r="R4894" s="2"/>
    </row>
    <row r="4895" spans="1:18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  <c r="R4895" s="2"/>
    </row>
    <row r="4896" spans="1:18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  <c r="R4896" s="2"/>
    </row>
    <row r="4897" spans="1:18" ht="19.5" hidden="1" thickBot="1" x14ac:dyDescent="0.3">
      <c r="A4897" s="957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  <c r="R4897" s="2"/>
    </row>
    <row r="4898" spans="1:18" ht="19.5" hidden="1" thickBot="1" x14ac:dyDescent="0.3">
      <c r="A4898" s="958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  <c r="R4898" s="2"/>
    </row>
    <row r="4899" spans="1:18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  <c r="R4899" s="2"/>
    </row>
    <row r="4900" spans="1:18" ht="19.5" hidden="1" thickBot="1" x14ac:dyDescent="0.3">
      <c r="A4900" s="957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  <c r="R4900" s="2"/>
    </row>
    <row r="4901" spans="1:18" ht="19.5" hidden="1" thickBot="1" x14ac:dyDescent="0.3">
      <c r="A4901" s="958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  <c r="R4901" s="2"/>
    </row>
    <row r="4902" spans="1:18" ht="19.5" hidden="1" thickBot="1" x14ac:dyDescent="0.3">
      <c r="A4902" s="961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  <c r="R4902" s="2"/>
    </row>
    <row r="4903" spans="1:18" ht="30.75" hidden="1" customHeight="1" x14ac:dyDescent="0.25">
      <c r="A4903" s="954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967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  <c r="R4903" s="2"/>
    </row>
    <row r="4904" spans="1:18" ht="30.75" hidden="1" customHeight="1" thickBot="1" x14ac:dyDescent="0.3">
      <c r="A4904" s="955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969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  <c r="R4904" s="2"/>
    </row>
    <row r="4905" spans="1:18" ht="19.5" hidden="1" thickBot="1" x14ac:dyDescent="0.3">
      <c r="A4905" s="957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  <c r="R4905" s="2"/>
    </row>
    <row r="4906" spans="1:18" ht="19.5" hidden="1" thickBot="1" x14ac:dyDescent="0.3">
      <c r="A4906" s="961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  <c r="R4906" s="2"/>
    </row>
    <row r="4907" spans="1:18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  <c r="R4907" s="2"/>
    </row>
    <row r="4908" spans="1:18" ht="19.5" hidden="1" thickBot="1" x14ac:dyDescent="0.3">
      <c r="A4908" s="957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  <c r="R4908" s="2"/>
    </row>
    <row r="4909" spans="1:18" ht="19.5" hidden="1" thickBot="1" x14ac:dyDescent="0.3">
      <c r="A4909" s="958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  <c r="R4909" s="2"/>
    </row>
    <row r="4910" spans="1:18" ht="19.5" hidden="1" thickBot="1" x14ac:dyDescent="0.3">
      <c r="A4910" s="961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  <c r="R4910" s="2"/>
    </row>
    <row r="4911" spans="1:18" ht="19.5" hidden="1" thickBot="1" x14ac:dyDescent="0.3">
      <c r="A4911" s="954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  <c r="R4911" s="2"/>
    </row>
    <row r="4912" spans="1:18" ht="19.5" hidden="1" thickBot="1" x14ac:dyDescent="0.3">
      <c r="A4912" s="955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  <c r="R4912" s="2"/>
    </row>
    <row r="4913" spans="1:18" ht="19.5" hidden="1" thickBot="1" x14ac:dyDescent="0.3">
      <c r="A4913" s="956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  <c r="R4913" s="2"/>
    </row>
    <row r="4914" spans="1:18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  <c r="R4914" s="2"/>
    </row>
    <row r="4915" spans="1:18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  <c r="R4915" s="2"/>
    </row>
    <row r="4916" spans="1:18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  <c r="R4916" s="2"/>
    </row>
    <row r="4917" spans="1:18" ht="19.5" hidden="1" thickBot="1" x14ac:dyDescent="0.3">
      <c r="A4917" s="954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  <c r="R4917" s="2"/>
    </row>
    <row r="4918" spans="1:18" ht="19.5" hidden="1" thickBot="1" x14ac:dyDescent="0.3">
      <c r="A4918" s="956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  <c r="R4918" s="2"/>
    </row>
    <row r="4919" spans="1:18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  <c r="R4919" s="2"/>
    </row>
    <row r="4920" spans="1:18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  <c r="R4920" s="2"/>
    </row>
    <row r="4921" spans="1:18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  <c r="R4921" s="2"/>
    </row>
    <row r="4922" spans="1:18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  <c r="R4922" s="2"/>
    </row>
    <row r="4923" spans="1:18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  <c r="R4923" s="2"/>
    </row>
    <row r="4924" spans="1:18" ht="19.5" hidden="1" thickBot="1" x14ac:dyDescent="0.3">
      <c r="A4924" s="954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  <c r="R4924" s="2"/>
    </row>
    <row r="4925" spans="1:18" ht="19.5" hidden="1" thickBot="1" x14ac:dyDescent="0.3">
      <c r="A4925" s="956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  <c r="R4925" s="2"/>
    </row>
    <row r="4926" spans="1:18" ht="19.5" hidden="1" thickBot="1" x14ac:dyDescent="0.3">
      <c r="A4926" s="957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  <c r="R4926" s="2"/>
    </row>
    <row r="4927" spans="1:18" ht="19.5" hidden="1" thickBot="1" x14ac:dyDescent="0.3">
      <c r="A4927" s="958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  <c r="R4927" s="2"/>
    </row>
    <row r="4928" spans="1:18" ht="19.5" hidden="1" thickBot="1" x14ac:dyDescent="0.3">
      <c r="A4928" s="958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  <c r="R4928" s="2"/>
    </row>
    <row r="4929" spans="1:18" ht="19.5" hidden="1" thickBot="1" x14ac:dyDescent="0.3">
      <c r="A4929" s="961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  <c r="R4929" s="2"/>
    </row>
    <row r="4930" spans="1:18" ht="19.5" hidden="1" thickBot="1" x14ac:dyDescent="0.3">
      <c r="A4930" s="954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967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  <c r="R4930" s="2"/>
    </row>
    <row r="4931" spans="1:18" ht="19.5" hidden="1" thickBot="1" x14ac:dyDescent="0.3">
      <c r="A4931" s="956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968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  <c r="R4931" s="2"/>
    </row>
    <row r="4932" spans="1:18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  <c r="R4932" s="2"/>
    </row>
    <row r="4933" spans="1:18" ht="19.5" hidden="1" thickBot="1" x14ac:dyDescent="0.3">
      <c r="A4933" s="954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  <c r="R4933" s="2"/>
    </row>
    <row r="4934" spans="1:18" ht="19.5" hidden="1" thickBot="1" x14ac:dyDescent="0.3">
      <c r="A4934" s="956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  <c r="R4934" s="2"/>
    </row>
    <row r="4935" spans="1:18" ht="28.5" hidden="1" customHeight="1" x14ac:dyDescent="0.25">
      <c r="A4935" s="957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970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  <c r="R4935" s="2"/>
    </row>
    <row r="4936" spans="1:18" ht="28.5" hidden="1" customHeight="1" thickBot="1" x14ac:dyDescent="0.3">
      <c r="A4936" s="961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971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  <c r="R4936" s="2"/>
    </row>
    <row r="4937" spans="1:18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  <c r="R4937" s="2"/>
    </row>
    <row r="4938" spans="1:18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  <c r="R4938" s="2"/>
    </row>
    <row r="4939" spans="1:18" ht="19.5" hidden="1" thickBot="1" x14ac:dyDescent="0.3">
      <c r="A4939" s="954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  <c r="R4939" s="2"/>
    </row>
    <row r="4940" spans="1:18" ht="19.5" hidden="1" thickBot="1" x14ac:dyDescent="0.3">
      <c r="A4940" s="955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  <c r="R4940" s="2"/>
    </row>
    <row r="4941" spans="1:18" ht="19.5" hidden="1" thickBot="1" x14ac:dyDescent="0.3">
      <c r="A4941" s="955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  <c r="R4941" s="2"/>
    </row>
    <row r="4942" spans="1:18" ht="19.5" hidden="1" thickBot="1" x14ac:dyDescent="0.3">
      <c r="A4942" s="957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  <c r="R4942" s="2"/>
    </row>
    <row r="4943" spans="1:18" ht="19.5" hidden="1" thickBot="1" x14ac:dyDescent="0.3">
      <c r="A4943" s="961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  <c r="R4943" s="2"/>
    </row>
    <row r="4944" spans="1:18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  <c r="R4944" s="2"/>
    </row>
    <row r="4945" spans="1:18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  <c r="R4945" s="2"/>
    </row>
    <row r="4946" spans="1:18" ht="19.5" hidden="1" thickBot="1" x14ac:dyDescent="0.3">
      <c r="A4946" s="954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  <c r="R4946" s="2"/>
    </row>
    <row r="4947" spans="1:18" ht="19.5" hidden="1" thickBot="1" x14ac:dyDescent="0.3">
      <c r="A4947" s="956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  <c r="R4947" s="2"/>
    </row>
    <row r="4948" spans="1:18" ht="19.5" hidden="1" thickBot="1" x14ac:dyDescent="0.3">
      <c r="A4948" s="957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  <c r="R4948" s="2"/>
    </row>
    <row r="4949" spans="1:18" ht="19.5" hidden="1" thickBot="1" x14ac:dyDescent="0.3">
      <c r="A4949" s="961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  <c r="R4949" s="2"/>
    </row>
    <row r="4950" spans="1:18" ht="27.75" hidden="1" customHeight="1" x14ac:dyDescent="0.25">
      <c r="A4950" s="954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967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  <c r="R4950" s="2"/>
    </row>
    <row r="4951" spans="1:18" ht="27.75" hidden="1" customHeight="1" thickBot="1" x14ac:dyDescent="0.3">
      <c r="A4951" s="956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968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  <c r="R4951" s="2"/>
    </row>
    <row r="4952" spans="1:18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  <c r="R4952" s="2"/>
    </row>
    <row r="4953" spans="1:18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  <c r="R4953" s="2"/>
    </row>
    <row r="4954" spans="1:18" ht="19.5" hidden="1" thickBot="1" x14ac:dyDescent="0.3">
      <c r="A4954" s="957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  <c r="R4954" s="2"/>
    </row>
    <row r="4955" spans="1:18" ht="57" hidden="1" thickBot="1" x14ac:dyDescent="0.3">
      <c r="A4955" s="961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  <c r="R4955" s="2"/>
    </row>
    <row r="4956" spans="1:18" ht="19.5" hidden="1" thickBot="1" x14ac:dyDescent="0.3">
      <c r="A4956" s="954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  <c r="R4956" s="2"/>
    </row>
    <row r="4957" spans="1:18" ht="19.5" hidden="1" thickBot="1" x14ac:dyDescent="0.3">
      <c r="A4957" s="956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  <c r="R4957" s="2"/>
    </row>
    <row r="4958" spans="1:18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  <c r="R4958" s="2"/>
    </row>
    <row r="4959" spans="1:18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  <c r="R4959" s="2"/>
    </row>
    <row r="4960" spans="1:18" ht="19.5" hidden="1" thickBot="1" x14ac:dyDescent="0.3">
      <c r="A4960" s="957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970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  <c r="R4960" s="2"/>
    </row>
    <row r="4961" spans="1:18" ht="19.5" hidden="1" thickBot="1" x14ac:dyDescent="0.3">
      <c r="A4961" s="961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971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  <c r="R4961" s="2"/>
    </row>
    <row r="4962" spans="1:18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  <c r="R4962" s="2"/>
    </row>
    <row r="4963" spans="1:18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  <c r="R4963" s="2"/>
    </row>
    <row r="4964" spans="1:18" ht="19.5" hidden="1" thickBot="1" x14ac:dyDescent="0.3">
      <c r="A4964" s="954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  <c r="R4964" s="2"/>
    </row>
    <row r="4965" spans="1:18" ht="19.5" hidden="1" thickBot="1" x14ac:dyDescent="0.3">
      <c r="A4965" s="956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  <c r="R4965" s="2"/>
    </row>
    <row r="4966" spans="1:18" ht="19.5" hidden="1" thickBot="1" x14ac:dyDescent="0.3">
      <c r="A4966" s="957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  <c r="R4966" s="2"/>
    </row>
    <row r="4967" spans="1:18" ht="19.5" hidden="1" thickBot="1" x14ac:dyDescent="0.3">
      <c r="A4967" s="958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  <c r="R4967" s="2"/>
    </row>
    <row r="4968" spans="1:18" ht="19.5" hidden="1" thickBot="1" x14ac:dyDescent="0.3">
      <c r="A4968" s="961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  <c r="R4968" s="2"/>
    </row>
    <row r="4969" spans="1:18" ht="19.5" hidden="1" thickBot="1" x14ac:dyDescent="0.3">
      <c r="A4969" s="954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  <c r="R4969" s="2"/>
    </row>
    <row r="4970" spans="1:18" ht="19.5" hidden="1" thickBot="1" x14ac:dyDescent="0.3">
      <c r="A4970" s="956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  <c r="R4970" s="2"/>
    </row>
    <row r="4971" spans="1:18" ht="19.5" hidden="1" thickBot="1" x14ac:dyDescent="0.3">
      <c r="A4971" s="957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  <c r="R4971" s="2"/>
    </row>
    <row r="4972" spans="1:18" ht="19.5" hidden="1" thickBot="1" x14ac:dyDescent="0.3">
      <c r="A4972" s="958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  <c r="R4972" s="2"/>
    </row>
    <row r="4973" spans="1:18" ht="19.5" hidden="1" thickBot="1" x14ac:dyDescent="0.3">
      <c r="A4973" s="961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  <c r="R4973" s="2"/>
    </row>
    <row r="4974" spans="1:18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  <c r="R4974" s="2"/>
    </row>
    <row r="4975" spans="1:18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  <c r="R4975" s="2"/>
    </row>
    <row r="4976" spans="1:18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  <c r="R4976" s="2"/>
    </row>
    <row r="4977" spans="1:18" ht="19.5" hidden="1" thickBot="1" x14ac:dyDescent="0.3">
      <c r="A4977" s="957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970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  <c r="R4977" s="2"/>
    </row>
    <row r="4978" spans="1:18" ht="19.5" hidden="1" thickBot="1" x14ac:dyDescent="0.3">
      <c r="A4978" s="961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971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  <c r="R4978" s="2"/>
    </row>
    <row r="4979" spans="1:18" ht="19.5" hidden="1" thickBot="1" x14ac:dyDescent="0.3">
      <c r="A4979" s="954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  <c r="R4979" s="2"/>
    </row>
    <row r="4980" spans="1:18" ht="19.5" hidden="1" thickBot="1" x14ac:dyDescent="0.3">
      <c r="A4980" s="955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  <c r="R4980" s="2"/>
    </row>
    <row r="4981" spans="1:18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  <c r="R4981" s="2"/>
    </row>
    <row r="4982" spans="1:18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  <c r="R4982" s="2"/>
    </row>
    <row r="4983" spans="1:18" ht="19.5" hidden="1" thickBot="1" x14ac:dyDescent="0.3">
      <c r="A4983" s="957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  <c r="R4983" s="2"/>
    </row>
    <row r="4984" spans="1:18" ht="19.5" hidden="1" thickBot="1" x14ac:dyDescent="0.3">
      <c r="A4984" s="958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  <c r="R4984" s="2"/>
    </row>
    <row r="4985" spans="1:18" ht="19.5" hidden="1" thickBot="1" x14ac:dyDescent="0.3">
      <c r="A4985" s="958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  <c r="R4985" s="2"/>
    </row>
    <row r="4986" spans="1:18" ht="19.5" hidden="1" thickBot="1" x14ac:dyDescent="0.3">
      <c r="A4986" s="954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  <c r="R4986" s="2"/>
    </row>
    <row r="4987" spans="1:18" ht="19.5" hidden="1" thickBot="1" x14ac:dyDescent="0.3">
      <c r="A4987" s="956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  <c r="R4987" s="2"/>
    </row>
    <row r="4988" spans="1:18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  <c r="R4988" s="2"/>
    </row>
    <row r="4989" spans="1:18" ht="19.5" hidden="1" thickBot="1" x14ac:dyDescent="0.3">
      <c r="A4989" s="954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  <c r="R4989" s="2"/>
    </row>
    <row r="4990" spans="1:18" ht="19.5" hidden="1" thickBot="1" x14ac:dyDescent="0.3">
      <c r="A4990" s="955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  <c r="R4990" s="2"/>
    </row>
    <row r="4991" spans="1:18" ht="19.5" hidden="1" thickBot="1" x14ac:dyDescent="0.3">
      <c r="A4991" s="956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  <c r="R4991" s="2"/>
    </row>
    <row r="4992" spans="1:18" ht="19.5" hidden="1" thickBot="1" x14ac:dyDescent="0.3">
      <c r="A4992" s="957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  <c r="R4992" s="2"/>
    </row>
    <row r="4993" spans="1:18" ht="19.5" hidden="1" thickBot="1" x14ac:dyDescent="0.3">
      <c r="A4993" s="958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  <c r="R4993" s="2"/>
    </row>
    <row r="4994" spans="1:18" ht="19.5" hidden="1" thickBot="1" x14ac:dyDescent="0.3">
      <c r="A4994" s="961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  <c r="R4994" s="2"/>
    </row>
    <row r="4995" spans="1:18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  <c r="R4995" s="2"/>
    </row>
    <row r="4996" spans="1:18" ht="28.5" hidden="1" customHeight="1" x14ac:dyDescent="0.25">
      <c r="A4996" s="957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970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  <c r="R4996" s="2"/>
    </row>
    <row r="4997" spans="1:18" ht="28.5" hidden="1" customHeight="1" thickBot="1" x14ac:dyDescent="0.3">
      <c r="A4997" s="961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971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  <c r="R4997" s="2"/>
    </row>
    <row r="4998" spans="1:18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  <c r="R4998" s="2"/>
    </row>
    <row r="4999" spans="1:18" ht="19.5" hidden="1" thickBot="1" x14ac:dyDescent="0.3">
      <c r="A4999" s="957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970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  <c r="R4999" s="2"/>
    </row>
    <row r="5000" spans="1:18" ht="19.5" hidden="1" thickBot="1" x14ac:dyDescent="0.3">
      <c r="A5000" s="961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971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  <c r="R5000" s="2"/>
    </row>
    <row r="5001" spans="1:18" ht="19.5" hidden="1" thickBot="1" x14ac:dyDescent="0.3">
      <c r="A5001" s="954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  <c r="R5001" s="2"/>
    </row>
    <row r="5002" spans="1:18" ht="19.5" hidden="1" thickBot="1" x14ac:dyDescent="0.3">
      <c r="A5002" s="955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  <c r="R5002" s="2"/>
    </row>
    <row r="5003" spans="1:18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  <c r="R5003" s="2"/>
    </row>
    <row r="5004" spans="1:18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  <c r="R5004" s="2"/>
    </row>
    <row r="5005" spans="1:18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  <c r="R5005" s="2"/>
    </row>
    <row r="5006" spans="1:18" ht="19.5" hidden="1" thickBot="1" x14ac:dyDescent="0.3">
      <c r="A5006" s="954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  <c r="R5006" s="2"/>
    </row>
    <row r="5007" spans="1:18" ht="19.5" hidden="1" thickBot="1" x14ac:dyDescent="0.3">
      <c r="A5007" s="955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  <c r="R5007" s="2"/>
    </row>
    <row r="5008" spans="1:18" ht="19.5" hidden="1" thickBot="1" x14ac:dyDescent="0.3">
      <c r="A5008" s="956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  <c r="R5008" s="2"/>
    </row>
    <row r="5009" spans="1:18" ht="19.5" hidden="1" thickBot="1" x14ac:dyDescent="0.3">
      <c r="A5009" s="957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  <c r="R5009" s="2"/>
    </row>
    <row r="5010" spans="1:18" ht="19.5" hidden="1" thickBot="1" x14ac:dyDescent="0.3">
      <c r="A5010" s="958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  <c r="R5010" s="2"/>
    </row>
    <row r="5011" spans="1:18" ht="19.5" hidden="1" thickBot="1" x14ac:dyDescent="0.3">
      <c r="A5011" s="961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  <c r="R5011" s="2"/>
    </row>
    <row r="5012" spans="1:18" ht="19.5" hidden="1" thickBot="1" x14ac:dyDescent="0.3">
      <c r="A5012" s="954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  <c r="R5012" s="2"/>
    </row>
    <row r="5013" spans="1:18" ht="19.5" hidden="1" thickBot="1" x14ac:dyDescent="0.3">
      <c r="A5013" s="956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  <c r="R5013" s="2"/>
    </row>
    <row r="5014" spans="1:18" ht="19.5" hidden="1" thickBot="1" x14ac:dyDescent="0.3">
      <c r="A5014" s="957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  <c r="R5014" s="2"/>
    </row>
    <row r="5015" spans="1:18" ht="19.5" hidden="1" thickBot="1" x14ac:dyDescent="0.3">
      <c r="A5015" s="961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  <c r="R5015" s="2"/>
    </row>
    <row r="5016" spans="1:18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  <c r="R5016" s="2"/>
    </row>
    <row r="5017" spans="1:18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  <c r="R5017" s="2"/>
    </row>
    <row r="5018" spans="1:18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  <c r="R5018" s="2"/>
    </row>
    <row r="5019" spans="1:18" ht="18.75" hidden="1" customHeight="1" x14ac:dyDescent="0.25">
      <c r="A5019" s="957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970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  <c r="R5019" s="2"/>
    </row>
    <row r="5020" spans="1:18" ht="19.5" hidden="1" thickBot="1" x14ac:dyDescent="0.3">
      <c r="A5020" s="961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971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  <c r="R5020" s="2"/>
    </row>
    <row r="5021" spans="1:18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  <c r="R5021" s="2"/>
    </row>
    <row r="5022" spans="1:18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  <c r="R5022" s="2"/>
    </row>
    <row r="5023" spans="1:18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  <c r="R5023" s="2"/>
    </row>
    <row r="5024" spans="1:18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  <c r="R5024" s="2"/>
    </row>
    <row r="5025" spans="1:18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  <c r="R5025" s="2"/>
    </row>
    <row r="5026" spans="1:18" ht="19.5" hidden="1" thickBot="1" x14ac:dyDescent="0.3">
      <c r="A5026" s="957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  <c r="R5026" s="2"/>
    </row>
    <row r="5027" spans="1:18" ht="19.5" hidden="1" thickBot="1" x14ac:dyDescent="0.3">
      <c r="A5027" s="958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  <c r="R5027" s="2"/>
    </row>
    <row r="5028" spans="1:18" ht="19.5" hidden="1" thickBot="1" x14ac:dyDescent="0.3">
      <c r="A5028" s="958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  <c r="R5028" s="2"/>
    </row>
    <row r="5029" spans="1:18" ht="19.5" hidden="1" thickBot="1" x14ac:dyDescent="0.3">
      <c r="A5029" s="954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  <c r="R5029" s="2"/>
    </row>
    <row r="5030" spans="1:18" ht="19.5" hidden="1" thickBot="1" x14ac:dyDescent="0.3">
      <c r="A5030" s="956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  <c r="R5030" s="2"/>
    </row>
    <row r="5031" spans="1:18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  <c r="R5031" s="2"/>
    </row>
    <row r="5032" spans="1:18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  <c r="R5032" s="2"/>
    </row>
    <row r="5033" spans="1:18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  <c r="R5033" s="2"/>
    </row>
    <row r="5034" spans="1:18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  <c r="R5034" s="2"/>
    </row>
    <row r="5035" spans="1:18" ht="27.75" hidden="1" customHeight="1" x14ac:dyDescent="0.25">
      <c r="A5035" s="957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970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  <c r="R5035" s="2"/>
    </row>
    <row r="5036" spans="1:18" ht="27.75" hidden="1" customHeight="1" thickBot="1" x14ac:dyDescent="0.3">
      <c r="A5036" s="961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971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  <c r="R5036" s="2"/>
    </row>
    <row r="5037" spans="1:18" ht="19.5" hidden="1" thickBot="1" x14ac:dyDescent="0.3">
      <c r="A5037" s="954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  <c r="R5037" s="2"/>
    </row>
    <row r="5038" spans="1:18" ht="19.5" hidden="1" thickBot="1" x14ac:dyDescent="0.3">
      <c r="A5038" s="956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  <c r="R5038" s="2"/>
    </row>
    <row r="5039" spans="1:18" ht="19.5" hidden="1" thickBot="1" x14ac:dyDescent="0.3">
      <c r="A5039" s="957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  <c r="R5039" s="2"/>
    </row>
    <row r="5040" spans="1:18" ht="19.5" hidden="1" thickBot="1" x14ac:dyDescent="0.3">
      <c r="A5040" s="958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  <c r="R5040" s="2"/>
    </row>
    <row r="5041" spans="1:18" ht="19.5" hidden="1" thickBot="1" x14ac:dyDescent="0.3">
      <c r="A5041" s="961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  <c r="R5041" s="2"/>
    </row>
    <row r="5042" spans="1:18" ht="19.5" hidden="1" thickBot="1" x14ac:dyDescent="0.3">
      <c r="A5042" s="954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967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  <c r="R5042" s="2"/>
    </row>
    <row r="5043" spans="1:18" ht="19.5" hidden="1" thickBot="1" x14ac:dyDescent="0.3">
      <c r="A5043" s="955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969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  <c r="R5043" s="2"/>
    </row>
    <row r="5044" spans="1:18" ht="19.5" hidden="1" thickBot="1" x14ac:dyDescent="0.3">
      <c r="A5044" s="955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969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  <c r="R5044" s="2"/>
    </row>
    <row r="5045" spans="1:18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  <c r="R5045" s="2"/>
    </row>
    <row r="5046" spans="1:18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  <c r="R5046" s="2"/>
    </row>
    <row r="5047" spans="1:18" ht="19.5" hidden="1" thickBot="1" x14ac:dyDescent="0.3">
      <c r="A5047" s="957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970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  <c r="R5047" s="2"/>
    </row>
    <row r="5048" spans="1:18" ht="19.5" hidden="1" thickBot="1" x14ac:dyDescent="0.3">
      <c r="A5048" s="961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971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  <c r="R5048" s="2"/>
    </row>
    <row r="5049" spans="1:18" ht="19.5" hidden="1" thickBot="1" x14ac:dyDescent="0.3">
      <c r="A5049" s="955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  <c r="R5049" s="2"/>
    </row>
    <row r="5050" spans="1:18" ht="19.5" hidden="1" thickBot="1" x14ac:dyDescent="0.3">
      <c r="A5050" s="955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  <c r="R5050" s="2"/>
    </row>
    <row r="5051" spans="1:18" ht="19.5" hidden="1" thickBot="1" x14ac:dyDescent="0.3">
      <c r="A5051" s="955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  <c r="R5051" s="2"/>
    </row>
    <row r="5052" spans="1:18" ht="19.5" hidden="1" thickBot="1" x14ac:dyDescent="0.3">
      <c r="A5052" s="955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  <c r="R5052" s="2"/>
    </row>
    <row r="5053" spans="1:18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  <c r="R5053" s="2"/>
    </row>
    <row r="5054" spans="1:18" ht="19.5" hidden="1" thickBot="1" x14ac:dyDescent="0.3">
      <c r="A5054" s="955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  <c r="R5054" s="2"/>
    </row>
    <row r="5055" spans="1:18" ht="19.5" hidden="1" thickBot="1" x14ac:dyDescent="0.3">
      <c r="A5055" s="955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  <c r="R5055" s="2"/>
    </row>
    <row r="5056" spans="1:18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  <c r="R5056" s="2"/>
    </row>
    <row r="5057" spans="1:18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  <c r="R5057" s="2"/>
    </row>
    <row r="5058" spans="1:18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  <c r="R5058" s="2"/>
    </row>
    <row r="5059" spans="1:18" ht="19.5" hidden="1" thickBot="1" x14ac:dyDescent="0.3">
      <c r="A5059" s="954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  <c r="R5059" s="2"/>
    </row>
    <row r="5060" spans="1:18" ht="19.5" hidden="1" thickBot="1" x14ac:dyDescent="0.3">
      <c r="A5060" s="955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  <c r="R5060" s="2"/>
    </row>
    <row r="5061" spans="1:18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  <c r="R5061" s="2"/>
    </row>
    <row r="5062" spans="1:18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  <c r="R5062" s="2"/>
    </row>
    <row r="5063" spans="1:18" ht="19.5" hidden="1" thickBot="1" x14ac:dyDescent="0.3">
      <c r="A5063" s="957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  <c r="R5063" s="2"/>
    </row>
    <row r="5064" spans="1:18" ht="19.5" hidden="1" thickBot="1" x14ac:dyDescent="0.3">
      <c r="A5064" s="961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  <c r="R5064" s="2"/>
    </row>
    <row r="5065" spans="1:18" ht="19.5" hidden="1" thickBot="1" x14ac:dyDescent="0.3">
      <c r="A5065" s="954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967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  <c r="R5065" s="2"/>
    </row>
    <row r="5066" spans="1:18" ht="19.5" hidden="1" thickBot="1" x14ac:dyDescent="0.3">
      <c r="A5066" s="955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976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  <c r="R5066" s="2"/>
    </row>
    <row r="5067" spans="1:18" ht="19.5" hidden="1" thickBot="1" x14ac:dyDescent="0.3">
      <c r="A5067" s="955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  <c r="R5067" s="2"/>
    </row>
    <row r="5068" spans="1:18" ht="19.5" hidden="1" thickBot="1" x14ac:dyDescent="0.3">
      <c r="A5068" s="955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  <c r="R5068" s="2"/>
    </row>
    <row r="5069" spans="1:18" ht="19.5" hidden="1" thickBot="1" x14ac:dyDescent="0.3">
      <c r="A5069" s="955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  <c r="R5069" s="2"/>
    </row>
    <row r="5070" spans="1:18" ht="38.25" hidden="1" thickBot="1" x14ac:dyDescent="0.3">
      <c r="A5070" s="957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  <c r="R5070" s="2"/>
    </row>
    <row r="5071" spans="1:18" ht="19.5" hidden="1" thickBot="1" x14ac:dyDescent="0.3">
      <c r="A5071" s="961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  <c r="R5071" s="2"/>
    </row>
    <row r="5072" spans="1:18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  <c r="R5072" s="2"/>
    </row>
    <row r="5073" spans="1:18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  <c r="R5073" s="2"/>
    </row>
    <row r="5074" spans="1:18" ht="19.5" hidden="1" thickBot="1" x14ac:dyDescent="0.3">
      <c r="A5074" s="954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  <c r="R5074" s="2"/>
    </row>
    <row r="5075" spans="1:18" ht="19.5" hidden="1" thickBot="1" x14ac:dyDescent="0.3">
      <c r="A5075" s="955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  <c r="R5075" s="2"/>
    </row>
    <row r="5076" spans="1:18" ht="19.5" hidden="1" thickBot="1" x14ac:dyDescent="0.3">
      <c r="A5076" s="956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  <c r="R5076" s="2"/>
    </row>
    <row r="5077" spans="1:18" ht="19.5" hidden="1" thickBot="1" x14ac:dyDescent="0.3">
      <c r="A5077" s="957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  <c r="R5077" s="2"/>
    </row>
    <row r="5078" spans="1:18" ht="19.5" hidden="1" thickBot="1" x14ac:dyDescent="0.3">
      <c r="A5078" s="961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  <c r="R5078" s="2"/>
    </row>
    <row r="5079" spans="1:18" ht="19.5" hidden="1" thickBot="1" x14ac:dyDescent="0.3">
      <c r="A5079" s="954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  <c r="R5079" s="2"/>
    </row>
    <row r="5080" spans="1:18" ht="19.5" hidden="1" thickBot="1" x14ac:dyDescent="0.3">
      <c r="A5080" s="956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  <c r="R5080" s="2"/>
    </row>
    <row r="5081" spans="1:18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  <c r="R5081" s="2"/>
    </row>
    <row r="5082" spans="1:18" ht="57" hidden="1" thickBot="1" x14ac:dyDescent="0.3">
      <c r="A5082" s="954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  <c r="R5082" s="2"/>
    </row>
    <row r="5083" spans="1:18" ht="19.5" hidden="1" thickBot="1" x14ac:dyDescent="0.3">
      <c r="A5083" s="956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  <c r="R5083" s="2"/>
    </row>
    <row r="5084" spans="1:18" ht="19.5" hidden="1" thickBot="1" x14ac:dyDescent="0.3">
      <c r="A5084" s="957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970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  <c r="R5084" s="2"/>
    </row>
    <row r="5085" spans="1:18" ht="19.5" hidden="1" thickBot="1" x14ac:dyDescent="0.3">
      <c r="A5085" s="958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973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  <c r="R5085" s="2"/>
    </row>
    <row r="5086" spans="1:18" ht="19.5" hidden="1" thickBot="1" x14ac:dyDescent="0.3">
      <c r="A5086" s="961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971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  <c r="R5086" s="2"/>
    </row>
    <row r="5087" spans="1:18" ht="19.5" hidden="1" thickBot="1" x14ac:dyDescent="0.3">
      <c r="A5087" s="954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  <c r="R5087" s="2"/>
    </row>
    <row r="5088" spans="1:18" ht="19.5" hidden="1" thickBot="1" x14ac:dyDescent="0.3">
      <c r="A5088" s="955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  <c r="R5088" s="2"/>
    </row>
    <row r="5089" spans="1:18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  <c r="R5089" s="2"/>
    </row>
    <row r="5090" spans="1:18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  <c r="R5090" s="2"/>
    </row>
    <row r="5091" spans="1:18" ht="19.5" hidden="1" thickBot="1" x14ac:dyDescent="0.3">
      <c r="A5091" s="957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970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  <c r="R5091" s="2"/>
    </row>
    <row r="5092" spans="1:18" ht="19.5" hidden="1" thickBot="1" x14ac:dyDescent="0.3">
      <c r="A5092" s="961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971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  <c r="R5092" s="2"/>
    </row>
    <row r="5093" spans="1:18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  <c r="R5093" s="2"/>
    </row>
    <row r="5094" spans="1:18" ht="19.5" hidden="1" thickBot="1" x14ac:dyDescent="0.3">
      <c r="A5094" s="957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  <c r="R5094" s="2"/>
    </row>
    <row r="5095" spans="1:18" ht="19.5" hidden="1" thickBot="1" x14ac:dyDescent="0.3">
      <c r="A5095" s="958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  <c r="R5095" s="2"/>
    </row>
    <row r="5096" spans="1:18" ht="19.5" hidden="1" thickBot="1" x14ac:dyDescent="0.3">
      <c r="A5096" s="958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  <c r="R5096" s="2"/>
    </row>
    <row r="5097" spans="1:18" ht="38.25" hidden="1" thickBot="1" x14ac:dyDescent="0.3">
      <c r="A5097" s="961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  <c r="R5097" s="2"/>
    </row>
    <row r="5098" spans="1:18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  <c r="R5098" s="2"/>
    </row>
    <row r="5099" spans="1:18" ht="19.5" hidden="1" thickBot="1" x14ac:dyDescent="0.3">
      <c r="A5099" s="957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  <c r="R5099" s="2"/>
    </row>
    <row r="5100" spans="1:18" ht="19.5" hidden="1" thickBot="1" x14ac:dyDescent="0.3">
      <c r="A5100" s="958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  <c r="R5100" s="2"/>
    </row>
    <row r="5101" spans="1:18" ht="19.5" hidden="1" thickBot="1" x14ac:dyDescent="0.3">
      <c r="A5101" s="961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  <c r="R5101" s="2"/>
    </row>
    <row r="5102" spans="1:18" ht="19.5" hidden="1" thickBot="1" x14ac:dyDescent="0.3">
      <c r="A5102" s="954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  <c r="R5102" s="2"/>
    </row>
    <row r="5103" spans="1:18" ht="19.5" hidden="1" thickBot="1" x14ac:dyDescent="0.3">
      <c r="A5103" s="955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  <c r="R5103" s="2"/>
    </row>
    <row r="5104" spans="1:18" ht="19.5" hidden="1" thickBot="1" x14ac:dyDescent="0.3">
      <c r="A5104" s="956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  <c r="R5104" s="2"/>
    </row>
    <row r="5105" spans="1:18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  <c r="R5105" s="2"/>
    </row>
    <row r="5106" spans="1:18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  <c r="R5106" s="2"/>
    </row>
    <row r="5107" spans="1:18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  <c r="R5107" s="2"/>
    </row>
    <row r="5108" spans="1:18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  <c r="R5108" s="2"/>
    </row>
    <row r="5109" spans="1:18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  <c r="R5109" s="2"/>
    </row>
    <row r="5110" spans="1:18" ht="19.5" hidden="1" thickBot="1" x14ac:dyDescent="0.3">
      <c r="A5110" s="954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967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  <c r="R5110" s="2"/>
    </row>
    <row r="5111" spans="1:18" ht="19.5" hidden="1" thickBot="1" x14ac:dyDescent="0.3">
      <c r="A5111" s="955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969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  <c r="R5111" s="2"/>
    </row>
    <row r="5112" spans="1:18" ht="19.5" hidden="1" thickBot="1" x14ac:dyDescent="0.3">
      <c r="A5112" s="955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969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  <c r="R5112" s="2"/>
    </row>
    <row r="5113" spans="1:18" ht="19.5" hidden="1" thickBot="1" x14ac:dyDescent="0.3">
      <c r="A5113" s="955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969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  <c r="R5113" s="2"/>
    </row>
    <row r="5114" spans="1:18" ht="19.5" hidden="1" thickBot="1" x14ac:dyDescent="0.3">
      <c r="A5114" s="957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  <c r="R5114" s="2"/>
    </row>
    <row r="5115" spans="1:18" ht="19.5" hidden="1" thickBot="1" x14ac:dyDescent="0.3">
      <c r="A5115" s="961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  <c r="R5115" s="2"/>
    </row>
    <row r="5116" spans="1:18" ht="19.5" hidden="1" thickBot="1" x14ac:dyDescent="0.3">
      <c r="A5116" s="954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967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  <c r="R5116" s="2"/>
    </row>
    <row r="5117" spans="1:18" ht="19.5" hidden="1" thickBot="1" x14ac:dyDescent="0.3">
      <c r="A5117" s="956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968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  <c r="R5117" s="2"/>
    </row>
    <row r="5118" spans="1:18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  <c r="R5118" s="2"/>
    </row>
    <row r="5119" spans="1:18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  <c r="R5119" s="2"/>
    </row>
    <row r="5120" spans="1:18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  <c r="R5120" s="2"/>
    </row>
    <row r="5121" spans="1:18" ht="19.5" hidden="1" thickBot="1" x14ac:dyDescent="0.3">
      <c r="A5121" s="954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  <c r="R5121" s="2"/>
    </row>
    <row r="5122" spans="1:18" ht="19.5" hidden="1" thickBot="1" x14ac:dyDescent="0.3">
      <c r="A5122" s="956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  <c r="R5122" s="2"/>
    </row>
    <row r="5123" spans="1:18" ht="19.5" hidden="1" thickBot="1" x14ac:dyDescent="0.3">
      <c r="A5123" s="957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  <c r="R5123" s="2"/>
    </row>
    <row r="5124" spans="1:18" ht="19.5" hidden="1" thickBot="1" x14ac:dyDescent="0.3">
      <c r="A5124" s="958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  <c r="R5124" s="2"/>
    </row>
    <row r="5125" spans="1:18" ht="19.5" hidden="1" thickBot="1" x14ac:dyDescent="0.3">
      <c r="A5125" s="961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  <c r="R5125" s="2"/>
    </row>
    <row r="5126" spans="1:18" ht="19.5" hidden="1" thickBot="1" x14ac:dyDescent="0.3">
      <c r="A5126" s="954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967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  <c r="R5126" s="2"/>
    </row>
    <row r="5127" spans="1:18" ht="19.5" hidden="1" thickBot="1" x14ac:dyDescent="0.3">
      <c r="A5127" s="956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968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  <c r="R5127" s="2"/>
    </row>
    <row r="5128" spans="1:18" ht="19.5" hidden="1" thickBot="1" x14ac:dyDescent="0.3">
      <c r="A5128" s="957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  <c r="R5128" s="2"/>
    </row>
    <row r="5129" spans="1:18" ht="19.5" hidden="1" thickBot="1" x14ac:dyDescent="0.3">
      <c r="A5129" s="958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  <c r="R5129" s="2"/>
    </row>
    <row r="5130" spans="1:18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  <c r="R5130" s="2"/>
    </row>
    <row r="5131" spans="1:18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  <c r="R5131" s="2"/>
    </row>
    <row r="5132" spans="1:18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  <c r="R5132" s="2"/>
    </row>
    <row r="5133" spans="1:18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  <c r="R5133" s="2"/>
    </row>
    <row r="5134" spans="1:18" ht="19.5" hidden="1" thickBot="1" x14ac:dyDescent="0.3">
      <c r="A5134" s="954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  <c r="R5134" s="2"/>
    </row>
    <row r="5135" spans="1:18" ht="19.5" hidden="1" thickBot="1" x14ac:dyDescent="0.3">
      <c r="A5135" s="955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  <c r="R5135" s="2"/>
    </row>
    <row r="5136" spans="1:18" ht="19.5" hidden="1" thickBot="1" x14ac:dyDescent="0.3">
      <c r="A5136" s="955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  <c r="R5136" s="2"/>
    </row>
    <row r="5137" spans="1:18" ht="19.5" hidden="1" thickBot="1" x14ac:dyDescent="0.3">
      <c r="A5137" s="956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  <c r="R5137" s="2"/>
    </row>
    <row r="5138" spans="1:18" ht="19.5" hidden="1" thickBot="1" x14ac:dyDescent="0.3">
      <c r="A5138" s="957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  <c r="R5138" s="2"/>
    </row>
    <row r="5139" spans="1:18" ht="19.5" hidden="1" thickBot="1" x14ac:dyDescent="0.3">
      <c r="A5139" s="961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  <c r="R5139" s="2"/>
    </row>
    <row r="5140" spans="1:18" ht="27.75" hidden="1" customHeight="1" x14ac:dyDescent="0.25">
      <c r="A5140" s="954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967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  <c r="R5140" s="2"/>
    </row>
    <row r="5141" spans="1:18" ht="27.75" hidden="1" customHeight="1" thickBot="1" x14ac:dyDescent="0.3">
      <c r="A5141" s="956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968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  <c r="R5141" s="2"/>
    </row>
    <row r="5142" spans="1:18" ht="19.5" hidden="1" thickBot="1" x14ac:dyDescent="0.3">
      <c r="A5142" s="957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  <c r="R5142" s="2"/>
    </row>
    <row r="5143" spans="1:18" ht="19.5" hidden="1" thickBot="1" x14ac:dyDescent="0.3">
      <c r="A5143" s="958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  <c r="R5143" s="2"/>
    </row>
    <row r="5144" spans="1:18" ht="19.5" hidden="1" thickBot="1" x14ac:dyDescent="0.3">
      <c r="A5144" s="961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  <c r="R5144" s="2"/>
    </row>
    <row r="5145" spans="1:18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  <c r="R5145" s="2"/>
    </row>
    <row r="5146" spans="1:18" ht="19.5" hidden="1" thickBot="1" x14ac:dyDescent="0.3">
      <c r="A5146" s="957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  <c r="R5146" s="2"/>
    </row>
    <row r="5147" spans="1:18" ht="19.5" hidden="1" thickBot="1" x14ac:dyDescent="0.3">
      <c r="A5147" s="958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  <c r="R5147" s="2"/>
    </row>
    <row r="5148" spans="1:18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  <c r="R5148" s="2"/>
    </row>
    <row r="5149" spans="1:18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  <c r="R5149" s="2"/>
    </row>
    <row r="5150" spans="1:18" ht="19.5" hidden="1" thickBot="1" x14ac:dyDescent="0.3">
      <c r="A5150" s="954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  <c r="R5150" s="2"/>
    </row>
    <row r="5151" spans="1:18" ht="19.5" hidden="1" thickBot="1" x14ac:dyDescent="0.3">
      <c r="A5151" s="955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  <c r="R5151" s="2"/>
    </row>
    <row r="5152" spans="1:18" ht="19.5" hidden="1" thickBot="1" x14ac:dyDescent="0.3">
      <c r="A5152" s="955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  <c r="R5152" s="2"/>
    </row>
    <row r="5153" spans="1:18" ht="19.5" hidden="1" thickBot="1" x14ac:dyDescent="0.3">
      <c r="A5153" s="957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  <c r="R5153" s="2"/>
    </row>
    <row r="5154" spans="1:18" ht="19.5" hidden="1" thickBot="1" x14ac:dyDescent="0.3">
      <c r="A5154" s="961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  <c r="R5154" s="2"/>
    </row>
    <row r="5155" spans="1:18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  <c r="R5155" s="2"/>
    </row>
    <row r="5156" spans="1:18" ht="19.5" hidden="1" thickBot="1" x14ac:dyDescent="0.3">
      <c r="A5156" s="957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  <c r="R5156" s="2"/>
    </row>
    <row r="5157" spans="1:18" ht="19.5" hidden="1" thickBot="1" x14ac:dyDescent="0.3">
      <c r="A5157" s="958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  <c r="R5157" s="2"/>
    </row>
    <row r="5158" spans="1:18" ht="19.5" hidden="1" thickBot="1" x14ac:dyDescent="0.3">
      <c r="A5158" s="958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  <c r="R5158" s="2"/>
    </row>
    <row r="5159" spans="1:18" ht="19.5" hidden="1" thickBot="1" x14ac:dyDescent="0.3">
      <c r="A5159" s="961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  <c r="R5159" s="2"/>
    </row>
    <row r="5160" spans="1:18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  <c r="R5160" s="2"/>
    </row>
    <row r="5161" spans="1:18" ht="19.5" hidden="1" thickBot="1" x14ac:dyDescent="0.3">
      <c r="A5161" s="957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  <c r="R5161" s="2"/>
    </row>
    <row r="5162" spans="1:18" ht="19.5" hidden="1" thickBot="1" x14ac:dyDescent="0.3">
      <c r="A5162" s="961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  <c r="R5162" s="2"/>
    </row>
    <row r="5163" spans="1:18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  <c r="R5163" s="2"/>
    </row>
    <row r="5164" spans="1:18" ht="19.5" hidden="1" thickBot="1" x14ac:dyDescent="0.3">
      <c r="A5164" s="957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  <c r="R5164" s="2"/>
    </row>
    <row r="5165" spans="1:18" ht="19.5" hidden="1" thickBot="1" x14ac:dyDescent="0.3">
      <c r="A5165" s="958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  <c r="R5165" s="2"/>
    </row>
    <row r="5166" spans="1:18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  <c r="R5166" s="2"/>
    </row>
    <row r="5167" spans="1:18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  <c r="R5167" s="2"/>
    </row>
    <row r="5168" spans="1:18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  <c r="R5168" s="2"/>
    </row>
    <row r="5169" spans="1:18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  <c r="R5169" s="2"/>
    </row>
    <row r="5170" spans="1:18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  <c r="R5170" s="2"/>
    </row>
    <row r="5171" spans="1:18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  <c r="R5171" s="2"/>
    </row>
    <row r="5172" spans="1:18" ht="19.5" hidden="1" thickBot="1" x14ac:dyDescent="0.3">
      <c r="A5172" s="954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  <c r="R5172" s="2"/>
    </row>
    <row r="5173" spans="1:18" ht="19.5" hidden="1" thickBot="1" x14ac:dyDescent="0.3">
      <c r="A5173" s="955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  <c r="R5173" s="2"/>
    </row>
    <row r="5174" spans="1:18" ht="57" hidden="1" thickBot="1" x14ac:dyDescent="0.3">
      <c r="A5174" s="955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  <c r="R5174" s="2"/>
    </row>
    <row r="5175" spans="1:18" ht="19.5" hidden="1" thickBot="1" x14ac:dyDescent="0.3">
      <c r="A5175" s="956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  <c r="R5175" s="2"/>
    </row>
    <row r="5176" spans="1:18" ht="19.5" hidden="1" thickBot="1" x14ac:dyDescent="0.3">
      <c r="A5176" s="957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  <c r="R5176" s="2"/>
    </row>
    <row r="5177" spans="1:18" ht="19.5" hidden="1" thickBot="1" x14ac:dyDescent="0.3">
      <c r="A5177" s="958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  <c r="R5177" s="2"/>
    </row>
    <row r="5178" spans="1:18" ht="19.5" hidden="1" thickBot="1" x14ac:dyDescent="0.3">
      <c r="A5178" s="961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  <c r="R5178" s="2"/>
    </row>
    <row r="5179" spans="1:18" ht="19.5" hidden="1" thickBot="1" x14ac:dyDescent="0.3">
      <c r="A5179" s="954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  <c r="R5179" s="2"/>
    </row>
    <row r="5180" spans="1:18" ht="19.5" hidden="1" thickBot="1" x14ac:dyDescent="0.3">
      <c r="A5180" s="956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  <c r="R5180" s="2"/>
    </row>
    <row r="5181" spans="1:18" ht="19.5" hidden="1" thickBot="1" x14ac:dyDescent="0.3">
      <c r="A5181" s="957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  <c r="R5181" s="2"/>
    </row>
    <row r="5182" spans="1:18" ht="19.5" hidden="1" thickBot="1" x14ac:dyDescent="0.3">
      <c r="A5182" s="961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  <c r="R5182" s="2"/>
    </row>
    <row r="5183" spans="1:18" ht="19.5" hidden="1" thickBot="1" x14ac:dyDescent="0.3">
      <c r="A5183" s="954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  <c r="R5183" s="2"/>
    </row>
    <row r="5184" spans="1:18" ht="19.5" hidden="1" thickBot="1" x14ac:dyDescent="0.3">
      <c r="A5184" s="956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  <c r="R5184" s="2"/>
    </row>
    <row r="5185" spans="1:18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  <c r="R5185" s="2"/>
    </row>
    <row r="5186" spans="1:18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  <c r="R5186" s="2"/>
    </row>
    <row r="5187" spans="1:18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  <c r="R5187" s="2"/>
    </row>
    <row r="5188" spans="1:18" ht="19.5" hidden="1" thickBot="1" x14ac:dyDescent="0.3">
      <c r="A5188" s="954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967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  <c r="R5188" s="2"/>
    </row>
    <row r="5189" spans="1:18" ht="19.5" hidden="1" thickBot="1" x14ac:dyDescent="0.3">
      <c r="A5189" s="955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969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  <c r="R5189" s="2"/>
    </row>
    <row r="5190" spans="1:18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  <c r="R5190" s="2"/>
    </row>
    <row r="5191" spans="1:18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  <c r="R5191" s="2"/>
    </row>
    <row r="5192" spans="1:18" ht="19.5" hidden="1" thickBot="1" x14ac:dyDescent="0.3">
      <c r="A5192" s="957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  <c r="R5192" s="2"/>
    </row>
    <row r="5193" spans="1:18" ht="19.5" hidden="1" thickBot="1" x14ac:dyDescent="0.3">
      <c r="A5193" s="958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  <c r="R5193" s="2"/>
    </row>
    <row r="5194" spans="1:18" ht="19.5" hidden="1" thickBot="1" x14ac:dyDescent="0.3">
      <c r="A5194" s="958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  <c r="R5194" s="2"/>
    </row>
    <row r="5195" spans="1:18" ht="19.5" hidden="1" thickBot="1" x14ac:dyDescent="0.3">
      <c r="A5195" s="961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  <c r="R5195" s="2"/>
    </row>
    <row r="5196" spans="1:18" ht="19.5" hidden="1" thickBot="1" x14ac:dyDescent="0.3">
      <c r="A5196" s="954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967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  <c r="R5196" s="2"/>
    </row>
    <row r="5197" spans="1:18" ht="19.5" hidden="1" thickBot="1" x14ac:dyDescent="0.3">
      <c r="A5197" s="956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968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  <c r="R5197" s="2"/>
    </row>
    <row r="5198" spans="1:18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  <c r="R5198" s="2"/>
    </row>
    <row r="5199" spans="1:18" ht="19.5" hidden="1" thickBot="1" x14ac:dyDescent="0.3">
      <c r="A5199" s="954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  <c r="R5199" s="2"/>
    </row>
    <row r="5200" spans="1:18" ht="19.5" hidden="1" thickBot="1" x14ac:dyDescent="0.3">
      <c r="A5200" s="956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  <c r="R5200" s="2"/>
    </row>
    <row r="5201" spans="1:18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  <c r="R5201" s="2"/>
    </row>
    <row r="5202" spans="1:18" ht="28.5" hidden="1" customHeight="1" x14ac:dyDescent="0.25">
      <c r="A5202" s="954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967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  <c r="R5202" s="2"/>
    </row>
    <row r="5203" spans="1:18" ht="28.5" hidden="1" customHeight="1" thickBot="1" x14ac:dyDescent="0.3">
      <c r="A5203" s="956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968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  <c r="R5203" s="2"/>
    </row>
    <row r="5204" spans="1:18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  <c r="R5204" s="2"/>
    </row>
    <row r="5205" spans="1:18" ht="19.5" hidden="1" thickBot="1" x14ac:dyDescent="0.3">
      <c r="A5205" s="954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  <c r="R5205" s="2"/>
    </row>
    <row r="5206" spans="1:18" ht="19.5" hidden="1" thickBot="1" x14ac:dyDescent="0.3">
      <c r="A5206" s="955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  <c r="R5206" s="2"/>
    </row>
    <row r="5207" spans="1:18" ht="19.5" hidden="1" thickBot="1" x14ac:dyDescent="0.3">
      <c r="A5207" s="956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  <c r="R5207" s="2"/>
    </row>
    <row r="5208" spans="1:18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  <c r="R5208" s="2"/>
    </row>
    <row r="5209" spans="1:18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  <c r="R5209" s="2"/>
    </row>
    <row r="5210" spans="1:18" ht="19.5" hidden="1" thickBot="1" x14ac:dyDescent="0.3">
      <c r="A5210" s="957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  <c r="R5210" s="2"/>
    </row>
    <row r="5211" spans="1:18" ht="57" hidden="1" thickBot="1" x14ac:dyDescent="0.3">
      <c r="A5211" s="961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  <c r="R5211" s="2"/>
    </row>
    <row r="5212" spans="1:18" ht="19.5" hidden="1" thickBot="1" x14ac:dyDescent="0.3">
      <c r="A5212" s="954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  <c r="R5212" s="2"/>
    </row>
    <row r="5213" spans="1:18" ht="19.5" hidden="1" thickBot="1" x14ac:dyDescent="0.3">
      <c r="A5213" s="956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  <c r="R5213" s="2"/>
    </row>
    <row r="5214" spans="1:18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  <c r="R5214" s="2"/>
    </row>
    <row r="5215" spans="1:18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  <c r="R5215" s="2"/>
    </row>
    <row r="5216" spans="1:18" ht="19.5" hidden="1" thickBot="1" x14ac:dyDescent="0.3">
      <c r="A5216" s="957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970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  <c r="R5216" s="2"/>
    </row>
    <row r="5217" spans="1:18" ht="19.5" hidden="1" thickBot="1" x14ac:dyDescent="0.3">
      <c r="A5217" s="961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971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  <c r="R5217" s="2"/>
    </row>
    <row r="5218" spans="1:18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  <c r="R5218" s="2"/>
    </row>
    <row r="5219" spans="1:18" ht="19.5" hidden="1" thickBot="1" x14ac:dyDescent="0.3">
      <c r="A5219" s="957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  <c r="R5219" s="2"/>
    </row>
    <row r="5220" spans="1:18" ht="19.5" hidden="1" thickBot="1" x14ac:dyDescent="0.3">
      <c r="A5220" s="958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  <c r="R5220" s="2"/>
    </row>
    <row r="5221" spans="1:18" ht="19.5" hidden="1" thickBot="1" x14ac:dyDescent="0.3">
      <c r="A5221" s="961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  <c r="R5221" s="2"/>
    </row>
    <row r="5222" spans="1:18" ht="19.5" hidden="1" thickBot="1" x14ac:dyDescent="0.3">
      <c r="A5222" s="954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  <c r="R5222" s="2"/>
    </row>
    <row r="5223" spans="1:18" ht="19.5" hidden="1" thickBot="1" x14ac:dyDescent="0.3">
      <c r="A5223" s="955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  <c r="R5223" s="2"/>
    </row>
    <row r="5224" spans="1:18" ht="19.5" hidden="1" thickBot="1" x14ac:dyDescent="0.3">
      <c r="A5224" s="955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  <c r="R5224" s="2"/>
    </row>
    <row r="5225" spans="1:18" ht="19.5" hidden="1" thickBot="1" x14ac:dyDescent="0.3">
      <c r="A5225" s="956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  <c r="R5225" s="2"/>
    </row>
    <row r="5226" spans="1:18" ht="19.5" hidden="1" thickBot="1" x14ac:dyDescent="0.3">
      <c r="A5226" s="957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  <c r="R5226" s="2"/>
    </row>
    <row r="5227" spans="1:18" ht="19.5" hidden="1" thickBot="1" x14ac:dyDescent="0.3">
      <c r="A5227" s="958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  <c r="R5227" s="2"/>
    </row>
    <row r="5228" spans="1:18" ht="19.5" hidden="1" thickBot="1" x14ac:dyDescent="0.3">
      <c r="A5228" s="961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  <c r="R5228" s="2"/>
    </row>
    <row r="5229" spans="1:18" ht="19.5" hidden="1" thickBot="1" x14ac:dyDescent="0.3">
      <c r="A5229" s="954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  <c r="R5229" s="2"/>
    </row>
    <row r="5230" spans="1:18" ht="19.5" hidden="1" thickBot="1" x14ac:dyDescent="0.3">
      <c r="A5230" s="955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  <c r="R5230" s="2"/>
    </row>
    <row r="5231" spans="1:18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  <c r="R5231" s="2"/>
    </row>
    <row r="5232" spans="1:18" ht="19.5" hidden="1" thickBot="1" x14ac:dyDescent="0.3">
      <c r="A5232" s="954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967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  <c r="R5232" s="2"/>
    </row>
    <row r="5233" spans="1:18" ht="19.5" hidden="1" thickBot="1" x14ac:dyDescent="0.3">
      <c r="A5233" s="956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968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  <c r="R5233" s="2"/>
    </row>
    <row r="5234" spans="1:18" ht="19.5" hidden="1" thickBot="1" x14ac:dyDescent="0.3">
      <c r="A5234" s="957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  <c r="R5234" s="2"/>
    </row>
    <row r="5235" spans="1:18" ht="19.5" hidden="1" thickBot="1" x14ac:dyDescent="0.3">
      <c r="A5235" s="958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  <c r="R5235" s="2"/>
    </row>
    <row r="5236" spans="1:18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  <c r="R5236" s="2"/>
    </row>
    <row r="5237" spans="1:18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  <c r="R5237" s="2"/>
    </row>
    <row r="5238" spans="1:18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  <c r="R5238" s="2"/>
    </row>
    <row r="5239" spans="1:18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  <c r="R5239" s="2"/>
    </row>
    <row r="5240" spans="1:18" ht="19.5" hidden="1" thickBot="1" x14ac:dyDescent="0.3">
      <c r="A5240" s="954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  <c r="R5240" s="2"/>
    </row>
    <row r="5241" spans="1:18" ht="19.5" hidden="1" thickBot="1" x14ac:dyDescent="0.3">
      <c r="A5241" s="955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  <c r="R5241" s="2"/>
    </row>
    <row r="5242" spans="1:18" ht="19.5" hidden="1" thickBot="1" x14ac:dyDescent="0.3">
      <c r="A5242" s="955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  <c r="R5242" s="2"/>
    </row>
    <row r="5243" spans="1:18" ht="19.5" hidden="1" thickBot="1" x14ac:dyDescent="0.3">
      <c r="A5243" s="957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  <c r="R5243" s="2"/>
    </row>
    <row r="5244" spans="1:18" ht="19.5" hidden="1" thickBot="1" x14ac:dyDescent="0.3">
      <c r="A5244" s="961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  <c r="R5244" s="2"/>
    </row>
    <row r="5245" spans="1:18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  <c r="R5245" s="2"/>
    </row>
    <row r="5246" spans="1:18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  <c r="R5246" s="2"/>
    </row>
    <row r="5247" spans="1:18" ht="19.5" hidden="1" thickBot="1" x14ac:dyDescent="0.3">
      <c r="A5247" s="954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  <c r="R5247" s="2"/>
    </row>
    <row r="5248" spans="1:18" ht="19.5" hidden="1" thickBot="1" x14ac:dyDescent="0.3">
      <c r="A5248" s="955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  <c r="R5248" s="2"/>
    </row>
    <row r="5249" spans="1:18" ht="19.5" hidden="1" thickBot="1" x14ac:dyDescent="0.3">
      <c r="A5249" s="956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  <c r="R5249" s="2"/>
    </row>
    <row r="5250" spans="1:18" ht="19.5" hidden="1" thickBot="1" x14ac:dyDescent="0.3">
      <c r="A5250" s="957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  <c r="R5250" s="2"/>
    </row>
    <row r="5251" spans="1:18" ht="19.5" hidden="1" thickBot="1" x14ac:dyDescent="0.3">
      <c r="A5251" s="961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  <c r="R5251" s="2"/>
    </row>
    <row r="5252" spans="1:18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  <c r="R5252" s="2"/>
    </row>
    <row r="5253" spans="1:18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  <c r="R5253" s="2"/>
    </row>
    <row r="5254" spans="1:18" ht="19.5" hidden="1" thickBot="1" x14ac:dyDescent="0.3">
      <c r="A5254" s="954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  <c r="R5254" s="2"/>
    </row>
    <row r="5255" spans="1:18" ht="19.5" hidden="1" thickBot="1" x14ac:dyDescent="0.3">
      <c r="A5255" s="956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  <c r="R5255" s="2"/>
    </row>
    <row r="5256" spans="1:18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  <c r="R5256" s="2"/>
    </row>
    <row r="5257" spans="1:18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  <c r="R5257" s="2"/>
    </row>
    <row r="5258" spans="1:18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  <c r="R5258" s="2"/>
    </row>
    <row r="5259" spans="1:18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  <c r="R5259" s="2"/>
    </row>
    <row r="5260" spans="1:18" ht="19.5" hidden="1" thickBot="1" x14ac:dyDescent="0.3">
      <c r="A5260" s="957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  <c r="R5260" s="2"/>
    </row>
    <row r="5261" spans="1:18" ht="19.5" hidden="1" thickBot="1" x14ac:dyDescent="0.3">
      <c r="A5261" s="961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  <c r="R5261" s="2"/>
    </row>
    <row r="5262" spans="1:18" ht="19.5" hidden="1" thickBot="1" x14ac:dyDescent="0.3">
      <c r="A5262" s="954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  <c r="R5262" s="2"/>
    </row>
    <row r="5263" spans="1:18" ht="19.5" hidden="1" thickBot="1" x14ac:dyDescent="0.3">
      <c r="A5263" s="956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  <c r="R5263" s="2"/>
    </row>
    <row r="5264" spans="1:18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  <c r="R5264" s="2"/>
    </row>
    <row r="5265" spans="1:18" ht="19.5" hidden="1" thickBot="1" x14ac:dyDescent="0.3">
      <c r="A5265" s="954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  <c r="R5265" s="2"/>
    </row>
    <row r="5266" spans="1:18" ht="19.5" hidden="1" thickBot="1" x14ac:dyDescent="0.3">
      <c r="A5266" s="956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  <c r="R5266" s="2"/>
    </row>
    <row r="5267" spans="1:18" ht="19.5" hidden="1" thickBot="1" x14ac:dyDescent="0.3">
      <c r="A5267" s="957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  <c r="R5267" s="2"/>
    </row>
    <row r="5268" spans="1:18" ht="19.5" hidden="1" thickBot="1" x14ac:dyDescent="0.3">
      <c r="A5268" s="958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  <c r="R5268" s="2"/>
    </row>
    <row r="5269" spans="1:18" ht="19.5" hidden="1" thickBot="1" x14ac:dyDescent="0.3">
      <c r="A5269" s="961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  <c r="R5269" s="2"/>
    </row>
    <row r="5270" spans="1:18" ht="19.5" hidden="1" thickBot="1" x14ac:dyDescent="0.3">
      <c r="A5270" s="954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  <c r="R5270" s="2"/>
    </row>
    <row r="5271" spans="1:18" ht="19.5" hidden="1" thickBot="1" x14ac:dyDescent="0.3">
      <c r="A5271" s="956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  <c r="R5271" s="2"/>
    </row>
    <row r="5272" spans="1:18" ht="19.5" hidden="1" thickBot="1" x14ac:dyDescent="0.3">
      <c r="A5272" s="957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  <c r="R5272" s="2"/>
    </row>
    <row r="5273" spans="1:18" ht="19.5" hidden="1" thickBot="1" x14ac:dyDescent="0.3">
      <c r="A5273" s="961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  <c r="R5273" s="2"/>
    </row>
    <row r="5274" spans="1:18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  <c r="R5274" s="2"/>
    </row>
    <row r="5275" spans="1:18" ht="19.5" hidden="1" thickBot="1" x14ac:dyDescent="0.3">
      <c r="A5275" s="957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970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  <c r="R5275" s="2"/>
    </row>
    <row r="5276" spans="1:18" ht="19.5" hidden="1" thickBot="1" x14ac:dyDescent="0.3">
      <c r="A5276" s="958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973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  <c r="R5276" s="2"/>
    </row>
    <row r="5277" spans="1:18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  <c r="R5277" s="2"/>
    </row>
    <row r="5278" spans="1:18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  <c r="R5278" s="2"/>
    </row>
    <row r="5279" spans="1:18" ht="19.5" hidden="1" thickBot="1" x14ac:dyDescent="0.3">
      <c r="A5279" s="954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  <c r="R5279" s="2"/>
    </row>
    <row r="5280" spans="1:18" ht="19.5" hidden="1" thickBot="1" x14ac:dyDescent="0.3">
      <c r="A5280" s="955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  <c r="R5280" s="2"/>
    </row>
    <row r="5281" spans="1:18" ht="19.5" hidden="1" thickBot="1" x14ac:dyDescent="0.3">
      <c r="A5281" s="955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  <c r="R5281" s="2"/>
    </row>
    <row r="5282" spans="1:18" ht="19.5" hidden="1" thickBot="1" x14ac:dyDescent="0.3">
      <c r="A5282" s="957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  <c r="R5282" s="2"/>
    </row>
    <row r="5283" spans="1:18" ht="19.5" hidden="1" thickBot="1" x14ac:dyDescent="0.3">
      <c r="A5283" s="961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  <c r="R5283" s="2"/>
    </row>
    <row r="5284" spans="1:18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  <c r="R5284" s="2"/>
    </row>
    <row r="5285" spans="1:18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  <c r="R5285" s="2"/>
    </row>
    <row r="5286" spans="1:18" ht="19.5" hidden="1" thickBot="1" x14ac:dyDescent="0.3">
      <c r="A5286" s="954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  <c r="R5286" s="2"/>
    </row>
    <row r="5287" spans="1:18" ht="19.5" hidden="1" thickBot="1" x14ac:dyDescent="0.3">
      <c r="A5287" s="955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  <c r="R5287" s="2"/>
    </row>
    <row r="5288" spans="1:18" ht="19.5" hidden="1" thickBot="1" x14ac:dyDescent="0.3">
      <c r="A5288" s="955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  <c r="R5288" s="2"/>
    </row>
    <row r="5289" spans="1:18" ht="19.5" hidden="1" thickBot="1" x14ac:dyDescent="0.3">
      <c r="A5289" s="956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  <c r="R5289" s="2"/>
    </row>
    <row r="5290" spans="1:18" ht="19.5" hidden="1" thickBot="1" x14ac:dyDescent="0.3">
      <c r="A5290" s="957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  <c r="R5290" s="2"/>
    </row>
    <row r="5291" spans="1:18" ht="19.5" hidden="1" thickBot="1" x14ac:dyDescent="0.3">
      <c r="A5291" s="958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  <c r="R5291" s="2"/>
    </row>
    <row r="5292" spans="1:18" ht="19.5" hidden="1" thickBot="1" x14ac:dyDescent="0.3">
      <c r="A5292" s="961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  <c r="R5292" s="2"/>
    </row>
    <row r="5293" spans="1:18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  <c r="R5293" s="2"/>
    </row>
    <row r="5294" spans="1:18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  <c r="R5294" s="2"/>
    </row>
    <row r="5295" spans="1:18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  <c r="R5295" s="2"/>
    </row>
    <row r="5296" spans="1:18" ht="19.5" hidden="1" thickBot="1" x14ac:dyDescent="0.3">
      <c r="A5296" s="957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  <c r="R5296" s="2"/>
    </row>
    <row r="5297" spans="1:18" ht="19.5" hidden="1" thickBot="1" x14ac:dyDescent="0.3">
      <c r="A5297" s="958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  <c r="R5297" s="2"/>
    </row>
    <row r="5298" spans="1:18" ht="19.5" hidden="1" thickBot="1" x14ac:dyDescent="0.3">
      <c r="A5298" s="954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  <c r="R5298" s="2"/>
    </row>
    <row r="5299" spans="1:18" ht="19.5" hidden="1" thickBot="1" x14ac:dyDescent="0.3">
      <c r="A5299" s="956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  <c r="R5299" s="2"/>
    </row>
    <row r="5300" spans="1:18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  <c r="R5300" s="2"/>
    </row>
    <row r="5301" spans="1:18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  <c r="R5301" s="2"/>
    </row>
    <row r="5302" spans="1:18" ht="19.5" hidden="1" thickBot="1" x14ac:dyDescent="0.3">
      <c r="A5302" s="957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  <c r="R5302" s="2"/>
    </row>
    <row r="5303" spans="1:18" ht="19.5" hidden="1" thickBot="1" x14ac:dyDescent="0.3">
      <c r="A5303" s="958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  <c r="R5303" s="2"/>
    </row>
    <row r="5304" spans="1:18" ht="19.5" hidden="1" thickBot="1" x14ac:dyDescent="0.3">
      <c r="A5304" s="961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  <c r="R5304" s="2"/>
    </row>
    <row r="5305" spans="1:18" ht="19.5" hidden="1" thickBot="1" x14ac:dyDescent="0.3">
      <c r="A5305" s="954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  <c r="R5305" s="2"/>
    </row>
    <row r="5306" spans="1:18" ht="19.5" hidden="1" thickBot="1" x14ac:dyDescent="0.3">
      <c r="A5306" s="955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  <c r="R5306" s="2"/>
    </row>
    <row r="5307" spans="1:18" ht="19.5" hidden="1" thickBot="1" x14ac:dyDescent="0.3">
      <c r="A5307" s="955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  <c r="R5307" s="2"/>
    </row>
    <row r="5308" spans="1:18" ht="19.5" hidden="1" thickBot="1" x14ac:dyDescent="0.3">
      <c r="A5308" s="956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  <c r="R5308" s="2"/>
    </row>
    <row r="5309" spans="1:18" ht="19.5" hidden="1" thickBot="1" x14ac:dyDescent="0.3">
      <c r="A5309" s="957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  <c r="R5309" s="2"/>
    </row>
    <row r="5310" spans="1:18" ht="19.5" hidden="1" thickBot="1" x14ac:dyDescent="0.3">
      <c r="A5310" s="961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  <c r="R5310" s="2"/>
    </row>
    <row r="5311" spans="1:18" ht="19.5" hidden="1" thickBot="1" x14ac:dyDescent="0.3">
      <c r="A5311" s="954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  <c r="R5311" s="2"/>
    </row>
    <row r="5312" spans="1:18" ht="19.5" hidden="1" thickBot="1" x14ac:dyDescent="0.3">
      <c r="A5312" s="956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  <c r="R5312" s="2"/>
    </row>
    <row r="5313" spans="1:18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  <c r="R5313" s="2"/>
    </row>
    <row r="5314" spans="1:18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  <c r="R5314" s="2"/>
    </row>
    <row r="5315" spans="1:18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  <c r="R5315" s="2"/>
    </row>
    <row r="5316" spans="1:18" ht="19.5" hidden="1" thickBot="1" x14ac:dyDescent="0.3">
      <c r="A5316" s="954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  <c r="R5316" s="2"/>
    </row>
    <row r="5317" spans="1:18" ht="19.5" hidden="1" thickBot="1" x14ac:dyDescent="0.3">
      <c r="A5317" s="955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  <c r="R5317" s="2"/>
    </row>
    <row r="5318" spans="1:18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  <c r="R5318" s="2"/>
    </row>
    <row r="5319" spans="1:18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  <c r="R5319" s="2"/>
    </row>
    <row r="5320" spans="1:18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  <c r="R5320" s="2"/>
    </row>
    <row r="5321" spans="1:18" ht="19.5" hidden="1" thickBot="1" x14ac:dyDescent="0.3">
      <c r="A5321" s="954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967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  <c r="R5321" s="2"/>
    </row>
    <row r="5322" spans="1:18" ht="19.5" hidden="1" thickBot="1" x14ac:dyDescent="0.3">
      <c r="A5322" s="955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969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  <c r="R5322" s="2"/>
    </row>
    <row r="5323" spans="1:18" ht="19.5" hidden="1" thickBot="1" x14ac:dyDescent="0.3">
      <c r="A5323" s="955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969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  <c r="R5323" s="2"/>
    </row>
    <row r="5324" spans="1:18" ht="19.5" hidden="1" thickBot="1" x14ac:dyDescent="0.3">
      <c r="A5324" s="955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969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  <c r="R5324" s="2"/>
    </row>
    <row r="5325" spans="1:18" ht="19.5" hidden="1" thickBot="1" x14ac:dyDescent="0.3">
      <c r="A5325" s="955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969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  <c r="R5325" s="2"/>
    </row>
    <row r="5326" spans="1:18" ht="19.5" hidden="1" thickBot="1" x14ac:dyDescent="0.3">
      <c r="A5326" s="957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  <c r="R5326" s="2"/>
    </row>
    <row r="5327" spans="1:18" ht="19.5" hidden="1" thickBot="1" x14ac:dyDescent="0.3">
      <c r="A5327" s="961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  <c r="R5327" s="2"/>
    </row>
    <row r="5328" spans="1:18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  <c r="R5328" s="2"/>
    </row>
    <row r="5329" spans="1:18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  <c r="R5329" s="2"/>
    </row>
    <row r="5330" spans="1:18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  <c r="R5330" s="2"/>
    </row>
    <row r="5331" spans="1:18" ht="19.5" hidden="1" thickBot="1" x14ac:dyDescent="0.3">
      <c r="A5331" s="957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  <c r="R5331" s="2"/>
    </row>
    <row r="5332" spans="1:18" ht="19.5" hidden="1" thickBot="1" x14ac:dyDescent="0.3">
      <c r="A5332" s="958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  <c r="R5332" s="2"/>
    </row>
    <row r="5333" spans="1:18" ht="19.5" hidden="1" thickBot="1" x14ac:dyDescent="0.3">
      <c r="A5333" s="958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  <c r="R5333" s="2"/>
    </row>
    <row r="5334" spans="1:18" ht="19.5" hidden="1" thickBot="1" x14ac:dyDescent="0.3">
      <c r="A5334" s="961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  <c r="R5334" s="2"/>
    </row>
    <row r="5335" spans="1:18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  <c r="R5335" s="2"/>
    </row>
    <row r="5336" spans="1:18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  <c r="R5336" s="2"/>
    </row>
    <row r="5337" spans="1:18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  <c r="R5337" s="2"/>
    </row>
    <row r="5338" spans="1:18" ht="19.5" hidden="1" thickBot="1" x14ac:dyDescent="0.3">
      <c r="A5338" s="957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  <c r="R5338" s="2"/>
    </row>
    <row r="5339" spans="1:18" ht="57" hidden="1" thickBot="1" x14ac:dyDescent="0.3">
      <c r="A5339" s="958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  <c r="R5339" s="2"/>
    </row>
    <row r="5340" spans="1:18" ht="19.5" hidden="1" thickBot="1" x14ac:dyDescent="0.3">
      <c r="A5340" s="958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  <c r="R5340" s="2"/>
    </row>
    <row r="5341" spans="1:18" ht="19.5" hidden="1" thickBot="1" x14ac:dyDescent="0.3">
      <c r="A5341" s="961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  <c r="R5341" s="2"/>
    </row>
    <row r="5342" spans="1:18" ht="19.5" hidden="1" thickBot="1" x14ac:dyDescent="0.3">
      <c r="A5342" s="954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  <c r="R5342" s="2"/>
    </row>
    <row r="5343" spans="1:18" ht="19.5" hidden="1" thickBot="1" x14ac:dyDescent="0.3">
      <c r="A5343" s="956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  <c r="R5343" s="2"/>
    </row>
    <row r="5344" spans="1:18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  <c r="R5344" s="2"/>
    </row>
    <row r="5345" spans="1:18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  <c r="R5345" s="2"/>
    </row>
    <row r="5346" spans="1:18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  <c r="R5346" s="2"/>
    </row>
    <row r="5347" spans="1:18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  <c r="R5347" s="2"/>
    </row>
    <row r="5348" spans="1:18" ht="19.5" hidden="1" thickBot="1" x14ac:dyDescent="0.3">
      <c r="A5348" s="957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  <c r="R5348" s="2"/>
    </row>
    <row r="5349" spans="1:18" ht="19.5" hidden="1" thickBot="1" x14ac:dyDescent="0.3">
      <c r="A5349" s="958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  <c r="R5349" s="2"/>
    </row>
    <row r="5350" spans="1:18" ht="19.5" hidden="1" thickBot="1" x14ac:dyDescent="0.3">
      <c r="A5350" s="961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  <c r="R5350" s="2"/>
    </row>
    <row r="5351" spans="1:18" ht="19.5" hidden="1" thickBot="1" x14ac:dyDescent="0.3">
      <c r="A5351" s="954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  <c r="R5351" s="2"/>
    </row>
    <row r="5352" spans="1:18" ht="19.5" hidden="1" thickBot="1" x14ac:dyDescent="0.3">
      <c r="A5352" s="955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  <c r="R5352" s="2"/>
    </row>
    <row r="5353" spans="1:18" ht="19.5" hidden="1" thickBot="1" x14ac:dyDescent="0.3">
      <c r="A5353" s="956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  <c r="R5353" s="2"/>
    </row>
    <row r="5354" spans="1:18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  <c r="R5354" s="2"/>
    </row>
    <row r="5355" spans="1:18" ht="19.5" hidden="1" thickBot="1" x14ac:dyDescent="0.3">
      <c r="A5355" s="954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  <c r="R5355" s="2"/>
    </row>
    <row r="5356" spans="1:18" ht="19.5" hidden="1" thickBot="1" x14ac:dyDescent="0.3">
      <c r="A5356" s="955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  <c r="R5356" s="2"/>
    </row>
    <row r="5357" spans="1:18" ht="19.5" hidden="1" thickBot="1" x14ac:dyDescent="0.3">
      <c r="A5357" s="956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  <c r="R5357" s="2"/>
    </row>
    <row r="5358" spans="1:18" ht="19.5" hidden="1" thickBot="1" x14ac:dyDescent="0.3">
      <c r="A5358" s="957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  <c r="R5358" s="2"/>
    </row>
    <row r="5359" spans="1:18" ht="19.5" hidden="1" thickBot="1" x14ac:dyDescent="0.3">
      <c r="A5359" s="961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  <c r="R5359" s="2"/>
    </row>
    <row r="5360" spans="1:18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  <c r="R5360" s="2"/>
    </row>
    <row r="5361" spans="1:18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  <c r="R5361" s="2"/>
    </row>
    <row r="5362" spans="1:18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  <c r="R5362" s="2"/>
    </row>
    <row r="5363" spans="1:18" ht="19.5" hidden="1" thickBot="1" x14ac:dyDescent="0.3">
      <c r="A5363" s="957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970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  <c r="R5363" s="2"/>
    </row>
    <row r="5364" spans="1:18" ht="19.5" hidden="1" thickBot="1" x14ac:dyDescent="0.3">
      <c r="A5364" s="961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971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  <c r="R5364" s="2"/>
    </row>
    <row r="5365" spans="1:18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  <c r="R5365" s="2"/>
    </row>
    <row r="5366" spans="1:18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  <c r="R5366" s="2"/>
    </row>
    <row r="5367" spans="1:18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  <c r="R5367" s="2"/>
    </row>
    <row r="5368" spans="1:18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  <c r="R5368" s="2"/>
    </row>
    <row r="5369" spans="1:18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  <c r="R5369" s="2"/>
    </row>
    <row r="5370" spans="1:18" ht="19.5" hidden="1" thickBot="1" x14ac:dyDescent="0.3">
      <c r="A5370" s="957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970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  <c r="R5370" s="2"/>
    </row>
    <row r="5371" spans="1:18" ht="19.5" hidden="1" thickBot="1" x14ac:dyDescent="0.3">
      <c r="A5371" s="958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973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  <c r="R5371" s="2"/>
    </row>
    <row r="5372" spans="1:18" ht="19.5" hidden="1" thickBot="1" x14ac:dyDescent="0.3">
      <c r="A5372" s="958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973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  <c r="R5372" s="2"/>
    </row>
    <row r="5373" spans="1:18" ht="19.5" hidden="1" thickBot="1" x14ac:dyDescent="0.3">
      <c r="A5373" s="958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973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  <c r="R5373" s="2"/>
    </row>
    <row r="5374" spans="1:18" ht="19.5" hidden="1" thickBot="1" x14ac:dyDescent="0.3">
      <c r="A5374" s="954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  <c r="R5374" s="2"/>
    </row>
    <row r="5375" spans="1:18" ht="19.5" hidden="1" thickBot="1" x14ac:dyDescent="0.3">
      <c r="A5375" s="956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  <c r="R5375" s="2"/>
    </row>
    <row r="5376" spans="1:18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  <c r="R5376" s="2"/>
    </row>
    <row r="5377" spans="1:18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  <c r="R5377" s="2"/>
    </row>
    <row r="5378" spans="1:18" ht="19.5" hidden="1" thickBot="1" x14ac:dyDescent="0.3">
      <c r="A5378" s="957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  <c r="R5378" s="2"/>
    </row>
    <row r="5379" spans="1:18" ht="19.5" hidden="1" thickBot="1" x14ac:dyDescent="0.3">
      <c r="A5379" s="961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  <c r="R5379" s="2"/>
    </row>
    <row r="5380" spans="1:18" ht="19.5" hidden="1" thickBot="1" x14ac:dyDescent="0.3">
      <c r="A5380" s="954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  <c r="R5380" s="2"/>
    </row>
    <row r="5381" spans="1:18" ht="19.5" hidden="1" thickBot="1" x14ac:dyDescent="0.3">
      <c r="A5381" s="956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  <c r="R5381" s="2"/>
    </row>
    <row r="5382" spans="1:18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  <c r="R5382" s="2"/>
    </row>
    <row r="5383" spans="1:18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  <c r="R5383" s="2"/>
    </row>
    <row r="5384" spans="1:18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  <c r="R5384" s="2"/>
    </row>
    <row r="5385" spans="1:18" ht="19.5" hidden="1" thickBot="1" x14ac:dyDescent="0.3">
      <c r="A5385" s="954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  <c r="R5385" s="2"/>
    </row>
    <row r="5386" spans="1:18" ht="57" hidden="1" thickBot="1" x14ac:dyDescent="0.3">
      <c r="A5386" s="956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  <c r="R5386" s="2"/>
    </row>
    <row r="5387" spans="1:18" ht="19.5" hidden="1" thickBot="1" x14ac:dyDescent="0.3">
      <c r="A5387" s="957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  <c r="R5387" s="2"/>
    </row>
    <row r="5388" spans="1:18" ht="19.5" hidden="1" thickBot="1" x14ac:dyDescent="0.3">
      <c r="A5388" s="961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  <c r="R5388" s="2"/>
    </row>
    <row r="5389" spans="1:18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  <c r="R5389" s="2"/>
    </row>
    <row r="5390" spans="1:18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  <c r="R5390" s="2"/>
    </row>
    <row r="5391" spans="1:18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  <c r="R5391" s="2"/>
    </row>
    <row r="5392" spans="1:18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  <c r="R5392" s="2"/>
    </row>
    <row r="5393" spans="1:18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  <c r="R5393" s="2"/>
    </row>
    <row r="5394" spans="1:18" ht="19.5" hidden="1" thickBot="1" x14ac:dyDescent="0.3">
      <c r="A5394" s="957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  <c r="R5394" s="2"/>
    </row>
    <row r="5395" spans="1:18" ht="19.5" hidden="1" thickBot="1" x14ac:dyDescent="0.3">
      <c r="A5395" s="958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  <c r="R5395" s="2"/>
    </row>
    <row r="5396" spans="1:18" ht="19.5" hidden="1" thickBot="1" x14ac:dyDescent="0.3">
      <c r="A5396" s="958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  <c r="R5396" s="2"/>
    </row>
    <row r="5397" spans="1:18" ht="19.5" hidden="1" thickBot="1" x14ac:dyDescent="0.3">
      <c r="A5397" s="961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  <c r="R5397" s="2"/>
    </row>
    <row r="5398" spans="1:18" ht="19.5" hidden="1" thickBot="1" x14ac:dyDescent="0.3">
      <c r="A5398" s="955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  <c r="R5398" s="2"/>
    </row>
    <row r="5399" spans="1:18" ht="19.5" hidden="1" thickBot="1" x14ac:dyDescent="0.3">
      <c r="A5399" s="955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  <c r="R5399" s="2"/>
    </row>
    <row r="5400" spans="1:18" ht="19.5" hidden="1" thickBot="1" x14ac:dyDescent="0.3">
      <c r="A5400" s="957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  <c r="R5400" s="2"/>
    </row>
    <row r="5401" spans="1:18" ht="19.5" hidden="1" thickBot="1" x14ac:dyDescent="0.3">
      <c r="A5401" s="961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  <c r="R5401" s="2"/>
    </row>
    <row r="5402" spans="1:18" ht="49.5" hidden="1" customHeight="1" x14ac:dyDescent="0.25">
      <c r="A5402" s="955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969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  <c r="R5402" s="2"/>
    </row>
    <row r="5403" spans="1:18" ht="49.5" hidden="1" customHeight="1" thickBot="1" x14ac:dyDescent="0.3">
      <c r="A5403" s="955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969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  <c r="R5403" s="2"/>
    </row>
    <row r="5404" spans="1:18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  <c r="R5404" s="2"/>
    </row>
    <row r="5405" spans="1:18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  <c r="R5405" s="2"/>
    </row>
    <row r="5406" spans="1:18" ht="19.5" hidden="1" thickBot="1" x14ac:dyDescent="0.3">
      <c r="A5406" s="957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  <c r="R5406" s="2"/>
    </row>
    <row r="5407" spans="1:18" ht="19.5" hidden="1" thickBot="1" x14ac:dyDescent="0.3">
      <c r="A5407" s="958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  <c r="R5407" s="2"/>
    </row>
    <row r="5408" spans="1:18" ht="19.5" hidden="1" thickBot="1" x14ac:dyDescent="0.3">
      <c r="A5408" s="954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967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  <c r="R5408" s="2"/>
    </row>
    <row r="5409" spans="1:18" ht="19.5" hidden="1" thickBot="1" x14ac:dyDescent="0.3">
      <c r="A5409" s="956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968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  <c r="R5409" s="2"/>
    </row>
    <row r="5410" spans="1:18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  <c r="R5410" s="2"/>
    </row>
    <row r="5411" spans="1:18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  <c r="R5411" s="2"/>
    </row>
    <row r="5412" spans="1:18" ht="19.5" hidden="1" thickBot="1" x14ac:dyDescent="0.3">
      <c r="A5412" s="957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  <c r="R5412" s="2"/>
    </row>
    <row r="5413" spans="1:18" ht="19.5" hidden="1" thickBot="1" x14ac:dyDescent="0.3">
      <c r="A5413" s="958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  <c r="R5413" s="2"/>
    </row>
    <row r="5414" spans="1:18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  <c r="R5414" s="2"/>
    </row>
    <row r="5415" spans="1:18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  <c r="R5415" s="2"/>
    </row>
    <row r="5416" spans="1:18" ht="19.5" hidden="1" thickBot="1" x14ac:dyDescent="0.3">
      <c r="A5416" s="954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967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  <c r="R5416" s="2"/>
    </row>
    <row r="5417" spans="1:18" ht="19.5" hidden="1" thickBot="1" x14ac:dyDescent="0.3">
      <c r="A5417" s="955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969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  <c r="R5417" s="2"/>
    </row>
    <row r="5418" spans="1:18" ht="19.5" hidden="1" thickBot="1" x14ac:dyDescent="0.3">
      <c r="A5418" s="957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  <c r="R5418" s="2"/>
    </row>
    <row r="5419" spans="1:18" ht="19.5" hidden="1" thickBot="1" x14ac:dyDescent="0.3">
      <c r="A5419" s="961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  <c r="R5419" s="2"/>
    </row>
    <row r="5420" spans="1:18" ht="19.5" hidden="1" thickBot="1" x14ac:dyDescent="0.3">
      <c r="A5420" s="954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  <c r="R5420" s="2"/>
    </row>
    <row r="5421" spans="1:18" ht="19.5" hidden="1" thickBot="1" x14ac:dyDescent="0.3">
      <c r="A5421" s="956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  <c r="R5421" s="2"/>
    </row>
    <row r="5422" spans="1:18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  <c r="R5422" s="2"/>
    </row>
    <row r="5423" spans="1:18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  <c r="R5423" s="2"/>
    </row>
    <row r="5424" spans="1:18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  <c r="R5424" s="2"/>
    </row>
    <row r="5425" spans="1:18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  <c r="R5425" s="2"/>
    </row>
    <row r="5426" spans="1:18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  <c r="R5426" s="2"/>
    </row>
    <row r="5427" spans="1:18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  <c r="R5427" s="2"/>
    </row>
    <row r="5428" spans="1:18" ht="19.5" hidden="1" thickBot="1" x14ac:dyDescent="0.3">
      <c r="A5428" s="957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  <c r="R5428" s="2"/>
    </row>
    <row r="5429" spans="1:18" ht="19.5" hidden="1" thickBot="1" x14ac:dyDescent="0.3">
      <c r="A5429" s="961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  <c r="R5429" s="2"/>
    </row>
    <row r="5430" spans="1:18" ht="19.5" hidden="1" thickBot="1" x14ac:dyDescent="0.3">
      <c r="A5430" s="954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  <c r="R5430" s="2"/>
    </row>
    <row r="5431" spans="1:18" ht="19.5" hidden="1" thickBot="1" x14ac:dyDescent="0.3">
      <c r="A5431" s="956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  <c r="R5431" s="2"/>
    </row>
    <row r="5432" spans="1:18" ht="19.5" hidden="1" thickBot="1" x14ac:dyDescent="0.3">
      <c r="A5432" s="957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  <c r="R5432" s="2"/>
    </row>
    <row r="5433" spans="1:18" ht="19.5" hidden="1" thickBot="1" x14ac:dyDescent="0.3">
      <c r="A5433" s="961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  <c r="R5433" s="2"/>
    </row>
    <row r="5434" spans="1:18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  <c r="R5434" s="2"/>
    </row>
    <row r="5435" spans="1:18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  <c r="R5435" s="2"/>
    </row>
    <row r="5436" spans="1:18" ht="19.5" hidden="1" thickBot="1" x14ac:dyDescent="0.3">
      <c r="A5436" s="954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967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  <c r="R5436" s="2"/>
    </row>
    <row r="5437" spans="1:18" ht="19.5" hidden="1" thickBot="1" x14ac:dyDescent="0.3">
      <c r="A5437" s="956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968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  <c r="R5437" s="2"/>
    </row>
    <row r="5438" spans="1:18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  <c r="R5438" s="2"/>
    </row>
    <row r="5439" spans="1:18" ht="19.5" hidden="1" thickBot="1" x14ac:dyDescent="0.3">
      <c r="A5439" s="954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  <c r="R5439" s="2"/>
    </row>
    <row r="5440" spans="1:18" ht="19.5" hidden="1" thickBot="1" x14ac:dyDescent="0.3">
      <c r="A5440" s="956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  <c r="R5440" s="2"/>
    </row>
    <row r="5441" spans="1:18" ht="19.5" hidden="1" thickBot="1" x14ac:dyDescent="0.3">
      <c r="A5441" s="957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  <c r="R5441" s="2"/>
    </row>
    <row r="5442" spans="1:18" ht="19.5" hidden="1" thickBot="1" x14ac:dyDescent="0.3">
      <c r="A5442" s="961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  <c r="R5442" s="2"/>
    </row>
    <row r="5443" spans="1:18" ht="19.5" hidden="1" thickBot="1" x14ac:dyDescent="0.3">
      <c r="A5443" s="954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  <c r="R5443" s="2"/>
    </row>
    <row r="5444" spans="1:18" ht="19.5" hidden="1" thickBot="1" x14ac:dyDescent="0.3">
      <c r="A5444" s="956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  <c r="R5444" s="2"/>
    </row>
    <row r="5445" spans="1:18" ht="19.5" hidden="1" thickBot="1" x14ac:dyDescent="0.3">
      <c r="A5445" s="957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  <c r="R5445" s="2"/>
    </row>
    <row r="5446" spans="1:18" ht="19.5" hidden="1" thickBot="1" x14ac:dyDescent="0.3">
      <c r="A5446" s="961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  <c r="R5446" s="2"/>
    </row>
    <row r="5447" spans="1:18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  <c r="R5447" s="2"/>
    </row>
    <row r="5448" spans="1:18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  <c r="R5448" s="2"/>
    </row>
    <row r="5449" spans="1:18" ht="19.5" hidden="1" thickBot="1" x14ac:dyDescent="0.3">
      <c r="A5449" s="954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  <c r="R5449" s="2"/>
    </row>
    <row r="5450" spans="1:18" ht="19.5" hidden="1" thickBot="1" x14ac:dyDescent="0.3">
      <c r="A5450" s="955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  <c r="R5450" s="2"/>
    </row>
    <row r="5451" spans="1:18" ht="19.5" hidden="1" thickBot="1" x14ac:dyDescent="0.3">
      <c r="A5451" s="956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  <c r="R5451" s="2"/>
    </row>
    <row r="5452" spans="1:18" ht="19.5" hidden="1" thickBot="1" x14ac:dyDescent="0.3">
      <c r="A5452" s="957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  <c r="R5452" s="2"/>
    </row>
    <row r="5453" spans="1:18" ht="19.5" hidden="1" thickBot="1" x14ac:dyDescent="0.3">
      <c r="A5453" s="961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  <c r="R5453" s="2"/>
    </row>
    <row r="5454" spans="1:18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  <c r="R5454" s="2"/>
    </row>
    <row r="5455" spans="1:18" ht="19.5" hidden="1" thickBot="1" x14ac:dyDescent="0.3">
      <c r="A5455" s="957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  <c r="R5455" s="2"/>
    </row>
    <row r="5456" spans="1:18" ht="19.5" hidden="1" thickBot="1" x14ac:dyDescent="0.3">
      <c r="A5456" s="961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  <c r="R5456" s="2"/>
    </row>
    <row r="5457" spans="1:18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  <c r="R5457" s="2"/>
    </row>
    <row r="5458" spans="1:18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  <c r="R5458" s="2"/>
    </row>
    <row r="5459" spans="1:18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  <c r="R5459" s="2"/>
    </row>
    <row r="5460" spans="1:18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  <c r="R5460" s="2"/>
    </row>
    <row r="5461" spans="1:18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  <c r="R5461" s="2"/>
    </row>
    <row r="5462" spans="1:18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  <c r="R5462" s="2"/>
    </row>
    <row r="5463" spans="1:18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  <c r="R5463" s="2"/>
    </row>
    <row r="5464" spans="1:18" ht="19.5" hidden="1" thickBot="1" x14ac:dyDescent="0.3">
      <c r="A5464" s="957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  <c r="R5464" s="2"/>
    </row>
    <row r="5465" spans="1:18" ht="19.5" hidden="1" thickBot="1" x14ac:dyDescent="0.3">
      <c r="A5465" s="958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  <c r="R5465" s="2"/>
    </row>
    <row r="5466" spans="1:18" ht="19.5" hidden="1" thickBot="1" x14ac:dyDescent="0.3">
      <c r="A5466" s="958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  <c r="R5466" s="2"/>
    </row>
    <row r="5467" spans="1:18" ht="19.5" hidden="1" thickBot="1" x14ac:dyDescent="0.3">
      <c r="A5467" s="954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  <c r="R5467" s="2"/>
    </row>
    <row r="5468" spans="1:18" ht="19.5" hidden="1" thickBot="1" x14ac:dyDescent="0.3">
      <c r="A5468" s="956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  <c r="R5468" s="2"/>
    </row>
    <row r="5469" spans="1:18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  <c r="R5469" s="2"/>
    </row>
    <row r="5470" spans="1:18" ht="19.5" hidden="1" thickBot="1" x14ac:dyDescent="0.3">
      <c r="A5470" s="954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  <c r="R5470" s="2"/>
    </row>
    <row r="5471" spans="1:18" ht="38.25" hidden="1" thickBot="1" x14ac:dyDescent="0.3">
      <c r="A5471" s="956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  <c r="R5471" s="2"/>
    </row>
    <row r="5472" spans="1:18" ht="19.5" hidden="1" thickBot="1" x14ac:dyDescent="0.3">
      <c r="A5472" s="957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  <c r="R5472" s="2"/>
    </row>
    <row r="5473" spans="1:18" ht="57" hidden="1" thickBot="1" x14ac:dyDescent="0.3">
      <c r="A5473" s="958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  <c r="R5473" s="2"/>
    </row>
    <row r="5474" spans="1:18" ht="19.5" hidden="1" thickBot="1" x14ac:dyDescent="0.3">
      <c r="A5474" s="961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  <c r="R5474" s="2"/>
    </row>
    <row r="5475" spans="1:18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  <c r="R5475" s="2"/>
    </row>
    <row r="5476" spans="1:18" ht="19.5" hidden="1" thickBot="1" x14ac:dyDescent="0.3">
      <c r="A5476" s="957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  <c r="R5476" s="2"/>
    </row>
    <row r="5477" spans="1:18" ht="19.5" hidden="1" thickBot="1" x14ac:dyDescent="0.3">
      <c r="A5477" s="958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  <c r="R5477" s="2"/>
    </row>
    <row r="5478" spans="1:18" ht="19.5" hidden="1" thickBot="1" x14ac:dyDescent="0.3">
      <c r="A5478" s="961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  <c r="R5478" s="2"/>
    </row>
    <row r="5479" spans="1:18" ht="19.5" hidden="1" thickBot="1" x14ac:dyDescent="0.3">
      <c r="A5479" s="954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  <c r="R5479" s="2"/>
    </row>
    <row r="5480" spans="1:18" ht="19.5" hidden="1" thickBot="1" x14ac:dyDescent="0.3">
      <c r="A5480" s="955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  <c r="R5480" s="2"/>
    </row>
    <row r="5481" spans="1:18" ht="19.5" hidden="1" thickBot="1" x14ac:dyDescent="0.3">
      <c r="A5481" s="956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  <c r="R5481" s="2"/>
    </row>
    <row r="5482" spans="1:18" ht="19.5" hidden="1" thickBot="1" x14ac:dyDescent="0.3">
      <c r="A5482" s="957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  <c r="R5482" s="2"/>
    </row>
    <row r="5483" spans="1:18" ht="19.5" hidden="1" thickBot="1" x14ac:dyDescent="0.3">
      <c r="A5483" s="958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  <c r="R5483" s="2"/>
    </row>
    <row r="5484" spans="1:18" ht="19.5" hidden="1" thickBot="1" x14ac:dyDescent="0.3">
      <c r="A5484" s="961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  <c r="R5484" s="2"/>
    </row>
    <row r="5485" spans="1:18" ht="19.5" hidden="1" thickBot="1" x14ac:dyDescent="0.3">
      <c r="A5485" s="954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  <c r="R5485" s="2"/>
    </row>
    <row r="5486" spans="1:18" ht="19.5" hidden="1" thickBot="1" x14ac:dyDescent="0.3">
      <c r="A5486" s="955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  <c r="R5486" s="2"/>
    </row>
    <row r="5487" spans="1:18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  <c r="R5487" s="2"/>
    </row>
    <row r="5488" spans="1:18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  <c r="R5488" s="2"/>
    </row>
    <row r="5489" spans="1:18" ht="19.5" hidden="1" thickBot="1" x14ac:dyDescent="0.3">
      <c r="A5489" s="957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970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  <c r="R5489" s="2"/>
    </row>
    <row r="5490" spans="1:18" ht="19.5" hidden="1" thickBot="1" x14ac:dyDescent="0.3">
      <c r="A5490" s="961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971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  <c r="R5490" s="2"/>
    </row>
    <row r="5491" spans="1:18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  <c r="R5491" s="2"/>
    </row>
    <row r="5492" spans="1:18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  <c r="R5492" s="2"/>
    </row>
    <row r="5493" spans="1:18" ht="19.5" hidden="1" thickBot="1" x14ac:dyDescent="0.3">
      <c r="A5493" s="954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  <c r="R5493" s="2"/>
    </row>
    <row r="5494" spans="1:18" ht="19.5" hidden="1" thickBot="1" x14ac:dyDescent="0.3">
      <c r="A5494" s="955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  <c r="R5494" s="2"/>
    </row>
    <row r="5495" spans="1:18" ht="19.5" hidden="1" thickBot="1" x14ac:dyDescent="0.3">
      <c r="A5495" s="956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  <c r="R5495" s="2"/>
    </row>
    <row r="5496" spans="1:18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  <c r="R5496" s="2"/>
    </row>
    <row r="5497" spans="1:18" ht="19.5" hidden="1" thickBot="1" x14ac:dyDescent="0.3">
      <c r="A5497" s="954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  <c r="R5497" s="2"/>
    </row>
    <row r="5498" spans="1:18" ht="19.5" hidden="1" thickBot="1" x14ac:dyDescent="0.3">
      <c r="A5498" s="956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  <c r="R5498" s="2"/>
    </row>
    <row r="5499" spans="1:18" ht="19.5" hidden="1" thickBot="1" x14ac:dyDescent="0.3">
      <c r="A5499" s="957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  <c r="R5499" s="2"/>
    </row>
    <row r="5500" spans="1:18" ht="19.5" hidden="1" thickBot="1" x14ac:dyDescent="0.3">
      <c r="A5500" s="961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  <c r="R5500" s="2"/>
    </row>
    <row r="5501" spans="1:18" ht="19.5" hidden="1" thickBot="1" x14ac:dyDescent="0.3">
      <c r="A5501" s="954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  <c r="R5501" s="2"/>
    </row>
    <row r="5502" spans="1:18" ht="19.5" hidden="1" thickBot="1" x14ac:dyDescent="0.3">
      <c r="A5502" s="956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  <c r="R5502" s="2"/>
    </row>
    <row r="5503" spans="1:18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  <c r="R5503" s="2"/>
    </row>
    <row r="5504" spans="1:18" ht="19.5" hidden="1" thickBot="1" x14ac:dyDescent="0.3">
      <c r="A5504" s="954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967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  <c r="R5504" s="2"/>
    </row>
    <row r="5505" spans="1:18" ht="19.5" hidden="1" thickBot="1" x14ac:dyDescent="0.3">
      <c r="A5505" s="956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968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  <c r="R5505" s="2"/>
    </row>
    <row r="5506" spans="1:18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  <c r="R5506" s="2"/>
    </row>
    <row r="5507" spans="1:18" ht="19.5" hidden="1" thickBot="1" x14ac:dyDescent="0.3">
      <c r="A5507" s="954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  <c r="R5507" s="2"/>
    </row>
    <row r="5508" spans="1:18" ht="19.5" hidden="1" thickBot="1" x14ac:dyDescent="0.3">
      <c r="A5508" s="956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  <c r="R5508" s="2"/>
    </row>
    <row r="5509" spans="1:18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  <c r="R5509" s="2"/>
    </row>
    <row r="5510" spans="1:18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  <c r="R5510" s="2"/>
    </row>
    <row r="5511" spans="1:18" ht="19.5" hidden="1" thickBot="1" x14ac:dyDescent="0.3">
      <c r="A5511" s="957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  <c r="R5511" s="2"/>
    </row>
    <row r="5512" spans="1:18" ht="19.5" hidden="1" thickBot="1" x14ac:dyDescent="0.3">
      <c r="A5512" s="961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  <c r="R5512" s="2"/>
    </row>
    <row r="5513" spans="1:18" ht="19.5" hidden="1" thickBot="1" x14ac:dyDescent="0.3">
      <c r="A5513" s="954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  <c r="R5513" s="2"/>
    </row>
    <row r="5514" spans="1:18" ht="19.5" hidden="1" thickBot="1" x14ac:dyDescent="0.3">
      <c r="A5514" s="956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  <c r="R5514" s="2"/>
    </row>
    <row r="5515" spans="1:18" ht="19.5" hidden="1" thickBot="1" x14ac:dyDescent="0.3">
      <c r="A5515" s="957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970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  <c r="R5515" s="2"/>
    </row>
    <row r="5516" spans="1:18" ht="19.5" hidden="1" thickBot="1" x14ac:dyDescent="0.3">
      <c r="A5516" s="961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971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  <c r="R5516" s="2"/>
    </row>
    <row r="5517" spans="1:18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  <c r="R5517" s="2"/>
    </row>
    <row r="5518" spans="1:18" ht="19.5" hidden="1" thickBot="1" x14ac:dyDescent="0.3">
      <c r="A5518" s="957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  <c r="R5518" s="2"/>
    </row>
    <row r="5519" spans="1:18" ht="19.5" hidden="1" thickBot="1" x14ac:dyDescent="0.3">
      <c r="A5519" s="958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  <c r="R5519" s="2"/>
    </row>
    <row r="5520" spans="1:18" ht="57" hidden="1" thickBot="1" x14ac:dyDescent="0.3">
      <c r="A5520" s="958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  <c r="R5520" s="2"/>
    </row>
    <row r="5521" spans="1:18" ht="19.5" hidden="1" thickBot="1" x14ac:dyDescent="0.3">
      <c r="A5521" s="958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  <c r="R5521" s="2"/>
    </row>
    <row r="5522" spans="1:18" ht="19.5" hidden="1" thickBot="1" x14ac:dyDescent="0.3">
      <c r="A5522" s="961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  <c r="R5522" s="2"/>
    </row>
    <row r="5523" spans="1:18" ht="19.5" hidden="1" thickBot="1" x14ac:dyDescent="0.3">
      <c r="A5523" s="954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  <c r="R5523" s="2"/>
    </row>
    <row r="5524" spans="1:18" ht="19.5" hidden="1" thickBot="1" x14ac:dyDescent="0.3">
      <c r="A5524" s="955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  <c r="R5524" s="2"/>
    </row>
    <row r="5525" spans="1:18" ht="19.5" hidden="1" thickBot="1" x14ac:dyDescent="0.3">
      <c r="A5525" s="956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  <c r="R5525" s="2"/>
    </row>
    <row r="5526" spans="1:18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  <c r="R5526" s="2"/>
    </row>
    <row r="5527" spans="1:18" ht="19.5" hidden="1" thickBot="1" x14ac:dyDescent="0.3">
      <c r="A5527" s="954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  <c r="R5527" s="2"/>
    </row>
    <row r="5528" spans="1:18" ht="19.5" hidden="1" thickBot="1" x14ac:dyDescent="0.3">
      <c r="A5528" s="955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  <c r="R5528" s="2"/>
    </row>
    <row r="5529" spans="1:18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  <c r="R5529" s="2"/>
    </row>
    <row r="5530" spans="1:18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  <c r="R5530" s="2"/>
    </row>
    <row r="5531" spans="1:18" ht="19.5" hidden="1" thickBot="1" x14ac:dyDescent="0.3">
      <c r="A5531" s="957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970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  <c r="R5531" s="2"/>
    </row>
    <row r="5532" spans="1:18" ht="19.5" hidden="1" thickBot="1" x14ac:dyDescent="0.3">
      <c r="A5532" s="961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971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  <c r="R5532" s="2"/>
    </row>
    <row r="5533" spans="1:18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  <c r="R5533" s="2"/>
    </row>
    <row r="5534" spans="1:18" ht="19.5" hidden="1" thickBot="1" x14ac:dyDescent="0.3">
      <c r="A5534" s="957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970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  <c r="R5534" s="2"/>
    </row>
    <row r="5535" spans="1:18" ht="19.5" hidden="1" thickBot="1" x14ac:dyDescent="0.3">
      <c r="A5535" s="958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973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  <c r="R5535" s="2"/>
    </row>
    <row r="5536" spans="1:18" ht="19.5" hidden="1" thickBot="1" x14ac:dyDescent="0.3">
      <c r="A5536" s="958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973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  <c r="R5536" s="2"/>
    </row>
    <row r="5537" spans="1:18" ht="19.5" hidden="1" thickBot="1" x14ac:dyDescent="0.3">
      <c r="A5537" s="958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973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  <c r="R5537" s="2"/>
    </row>
    <row r="5538" spans="1:18" ht="19.5" hidden="1" thickBot="1" x14ac:dyDescent="0.3">
      <c r="A5538" s="961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971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  <c r="R5538" s="2"/>
    </row>
    <row r="5539" spans="1:18" ht="19.5" hidden="1" thickBot="1" x14ac:dyDescent="0.3">
      <c r="A5539" s="954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  <c r="R5539" s="2"/>
    </row>
    <row r="5540" spans="1:18" ht="19.5" hidden="1" thickBot="1" x14ac:dyDescent="0.3">
      <c r="A5540" s="955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  <c r="R5540" s="2"/>
    </row>
    <row r="5541" spans="1:18" ht="19.5" hidden="1" thickBot="1" x14ac:dyDescent="0.3">
      <c r="A5541" s="956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  <c r="R5541" s="2"/>
    </row>
    <row r="5542" spans="1:18" ht="19.5" hidden="1" thickBot="1" x14ac:dyDescent="0.3">
      <c r="A5542" s="957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  <c r="R5542" s="2"/>
    </row>
    <row r="5543" spans="1:18" ht="19.5" hidden="1" thickBot="1" x14ac:dyDescent="0.3">
      <c r="A5543" s="958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  <c r="R5543" s="2"/>
    </row>
    <row r="5544" spans="1:18" ht="19.5" hidden="1" thickBot="1" x14ac:dyDescent="0.3">
      <c r="A5544" s="958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  <c r="R5544" s="2"/>
    </row>
    <row r="5545" spans="1:18" ht="19.5" hidden="1" thickBot="1" x14ac:dyDescent="0.3">
      <c r="A5545" s="958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  <c r="R5545" s="2"/>
    </row>
    <row r="5546" spans="1:18" ht="19.5" hidden="1" thickBot="1" x14ac:dyDescent="0.3">
      <c r="A5546" s="961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  <c r="R5546" s="2"/>
    </row>
    <row r="5547" spans="1:18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  <c r="R5547" s="2"/>
    </row>
    <row r="5548" spans="1:18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  <c r="R5548" s="2"/>
    </row>
    <row r="5549" spans="1:18" ht="27.75" hidden="1" customHeight="1" x14ac:dyDescent="0.25">
      <c r="A5549" s="954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967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  <c r="R5549" s="2"/>
    </row>
    <row r="5550" spans="1:18" ht="27.75" hidden="1" customHeight="1" thickBot="1" x14ac:dyDescent="0.3">
      <c r="A5550" s="956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968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  <c r="R5550" s="2"/>
    </row>
    <row r="5551" spans="1:18" ht="19.5" hidden="1" thickBot="1" x14ac:dyDescent="0.3">
      <c r="A5551" s="957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  <c r="R5551" s="2"/>
    </row>
    <row r="5552" spans="1:18" ht="19.5" hidden="1" thickBot="1" x14ac:dyDescent="0.3">
      <c r="A5552" s="961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  <c r="R5552" s="2"/>
    </row>
    <row r="5553" spans="1:18" ht="19.5" hidden="1" thickBot="1" x14ac:dyDescent="0.3">
      <c r="A5553" s="954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  <c r="R5553" s="2"/>
    </row>
    <row r="5554" spans="1:18" ht="19.5" hidden="1" thickBot="1" x14ac:dyDescent="0.3">
      <c r="A5554" s="955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  <c r="R5554" s="2"/>
    </row>
    <row r="5555" spans="1:18" ht="19.5" hidden="1" thickBot="1" x14ac:dyDescent="0.3">
      <c r="A5555" s="956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  <c r="R5555" s="2"/>
    </row>
    <row r="5556" spans="1:18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  <c r="R5556" s="2"/>
    </row>
    <row r="5557" spans="1:18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  <c r="R5557" s="2"/>
    </row>
    <row r="5558" spans="1:18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  <c r="R5558" s="2"/>
    </row>
    <row r="5559" spans="1:18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  <c r="R5559" s="2"/>
    </row>
    <row r="5560" spans="1:18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  <c r="R5560" s="2"/>
    </row>
    <row r="5561" spans="1:18" ht="19.5" hidden="1" thickBot="1" x14ac:dyDescent="0.3">
      <c r="A5561" s="954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  <c r="R5561" s="2"/>
    </row>
    <row r="5562" spans="1:18" ht="19.5" hidden="1" thickBot="1" x14ac:dyDescent="0.3">
      <c r="A5562" s="956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  <c r="R5562" s="2"/>
    </row>
    <row r="5563" spans="1:18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  <c r="R5563" s="2"/>
    </row>
    <row r="5564" spans="1:18" ht="19.5" hidden="1" thickBot="1" x14ac:dyDescent="0.3">
      <c r="A5564" s="954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  <c r="R5564" s="2"/>
    </row>
    <row r="5565" spans="1:18" ht="19.5" hidden="1" thickBot="1" x14ac:dyDescent="0.3">
      <c r="A5565" s="956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  <c r="R5565" s="2"/>
    </row>
    <row r="5566" spans="1:18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  <c r="R5566" s="2"/>
    </row>
    <row r="5567" spans="1:18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  <c r="R5567" s="2"/>
    </row>
    <row r="5568" spans="1:18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  <c r="R5568" s="2"/>
    </row>
    <row r="5569" spans="1:18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  <c r="R5569" s="2"/>
    </row>
    <row r="5570" spans="1:18" ht="19.5" hidden="1" thickBot="1" x14ac:dyDescent="0.3">
      <c r="A5570" s="957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  <c r="R5570" s="2"/>
    </row>
    <row r="5571" spans="1:18" ht="19.5" hidden="1" thickBot="1" x14ac:dyDescent="0.3">
      <c r="A5571" s="958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  <c r="R5571" s="2"/>
    </row>
    <row r="5572" spans="1:18" ht="19.5" hidden="1" thickBot="1" x14ac:dyDescent="0.3">
      <c r="A5572" s="961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  <c r="R5572" s="2"/>
    </row>
    <row r="5573" spans="1:18" ht="19.5" hidden="1" thickBot="1" x14ac:dyDescent="0.3">
      <c r="A5573" s="954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  <c r="R5573" s="2"/>
    </row>
    <row r="5574" spans="1:18" ht="19.5" hidden="1" thickBot="1" x14ac:dyDescent="0.3">
      <c r="A5574" s="956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  <c r="R5574" s="2"/>
    </row>
    <row r="5575" spans="1:18" ht="19.5" hidden="1" thickBot="1" x14ac:dyDescent="0.3">
      <c r="A5575" s="957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  <c r="R5575" s="2"/>
    </row>
    <row r="5576" spans="1:18" ht="19.5" hidden="1" thickBot="1" x14ac:dyDescent="0.3">
      <c r="A5576" s="961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  <c r="R5576" s="2"/>
    </row>
    <row r="5577" spans="1:18" ht="19.5" hidden="1" thickBot="1" x14ac:dyDescent="0.3">
      <c r="A5577" s="954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  <c r="R5577" s="2"/>
    </row>
    <row r="5578" spans="1:18" ht="19.5" hidden="1" thickBot="1" x14ac:dyDescent="0.3">
      <c r="A5578" s="955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  <c r="R5578" s="2"/>
    </row>
    <row r="5579" spans="1:18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  <c r="R5579" s="2"/>
    </row>
    <row r="5580" spans="1:18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  <c r="R5580" s="2"/>
    </row>
    <row r="5581" spans="1:18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  <c r="R5581" s="2"/>
    </row>
    <row r="5582" spans="1:18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  <c r="R5582" s="2"/>
    </row>
    <row r="5583" spans="1:18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  <c r="R5583" s="2"/>
    </row>
    <row r="5584" spans="1:18" ht="19.5" hidden="1" thickBot="1" x14ac:dyDescent="0.3">
      <c r="A5584" s="954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  <c r="R5584" s="2"/>
    </row>
    <row r="5585" spans="1:18" ht="19.5" hidden="1" thickBot="1" x14ac:dyDescent="0.3">
      <c r="A5585" s="955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  <c r="R5585" s="2"/>
    </row>
    <row r="5586" spans="1:18" ht="19.5" hidden="1" thickBot="1" x14ac:dyDescent="0.3">
      <c r="A5586" s="955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  <c r="R5586" s="2"/>
    </row>
    <row r="5587" spans="1:18" ht="19.5" hidden="1" thickBot="1" x14ac:dyDescent="0.3">
      <c r="A5587" s="956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  <c r="R5587" s="2"/>
    </row>
    <row r="5588" spans="1:18" ht="19.5" hidden="1" thickBot="1" x14ac:dyDescent="0.3">
      <c r="A5588" s="957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  <c r="R5588" s="2"/>
    </row>
    <row r="5589" spans="1:18" ht="19.5" hidden="1" thickBot="1" x14ac:dyDescent="0.3">
      <c r="A5589" s="961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  <c r="R5589" s="2"/>
    </row>
    <row r="5590" spans="1:18" ht="19.5" hidden="1" thickBot="1" x14ac:dyDescent="0.3">
      <c r="A5590" s="954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  <c r="R5590" s="2"/>
    </row>
    <row r="5591" spans="1:18" ht="19.5" hidden="1" thickBot="1" x14ac:dyDescent="0.3">
      <c r="A5591" s="955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  <c r="R5591" s="2"/>
    </row>
    <row r="5592" spans="1:18" ht="19.5" hidden="1" thickBot="1" x14ac:dyDescent="0.3">
      <c r="A5592" s="956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  <c r="R5592" s="2"/>
    </row>
    <row r="5593" spans="1:18" ht="19.5" hidden="1" thickBot="1" x14ac:dyDescent="0.3">
      <c r="A5593" s="957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  <c r="R5593" s="2"/>
    </row>
    <row r="5594" spans="1:18" ht="19.5" hidden="1" thickBot="1" x14ac:dyDescent="0.3">
      <c r="A5594" s="961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  <c r="R5594" s="2"/>
    </row>
    <row r="5595" spans="1:18" ht="19.5" hidden="1" thickBot="1" x14ac:dyDescent="0.3">
      <c r="A5595" s="954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  <c r="R5595" s="2"/>
    </row>
    <row r="5596" spans="1:18" ht="19.5" hidden="1" thickBot="1" x14ac:dyDescent="0.3">
      <c r="A5596" s="956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  <c r="R5596" s="2"/>
    </row>
    <row r="5597" spans="1:18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  <c r="R5597" s="2"/>
    </row>
    <row r="5598" spans="1:18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  <c r="R5598" s="2"/>
    </row>
    <row r="5599" spans="1:18" ht="19.5" hidden="1" thickBot="1" x14ac:dyDescent="0.3">
      <c r="A5599" s="957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970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  <c r="R5599" s="2"/>
    </row>
    <row r="5600" spans="1:18" ht="19.5" hidden="1" thickBot="1" x14ac:dyDescent="0.3">
      <c r="A5600" s="961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971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  <c r="R5600" s="2"/>
    </row>
    <row r="5601" spans="1:18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  <c r="R5601" s="2"/>
    </row>
    <row r="5602" spans="1:18" ht="19.5" hidden="1" thickBot="1" x14ac:dyDescent="0.3">
      <c r="A5602" s="957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  <c r="R5602" s="2"/>
    </row>
    <row r="5603" spans="1:18" ht="19.5" hidden="1" thickBot="1" x14ac:dyDescent="0.3">
      <c r="A5603" s="958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  <c r="R5603" s="2"/>
    </row>
    <row r="5604" spans="1:18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  <c r="R5604" s="2"/>
    </row>
    <row r="5605" spans="1:18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  <c r="R5605" s="2"/>
    </row>
    <row r="5606" spans="1:18" ht="19.5" hidden="1" thickBot="1" x14ac:dyDescent="0.3">
      <c r="A5606" s="954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  <c r="R5606" s="2"/>
    </row>
    <row r="5607" spans="1:18" ht="19.5" hidden="1" thickBot="1" x14ac:dyDescent="0.3">
      <c r="A5607" s="956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  <c r="R5607" s="2"/>
    </row>
    <row r="5608" spans="1:18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  <c r="R5608" s="2"/>
    </row>
    <row r="5609" spans="1:18" ht="19.5" hidden="1" thickBot="1" x14ac:dyDescent="0.3">
      <c r="A5609" s="954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  <c r="R5609" s="2"/>
    </row>
    <row r="5610" spans="1:18" ht="19.5" hidden="1" thickBot="1" x14ac:dyDescent="0.3">
      <c r="A5610" s="956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  <c r="R5610" s="2"/>
    </row>
    <row r="5611" spans="1:18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  <c r="R5611" s="2"/>
    </row>
    <row r="5612" spans="1:18" ht="19.5" hidden="1" thickBot="1" x14ac:dyDescent="0.3">
      <c r="A5612" s="954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  <c r="R5612" s="2"/>
    </row>
    <row r="5613" spans="1:18" ht="57" hidden="1" thickBot="1" x14ac:dyDescent="0.3">
      <c r="A5613" s="955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  <c r="R5613" s="2"/>
    </row>
    <row r="5614" spans="1:18" ht="19.5" hidden="1" thickBot="1" x14ac:dyDescent="0.3">
      <c r="A5614" s="955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  <c r="R5614" s="2"/>
    </row>
    <row r="5615" spans="1:18" ht="19.5" hidden="1" thickBot="1" x14ac:dyDescent="0.3">
      <c r="A5615" s="956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  <c r="R5615" s="2"/>
    </row>
    <row r="5616" spans="1:18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  <c r="R5616" s="2"/>
    </row>
    <row r="5617" spans="1:18" ht="19.5" hidden="1" thickBot="1" x14ac:dyDescent="0.3">
      <c r="A5617" s="954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  <c r="R5617" s="2"/>
    </row>
    <row r="5618" spans="1:18" ht="19.5" hidden="1" thickBot="1" x14ac:dyDescent="0.3">
      <c r="A5618" s="956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  <c r="R5618" s="2"/>
    </row>
    <row r="5619" spans="1:18" ht="19.5" hidden="1" thickBot="1" x14ac:dyDescent="0.3">
      <c r="A5619" s="957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  <c r="R5619" s="2"/>
    </row>
    <row r="5620" spans="1:18" ht="19.5" hidden="1" thickBot="1" x14ac:dyDescent="0.3">
      <c r="A5620" s="961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  <c r="R5620" s="2"/>
    </row>
    <row r="5621" spans="1:18" ht="19.5" hidden="1" thickBot="1" x14ac:dyDescent="0.3">
      <c r="A5621" s="954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  <c r="R5621" s="2"/>
    </row>
    <row r="5622" spans="1:18" ht="19.5" hidden="1" thickBot="1" x14ac:dyDescent="0.3">
      <c r="A5622" s="956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  <c r="R5622" s="2"/>
    </row>
    <row r="5623" spans="1:18" ht="29.25" hidden="1" customHeight="1" x14ac:dyDescent="0.25">
      <c r="A5623" s="957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970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  <c r="R5623" s="2"/>
    </row>
    <row r="5624" spans="1:18" ht="29.25" hidden="1" customHeight="1" thickBot="1" x14ac:dyDescent="0.3">
      <c r="A5624" s="961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971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  <c r="R5624" s="2"/>
    </row>
    <row r="5625" spans="1:18" ht="19.5" hidden="1" thickBot="1" x14ac:dyDescent="0.3">
      <c r="A5625" s="954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  <c r="R5625" s="2"/>
    </row>
    <row r="5626" spans="1:18" ht="19.5" hidden="1" thickBot="1" x14ac:dyDescent="0.3">
      <c r="A5626" s="956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  <c r="R5626" s="2"/>
    </row>
    <row r="5627" spans="1:18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  <c r="R5627" s="2"/>
    </row>
    <row r="5628" spans="1:18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  <c r="R5628" s="2"/>
    </row>
    <row r="5629" spans="1:18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  <c r="R5629" s="2"/>
    </row>
    <row r="5630" spans="1:18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  <c r="R5630" s="2"/>
    </row>
    <row r="5631" spans="1:18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  <c r="R5631" s="2"/>
    </row>
    <row r="5632" spans="1:18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  <c r="R5632" s="2"/>
    </row>
    <row r="5633" spans="1:18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  <c r="R5633" s="2"/>
    </row>
    <row r="5634" spans="1:18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  <c r="R5634" s="2"/>
    </row>
    <row r="5635" spans="1:18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  <c r="R5635" s="2"/>
    </row>
    <row r="5636" spans="1:18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  <c r="R5636" s="2"/>
    </row>
    <row r="5637" spans="1:18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  <c r="R5637" s="2"/>
    </row>
    <row r="5638" spans="1:18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  <c r="R5638" s="2"/>
    </row>
    <row r="5639" spans="1:18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  <c r="R5639" s="2"/>
    </row>
    <row r="5640" spans="1:18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  <c r="R5640" s="2"/>
    </row>
    <row r="5641" spans="1:18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  <c r="R5641" s="2"/>
    </row>
    <row r="5642" spans="1:18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  <c r="R5642" s="2"/>
    </row>
    <row r="5643" spans="1:18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  <c r="R5643" s="2"/>
    </row>
    <row r="5644" spans="1:18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  <c r="R5644" s="2"/>
    </row>
    <row r="5645" spans="1:18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  <c r="R5645" s="2"/>
    </row>
    <row r="5646" spans="1:18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  <c r="R5646" s="2"/>
    </row>
    <row r="5647" spans="1:18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  <c r="R5647" s="2"/>
    </row>
    <row r="5648" spans="1:18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  <c r="R5648" s="2"/>
    </row>
    <row r="5649" spans="1:18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  <c r="R5649" s="2"/>
    </row>
    <row r="5650" spans="1:18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  <c r="R5650" s="2"/>
    </row>
    <row r="5651" spans="1:18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  <c r="R5651" s="2"/>
    </row>
    <row r="5652" spans="1:18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  <c r="R5652" s="2"/>
    </row>
    <row r="5653" spans="1:18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  <c r="R5653" s="2"/>
    </row>
    <row r="5654" spans="1:18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  <c r="R5654" s="2"/>
    </row>
    <row r="5655" spans="1:18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  <c r="R5655" s="2"/>
    </row>
    <row r="5656" spans="1:18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  <c r="R5656" s="2"/>
    </row>
    <row r="5657" spans="1:18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  <c r="R5657" s="2"/>
    </row>
    <row r="5658" spans="1:18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  <c r="R5658" s="2"/>
    </row>
    <row r="5659" spans="1:18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  <c r="R5659" s="2"/>
    </row>
    <row r="5660" spans="1:18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  <c r="R5660" s="2"/>
    </row>
    <row r="5661" spans="1:18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  <c r="R5661" s="2"/>
    </row>
    <row r="5662" spans="1:18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  <c r="R5662" s="2"/>
    </row>
    <row r="5663" spans="1:18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  <c r="R5663" s="2"/>
    </row>
    <row r="5664" spans="1:18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  <c r="R5664" s="2"/>
    </row>
    <row r="5665" spans="1:18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  <c r="R5665" s="2"/>
    </row>
    <row r="5666" spans="1:18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  <c r="R5666" s="2"/>
    </row>
    <row r="5667" spans="1:18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  <c r="R5667" s="2"/>
    </row>
    <row r="5668" spans="1:18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  <c r="R5668" s="2"/>
    </row>
    <row r="5669" spans="1:18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  <c r="R5669" s="2"/>
    </row>
    <row r="5670" spans="1:18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  <c r="R5670" s="2"/>
    </row>
    <row r="5671" spans="1:18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  <c r="R5671" s="2"/>
    </row>
    <row r="5672" spans="1:18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  <c r="R5672" s="2"/>
    </row>
    <row r="5673" spans="1:18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  <c r="R5673" s="2"/>
    </row>
    <row r="5674" spans="1:18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  <c r="R5674" s="2"/>
    </row>
    <row r="5675" spans="1:18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  <c r="R5675" s="2"/>
    </row>
    <row r="5676" spans="1:18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  <c r="R5676" s="2"/>
    </row>
    <row r="5677" spans="1:18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  <c r="R5677" s="2"/>
    </row>
    <row r="5678" spans="1:18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  <c r="R5678" s="2"/>
    </row>
    <row r="5679" spans="1:18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  <c r="R5679" s="2"/>
    </row>
    <row r="5680" spans="1:18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  <c r="R5680" s="2"/>
    </row>
    <row r="5681" spans="1:18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  <c r="R5681" s="2"/>
    </row>
    <row r="5682" spans="1:18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  <c r="R5682" s="2"/>
    </row>
    <row r="5683" spans="1:18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  <c r="R5683" s="2"/>
    </row>
    <row r="5684" spans="1:18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  <c r="R5684" s="2"/>
    </row>
    <row r="5685" spans="1:18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  <c r="R5685" s="2"/>
    </row>
    <row r="5686" spans="1:18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  <c r="R5686" s="2"/>
    </row>
    <row r="5687" spans="1:18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  <c r="R5687" s="2"/>
    </row>
    <row r="5688" spans="1:18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  <c r="R5688" s="2"/>
    </row>
    <row r="5689" spans="1:18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  <c r="R5689" s="2"/>
    </row>
    <row r="5690" spans="1:18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  <c r="R5690" s="2"/>
    </row>
    <row r="5691" spans="1:18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  <c r="R5691" s="2"/>
    </row>
    <row r="5692" spans="1:18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  <c r="R5692" s="2"/>
    </row>
    <row r="5693" spans="1:18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  <c r="R5693" s="2"/>
    </row>
    <row r="5694" spans="1:18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  <c r="R5694" s="2"/>
    </row>
    <row r="5695" spans="1:18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  <c r="R5695" s="2"/>
    </row>
    <row r="5696" spans="1:18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  <c r="R5696" s="2"/>
    </row>
    <row r="5697" spans="1:18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  <c r="R5697" s="2"/>
    </row>
    <row r="5698" spans="1:18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  <c r="R5698" s="2"/>
    </row>
    <row r="5699" spans="1:18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  <c r="R5699" s="2"/>
    </row>
    <row r="5700" spans="1:18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  <c r="R5700" s="2"/>
    </row>
    <row r="5701" spans="1:18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  <c r="R5701" s="2"/>
    </row>
    <row r="5702" spans="1:18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  <c r="R5702" s="2"/>
    </row>
    <row r="5703" spans="1:18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  <c r="R5703" s="2"/>
    </row>
    <row r="5704" spans="1:18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  <c r="R5704" s="2"/>
    </row>
    <row r="5705" spans="1:18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  <c r="R5705" s="2"/>
    </row>
    <row r="5706" spans="1:18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  <c r="R5706" s="2"/>
    </row>
    <row r="5707" spans="1:18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  <c r="R5707" s="2"/>
    </row>
    <row r="5708" spans="1:18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  <c r="R5708" s="2"/>
    </row>
    <row r="5709" spans="1:18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  <c r="R5709" s="2"/>
    </row>
    <row r="5710" spans="1:18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  <c r="R5710" s="2"/>
    </row>
    <row r="5711" spans="1:18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  <c r="R5711" s="2"/>
    </row>
    <row r="5712" spans="1:18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  <c r="R5712" s="2"/>
    </row>
    <row r="5713" spans="1:18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  <c r="R5713" s="2"/>
    </row>
    <row r="5714" spans="1:18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  <c r="R5714" s="2"/>
    </row>
    <row r="5715" spans="1:18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  <c r="R5715" s="2"/>
    </row>
    <row r="5716" spans="1:18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  <c r="R5716" s="2"/>
    </row>
    <row r="5717" spans="1:18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  <c r="R5717" s="2"/>
    </row>
    <row r="5718" spans="1:18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  <c r="R5718" s="2"/>
    </row>
    <row r="5719" spans="1:18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  <c r="R5719" s="2"/>
    </row>
    <row r="5720" spans="1:18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  <c r="R5720" s="2"/>
    </row>
    <row r="5721" spans="1:18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  <c r="R5721" s="2"/>
    </row>
    <row r="5722" spans="1:18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  <c r="R5722" s="2"/>
    </row>
    <row r="5723" spans="1:18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  <c r="R5723" s="2"/>
    </row>
    <row r="5724" spans="1:18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  <c r="R5724" s="2"/>
    </row>
    <row r="5725" spans="1:18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  <c r="R5725" s="2"/>
    </row>
    <row r="5726" spans="1:18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  <c r="R5726" s="2"/>
    </row>
    <row r="5727" spans="1:18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  <c r="R5727" s="2"/>
    </row>
    <row r="5728" spans="1:18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  <c r="R5728" s="2"/>
    </row>
    <row r="5729" spans="1:18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  <c r="R5729" s="2"/>
    </row>
    <row r="5730" spans="1:18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  <c r="R5730" s="2"/>
    </row>
    <row r="5731" spans="1:18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  <c r="R5731" s="2"/>
    </row>
    <row r="5732" spans="1:18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  <c r="R5732" s="2"/>
    </row>
    <row r="5733" spans="1:18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  <c r="R5733" s="2"/>
    </row>
    <row r="5734" spans="1:18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  <c r="R5734" s="2"/>
    </row>
    <row r="5735" spans="1:18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  <c r="R5735" s="2"/>
    </row>
    <row r="5736" spans="1:18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  <c r="R5736" s="2"/>
    </row>
    <row r="5737" spans="1:18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  <c r="R5737" s="2"/>
    </row>
    <row r="5738" spans="1:18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  <c r="R5738" s="2"/>
    </row>
    <row r="5739" spans="1:18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  <c r="R5739" s="2"/>
    </row>
    <row r="5740" spans="1:18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  <c r="R5740" s="2"/>
    </row>
    <row r="5741" spans="1:18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  <c r="R5741" s="2"/>
    </row>
    <row r="5742" spans="1:18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  <c r="R5742" s="2"/>
    </row>
    <row r="5743" spans="1:18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  <c r="R5743" s="2"/>
    </row>
    <row r="5744" spans="1:18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  <c r="R5744" s="2"/>
    </row>
    <row r="5745" spans="1:18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  <c r="R5745" s="2"/>
    </row>
    <row r="5746" spans="1:18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  <c r="R5746" s="2"/>
    </row>
    <row r="5747" spans="1:18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  <c r="R5747" s="2"/>
    </row>
    <row r="5748" spans="1:18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  <c r="R5748" s="2"/>
    </row>
    <row r="5749" spans="1:18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  <c r="R5749" s="2"/>
    </row>
    <row r="5750" spans="1:18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  <c r="R5750" s="2"/>
    </row>
    <row r="5751" spans="1:18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  <c r="R5751" s="2"/>
    </row>
    <row r="5752" spans="1:18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  <c r="R5752" s="2"/>
    </row>
    <row r="5753" spans="1:18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  <c r="R5753" s="2"/>
    </row>
    <row r="5754" spans="1:18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  <c r="R5754" s="2"/>
    </row>
    <row r="5755" spans="1:18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  <c r="R5755" s="2"/>
    </row>
    <row r="5756" spans="1:18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  <c r="R5756" s="2"/>
    </row>
    <row r="5757" spans="1:18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  <c r="R5757" s="2"/>
    </row>
    <row r="5758" spans="1:18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  <c r="R5758" s="2"/>
    </row>
    <row r="5759" spans="1:18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  <c r="R5759" s="2"/>
    </row>
    <row r="5760" spans="1:18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  <c r="R5760" s="2"/>
    </row>
    <row r="5761" spans="1:18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  <c r="R5761" s="2"/>
    </row>
    <row r="5762" spans="1:18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  <c r="R5762" s="2"/>
    </row>
    <row r="5763" spans="1:18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  <c r="R5763" s="2"/>
    </row>
    <row r="5764" spans="1:18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  <c r="R5764" s="2"/>
    </row>
    <row r="5765" spans="1:18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  <c r="R5765" s="2"/>
    </row>
    <row r="5766" spans="1:18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  <c r="R5766" s="2"/>
    </row>
    <row r="5767" spans="1:18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  <c r="R5767" s="2"/>
    </row>
    <row r="5768" spans="1:18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  <c r="R5768" s="2"/>
    </row>
    <row r="5769" spans="1:18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  <c r="R5769" s="2"/>
    </row>
    <row r="5770" spans="1:18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  <c r="R5770" s="2"/>
    </row>
    <row r="5771" spans="1:18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  <c r="R5771" s="2"/>
    </row>
    <row r="5772" spans="1:18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  <c r="R5772" s="2"/>
    </row>
    <row r="5773" spans="1:18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  <c r="R5773" s="2"/>
    </row>
    <row r="5774" spans="1:18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  <c r="R5774" s="2"/>
    </row>
    <row r="5775" spans="1:18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  <c r="R5775" s="2"/>
    </row>
    <row r="5776" spans="1:18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  <c r="R5776" s="2"/>
    </row>
    <row r="5777" spans="1:18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  <c r="R5777" s="2"/>
    </row>
    <row r="5778" spans="1:18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  <c r="R5778" s="2"/>
    </row>
    <row r="5779" spans="1:18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  <c r="R5779" s="2"/>
    </row>
    <row r="5780" spans="1:18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  <c r="R5780" s="2"/>
    </row>
    <row r="5781" spans="1:18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  <c r="R5781" s="2"/>
    </row>
    <row r="5782" spans="1:18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  <c r="R5782" s="2"/>
    </row>
    <row r="5783" spans="1:18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  <c r="R5783" s="2"/>
    </row>
    <row r="5784" spans="1:18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  <c r="R5784" s="2"/>
    </row>
    <row r="5785" spans="1:18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  <c r="R5785" s="2"/>
    </row>
    <row r="5786" spans="1:18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  <c r="R5786" s="2"/>
    </row>
    <row r="5787" spans="1:18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  <c r="R5787" s="2"/>
    </row>
    <row r="5788" spans="1:18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  <c r="R5788" s="2"/>
    </row>
    <row r="5789" spans="1:18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  <c r="R5789" s="2"/>
    </row>
    <row r="5790" spans="1:18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  <c r="R5790" s="2"/>
    </row>
    <row r="5791" spans="1:18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  <c r="R5791" s="2"/>
    </row>
    <row r="5792" spans="1:18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  <c r="R5792" s="2"/>
    </row>
    <row r="5793" spans="1:18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  <c r="R5793" s="2"/>
    </row>
    <row r="5794" spans="1:18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  <c r="R5794" s="2"/>
    </row>
    <row r="5795" spans="1:18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  <c r="R5795" s="2"/>
    </row>
    <row r="5796" spans="1:18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  <c r="R5796" s="2"/>
    </row>
    <row r="5797" spans="1:18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  <c r="R5797" s="2"/>
    </row>
    <row r="5798" spans="1:18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  <c r="R5798" s="2"/>
    </row>
    <row r="5799" spans="1:18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  <c r="R5799" s="2"/>
    </row>
    <row r="5800" spans="1:18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  <c r="R5800" s="2"/>
    </row>
    <row r="5801" spans="1:18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  <c r="R5801" s="2"/>
    </row>
    <row r="5802" spans="1:18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  <c r="R5802" s="2"/>
    </row>
    <row r="5803" spans="1:18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  <c r="R5803" s="2"/>
    </row>
    <row r="5804" spans="1:18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  <c r="R5804" s="2"/>
    </row>
    <row r="5805" spans="1:18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  <c r="R5805" s="2"/>
    </row>
    <row r="5806" spans="1:18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  <c r="R5806" s="2"/>
    </row>
    <row r="5807" spans="1:18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  <c r="R5807" s="2"/>
    </row>
    <row r="5808" spans="1:18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  <c r="R5808" s="2"/>
    </row>
    <row r="5809" spans="1:18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  <c r="R5809" s="2"/>
    </row>
    <row r="5810" spans="1:18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  <c r="R5810" s="2"/>
    </row>
    <row r="5811" spans="1:18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  <c r="R5811" s="2"/>
    </row>
    <row r="5812" spans="1:18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  <c r="R5812" s="2"/>
    </row>
    <row r="5813" spans="1:18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  <c r="R5813" s="2"/>
    </row>
    <row r="5814" spans="1:18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  <c r="R5814" s="2"/>
    </row>
    <row r="5815" spans="1:18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  <c r="R5815" s="2"/>
    </row>
    <row r="5816" spans="1:18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  <c r="R5816" s="2"/>
    </row>
    <row r="5817" spans="1:18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  <c r="R5817" s="2"/>
    </row>
    <row r="5818" spans="1:18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  <c r="R5818" s="2"/>
    </row>
    <row r="5819" spans="1:18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  <c r="R5819" s="2"/>
    </row>
    <row r="5820" spans="1:18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  <c r="R5820" s="2"/>
    </row>
    <row r="5821" spans="1:18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  <c r="R5821" s="2"/>
    </row>
    <row r="5822" spans="1:18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  <c r="R5822" s="2"/>
    </row>
    <row r="5823" spans="1:18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  <c r="R5823" s="2"/>
    </row>
    <row r="5824" spans="1:18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  <c r="R5824" s="2"/>
    </row>
    <row r="5825" spans="1:18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  <c r="R5825" s="2"/>
    </row>
    <row r="5826" spans="1:18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  <c r="R5826" s="2"/>
    </row>
    <row r="5827" spans="1:18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  <c r="R5827" s="2"/>
    </row>
    <row r="5828" spans="1:18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  <c r="R5828" s="2"/>
    </row>
    <row r="5829" spans="1:18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  <c r="R5829" s="2"/>
    </row>
    <row r="5830" spans="1:18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  <c r="R5830" s="2"/>
    </row>
    <row r="5831" spans="1:18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  <c r="R5831" s="2"/>
    </row>
    <row r="5832" spans="1:18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  <c r="R5832" s="2"/>
    </row>
    <row r="5833" spans="1:18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  <c r="R5833" s="2"/>
    </row>
    <row r="5834" spans="1:18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  <c r="R5834" s="2"/>
    </row>
    <row r="5835" spans="1:18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  <c r="R5835" s="2"/>
    </row>
    <row r="5836" spans="1:18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  <c r="R5836" s="2"/>
    </row>
    <row r="5837" spans="1:18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  <c r="R5837" s="2"/>
    </row>
    <row r="5838" spans="1:18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  <c r="R5838" s="2"/>
    </row>
    <row r="5839" spans="1:18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  <c r="R5839" s="2"/>
    </row>
    <row r="5840" spans="1:18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  <c r="R5840" s="2"/>
    </row>
    <row r="5841" spans="1:18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  <c r="R5841" s="2"/>
    </row>
    <row r="5842" spans="1:18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  <c r="R5842" s="2"/>
    </row>
    <row r="5843" spans="1:18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  <c r="R5843" s="2"/>
    </row>
    <row r="5844" spans="1:18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  <c r="R5844" s="2"/>
    </row>
    <row r="5845" spans="1:18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  <c r="R5845" s="2"/>
    </row>
    <row r="5846" spans="1:18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  <c r="R5846" s="2"/>
    </row>
    <row r="5847" spans="1:18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  <c r="R5847" s="2"/>
    </row>
    <row r="5848" spans="1:18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  <c r="R5848" s="2"/>
    </row>
    <row r="5849" spans="1:18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  <c r="R5849" s="2"/>
    </row>
    <row r="5850" spans="1:18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  <c r="R5850" s="2"/>
    </row>
    <row r="5851" spans="1:18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  <c r="R5851" s="2"/>
    </row>
    <row r="5852" spans="1:18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  <c r="R5852" s="2"/>
    </row>
    <row r="5853" spans="1:18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  <c r="R5853" s="2"/>
    </row>
    <row r="5854" spans="1:18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  <c r="R5854" s="2"/>
    </row>
    <row r="5855" spans="1:18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  <c r="R5855" s="2"/>
    </row>
    <row r="5856" spans="1:18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  <c r="R5856" s="2"/>
    </row>
    <row r="5857" spans="1:18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  <c r="R5857" s="2"/>
    </row>
    <row r="5858" spans="1:18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  <c r="R5858" s="2"/>
    </row>
    <row r="5859" spans="1:18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  <c r="R5859" s="2"/>
    </row>
    <row r="5860" spans="1:18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  <c r="R5860" s="2"/>
    </row>
    <row r="5861" spans="1:18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  <c r="R5861" s="2"/>
    </row>
    <row r="5862" spans="1:18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  <c r="R5862" s="2"/>
    </row>
    <row r="5863" spans="1:18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  <c r="R5863" s="2"/>
    </row>
    <row r="5864" spans="1:18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  <c r="R5864" s="2"/>
    </row>
    <row r="5865" spans="1:18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  <c r="R5865" s="2"/>
    </row>
    <row r="5866" spans="1:18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  <c r="R5866" s="2"/>
    </row>
    <row r="5867" spans="1:18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  <c r="R5867" s="2"/>
    </row>
    <row r="5868" spans="1:18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  <c r="R5868" s="2"/>
    </row>
    <row r="5869" spans="1:18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  <c r="R5869" s="2"/>
    </row>
    <row r="5870" spans="1:18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  <c r="R5870" s="2"/>
    </row>
    <row r="5871" spans="1:18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  <c r="R5871" s="2"/>
    </row>
    <row r="5872" spans="1:18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  <c r="R5872" s="2"/>
    </row>
    <row r="5873" spans="1:18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  <c r="R5873" s="2"/>
    </row>
    <row r="5874" spans="1:18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  <c r="R5874" s="2"/>
    </row>
    <row r="5875" spans="1:18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  <c r="R5875" s="2"/>
    </row>
    <row r="5876" spans="1:18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  <c r="R5876" s="2"/>
    </row>
    <row r="5877" spans="1:18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  <c r="R5877" s="2"/>
    </row>
    <row r="5878" spans="1:18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  <c r="R5878" s="2"/>
    </row>
    <row r="5879" spans="1:18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  <c r="R5879" s="2"/>
    </row>
    <row r="5880" spans="1:18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  <c r="R5880" s="2"/>
    </row>
    <row r="5881" spans="1:18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  <c r="R5881" s="2"/>
    </row>
    <row r="5882" spans="1:18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  <c r="R5882" s="2"/>
    </row>
    <row r="5883" spans="1:18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  <c r="R5883" s="2"/>
    </row>
    <row r="5884" spans="1:18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  <c r="R5884" s="2"/>
    </row>
    <row r="5885" spans="1:18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  <c r="R5885" s="2"/>
    </row>
    <row r="5886" spans="1:18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  <c r="R5886" s="2"/>
    </row>
    <row r="5887" spans="1:18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  <c r="R5887" s="2"/>
    </row>
    <row r="5888" spans="1:18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  <c r="R5888" s="2"/>
    </row>
    <row r="5889" spans="1:18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  <c r="R5889" s="2"/>
    </row>
    <row r="5890" spans="1:18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  <c r="R5890" s="2"/>
    </row>
    <row r="5891" spans="1:18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  <c r="R5891" s="2"/>
    </row>
    <row r="5892" spans="1:18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  <c r="R5892" s="2"/>
    </row>
    <row r="5893" spans="1:18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  <c r="R5893" s="2"/>
    </row>
    <row r="5894" spans="1:18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  <c r="R5894" s="2"/>
    </row>
    <row r="5895" spans="1:18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  <c r="R5895" s="2"/>
    </row>
    <row r="5896" spans="1:18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  <c r="R5896" s="2"/>
    </row>
    <row r="5897" spans="1:18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  <c r="R5897" s="2"/>
    </row>
    <row r="5898" spans="1:18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  <c r="R5898" s="2"/>
    </row>
    <row r="5899" spans="1:18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  <c r="R5899" s="2"/>
    </row>
    <row r="5900" spans="1:18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  <c r="R5900" s="2"/>
    </row>
    <row r="5901" spans="1:18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  <c r="R5901" s="2"/>
    </row>
    <row r="5902" spans="1:18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  <c r="R5902" s="2"/>
    </row>
    <row r="5903" spans="1:18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  <c r="R5903" s="2"/>
    </row>
    <row r="5904" spans="1:18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  <c r="R5904" s="2"/>
    </row>
    <row r="5905" spans="1:18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  <c r="R5905" s="2"/>
    </row>
    <row r="5906" spans="1:18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  <c r="R5906" s="2"/>
    </row>
    <row r="5907" spans="1:18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  <c r="R5907" s="2"/>
    </row>
    <row r="5908" spans="1:18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  <c r="R5908" s="2"/>
    </row>
    <row r="5909" spans="1:18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  <c r="R5909" s="2"/>
    </row>
    <row r="5910" spans="1:18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  <c r="R5910" s="2"/>
    </row>
    <row r="5911" spans="1:18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  <c r="R5911" s="2"/>
    </row>
    <row r="5912" spans="1:18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  <c r="R5912" s="2"/>
    </row>
    <row r="5913" spans="1:18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  <c r="R5913" s="2"/>
    </row>
    <row r="5914" spans="1:18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  <c r="R5914" s="2"/>
    </row>
    <row r="5915" spans="1:18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  <c r="R5915" s="2"/>
    </row>
    <row r="5916" spans="1:18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  <c r="R5916" s="2"/>
    </row>
    <row r="5917" spans="1:18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  <c r="R5917" s="2"/>
    </row>
    <row r="5918" spans="1:18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  <c r="R5918" s="2"/>
    </row>
    <row r="5919" spans="1:18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  <c r="R5919" s="2"/>
    </row>
    <row r="5920" spans="1:18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  <c r="R5920" s="2"/>
    </row>
    <row r="5921" spans="1:18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  <c r="R5921" s="2"/>
    </row>
    <row r="5922" spans="1:18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  <c r="R5922" s="2"/>
    </row>
    <row r="5923" spans="1:18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  <c r="R5923" s="2"/>
    </row>
    <row r="5924" spans="1:18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  <c r="R5924" s="2"/>
    </row>
    <row r="5925" spans="1:18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  <c r="R5925" s="2"/>
    </row>
    <row r="5926" spans="1:18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  <c r="R5926" s="2"/>
    </row>
    <row r="5927" spans="1:18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  <c r="R5927" s="2"/>
    </row>
    <row r="5928" spans="1:18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  <c r="R5928" s="2"/>
    </row>
    <row r="5929" spans="1:18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  <c r="R5929" s="2"/>
    </row>
    <row r="5930" spans="1:18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  <c r="R5930" s="2"/>
    </row>
    <row r="5931" spans="1:18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  <c r="R5931" s="2"/>
    </row>
    <row r="5932" spans="1:18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  <c r="R5932" s="2"/>
    </row>
    <row r="5933" spans="1:18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  <c r="R5933" s="2"/>
    </row>
    <row r="5934" spans="1:18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  <c r="R5934" s="2"/>
    </row>
    <row r="5935" spans="1:18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  <c r="R5935" s="2"/>
    </row>
    <row r="5936" spans="1:18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  <c r="R5936" s="2"/>
    </row>
    <row r="5937" spans="1:18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  <c r="R5937" s="2"/>
    </row>
    <row r="5938" spans="1:18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  <c r="R5938" s="2"/>
    </row>
    <row r="5939" spans="1:18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  <c r="R5939" s="2"/>
    </row>
    <row r="5940" spans="1:18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  <c r="R5940" s="2"/>
    </row>
    <row r="5941" spans="1:18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  <c r="R5941" s="2"/>
    </row>
    <row r="5942" spans="1:18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  <c r="R5942" s="2"/>
    </row>
    <row r="5943" spans="1:18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  <c r="R5943" s="2"/>
    </row>
    <row r="5944" spans="1:18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  <c r="R5944" s="2"/>
    </row>
    <row r="5945" spans="1:18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  <c r="R5945" s="2"/>
    </row>
    <row r="5946" spans="1:18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  <c r="R5946" s="2"/>
    </row>
    <row r="5947" spans="1:18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  <c r="R5947" s="2"/>
    </row>
    <row r="5948" spans="1:18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  <c r="R5948" s="2"/>
    </row>
    <row r="5949" spans="1:18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  <c r="R5949" s="2"/>
    </row>
    <row r="5950" spans="1:18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  <c r="R5950" s="2"/>
    </row>
    <row r="5951" spans="1:18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  <c r="R5951" s="2"/>
    </row>
    <row r="5952" spans="1:18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  <c r="R5952" s="2"/>
    </row>
    <row r="5953" spans="1:18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  <c r="R5953" s="2"/>
    </row>
    <row r="5954" spans="1:18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  <c r="R5954" s="2"/>
    </row>
    <row r="5955" spans="1:18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  <c r="R5955" s="2"/>
    </row>
    <row r="5956" spans="1:18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  <c r="R5956" s="2"/>
    </row>
    <row r="5957" spans="1:18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  <c r="R5957" s="2"/>
    </row>
    <row r="5958" spans="1:18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  <c r="R5958" s="2"/>
    </row>
    <row r="5959" spans="1:18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  <c r="R5959" s="2"/>
    </row>
    <row r="5960" spans="1:18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  <c r="R5960" s="2"/>
    </row>
    <row r="5961" spans="1:18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  <c r="R5961" s="2"/>
    </row>
    <row r="5962" spans="1:18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  <c r="R5962" s="2"/>
    </row>
    <row r="5963" spans="1:18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  <c r="R5963" s="2"/>
    </row>
    <row r="5964" spans="1:18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  <c r="R5964" s="2"/>
    </row>
    <row r="5965" spans="1:18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  <c r="R5965" s="2"/>
    </row>
    <row r="5966" spans="1:18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  <c r="R5966" s="2"/>
    </row>
    <row r="5967" spans="1:18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  <c r="R5967" s="2"/>
    </row>
    <row r="5968" spans="1:18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  <c r="R5968" s="2"/>
    </row>
    <row r="5969" spans="1:18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  <c r="R5969" s="2"/>
    </row>
    <row r="5970" spans="1:18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  <c r="R5970" s="2"/>
    </row>
    <row r="5971" spans="1:18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  <c r="R5971" s="2"/>
    </row>
    <row r="5972" spans="1:18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  <c r="R5972" s="2"/>
    </row>
    <row r="5973" spans="1:18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  <c r="R5973" s="2"/>
    </row>
    <row r="5974" spans="1:18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  <c r="R5974" s="2"/>
    </row>
    <row r="5975" spans="1:18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  <c r="R5975" s="2"/>
    </row>
    <row r="5976" spans="1:18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  <c r="R5976" s="2"/>
    </row>
    <row r="5977" spans="1:18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  <c r="R5977" s="2"/>
    </row>
    <row r="5978" spans="1:18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  <c r="R5978" s="2"/>
    </row>
    <row r="5979" spans="1:18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  <c r="R5979" s="2"/>
    </row>
    <row r="5980" spans="1:18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  <c r="R5980" s="2"/>
    </row>
    <row r="5981" spans="1:18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  <c r="R5981" s="2"/>
    </row>
    <row r="5982" spans="1:18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  <c r="R5982" s="2"/>
    </row>
    <row r="5983" spans="1:18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  <c r="R5983" s="2"/>
    </row>
    <row r="5984" spans="1:18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  <c r="R5984" s="2"/>
    </row>
    <row r="5985" spans="1:18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  <c r="R5985" s="2"/>
    </row>
    <row r="5986" spans="1:18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  <c r="R5986" s="2"/>
    </row>
    <row r="5987" spans="1:18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  <c r="R5987" s="2"/>
    </row>
    <row r="5988" spans="1:18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  <c r="R5988" s="2"/>
    </row>
    <row r="5989" spans="1:18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  <c r="R5989" s="2"/>
    </row>
    <row r="5990" spans="1:18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  <c r="R5990" s="2"/>
    </row>
    <row r="5991" spans="1:18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  <c r="R5991" s="2"/>
    </row>
    <row r="5992" spans="1:18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  <c r="R5992" s="2"/>
    </row>
    <row r="5993" spans="1:18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  <c r="R5993" s="2"/>
    </row>
    <row r="5994" spans="1:18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  <c r="R5994" s="2"/>
    </row>
    <row r="5995" spans="1:18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  <c r="R5995" s="2"/>
    </row>
    <row r="5996" spans="1:18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  <c r="R5996" s="2"/>
    </row>
    <row r="5997" spans="1:18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  <c r="R5997" s="2"/>
    </row>
    <row r="5998" spans="1:18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  <c r="R5998" s="2"/>
    </row>
    <row r="5999" spans="1:18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  <c r="R5999" s="2"/>
    </row>
    <row r="6000" spans="1:18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  <c r="R6000" s="2"/>
    </row>
    <row r="6001" spans="1:18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  <c r="R6001" s="2"/>
    </row>
    <row r="6002" spans="1:18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  <c r="R6002" s="2"/>
    </row>
    <row r="6003" spans="1:18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  <c r="R6003" s="2"/>
    </row>
    <row r="6004" spans="1:18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  <c r="R6004" s="2"/>
    </row>
    <row r="6005" spans="1:18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  <c r="R6005" s="2"/>
    </row>
    <row r="6006" spans="1:18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  <c r="R6006" s="2"/>
    </row>
    <row r="6007" spans="1:18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  <c r="R6007" s="2"/>
    </row>
    <row r="6008" spans="1:18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  <c r="R6008" s="2"/>
    </row>
    <row r="6009" spans="1:18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  <c r="R6009" s="2"/>
    </row>
    <row r="6010" spans="1:18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  <c r="R6010" s="2"/>
    </row>
    <row r="6011" spans="1:18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  <c r="R6011" s="2"/>
    </row>
    <row r="6012" spans="1:18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  <c r="R6012" s="2"/>
    </row>
    <row r="6013" spans="1:18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  <c r="R6013" s="2"/>
    </row>
    <row r="6014" spans="1:18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  <c r="R6014" s="2"/>
    </row>
    <row r="6015" spans="1:18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  <c r="R6015" s="2"/>
    </row>
    <row r="6016" spans="1:18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  <c r="R6016" s="2"/>
    </row>
    <row r="6017" spans="1:18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  <c r="R6017" s="2"/>
    </row>
    <row r="6018" spans="1:18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  <c r="R6018" s="2"/>
    </row>
    <row r="6019" spans="1:18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  <c r="R6019" s="2"/>
    </row>
    <row r="6020" spans="1:18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  <c r="R6020" s="2"/>
    </row>
    <row r="6021" spans="1:18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  <c r="R6021" s="2"/>
    </row>
    <row r="6022" spans="1:18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  <c r="R6022" s="2"/>
    </row>
    <row r="6023" spans="1:18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  <c r="R6023" s="2"/>
    </row>
    <row r="6024" spans="1:18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  <c r="R6024" s="2"/>
    </row>
    <row r="6025" spans="1:18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  <c r="R6025" s="2"/>
    </row>
    <row r="6026" spans="1:18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  <c r="R6026" s="2"/>
    </row>
    <row r="6027" spans="1:18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  <c r="R6027" s="2"/>
    </row>
    <row r="6028" spans="1:18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  <c r="R6028" s="2"/>
    </row>
    <row r="6029" spans="1:18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  <c r="R6029" s="2"/>
    </row>
    <row r="6030" spans="1:18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  <c r="R6030" s="2"/>
    </row>
    <row r="6031" spans="1:18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  <c r="R6031" s="2"/>
    </row>
    <row r="6032" spans="1:18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  <c r="R6032" s="2"/>
    </row>
    <row r="6033" spans="1:18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  <c r="R6033" s="2"/>
    </row>
    <row r="6034" spans="1:18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  <c r="R6034" s="2"/>
    </row>
    <row r="6035" spans="1:18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  <c r="R6035" s="2"/>
    </row>
    <row r="6036" spans="1:18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  <c r="R6036" s="2"/>
    </row>
    <row r="6037" spans="1:18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  <c r="R6037" s="2"/>
    </row>
    <row r="6038" spans="1:18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  <c r="R6038" s="2"/>
    </row>
    <row r="6039" spans="1:18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  <c r="R6039" s="2"/>
    </row>
    <row r="6040" spans="1:18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  <c r="R6040" s="2"/>
    </row>
    <row r="6041" spans="1:18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  <c r="R6041" s="2"/>
    </row>
    <row r="6042" spans="1:18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  <c r="R6042" s="2"/>
    </row>
    <row r="6043" spans="1:18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  <c r="R6043" s="2"/>
    </row>
    <row r="6044" spans="1:18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  <c r="R6044" s="2"/>
    </row>
    <row r="6045" spans="1:18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  <c r="R6045" s="2"/>
    </row>
    <row r="6046" spans="1:18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  <c r="R6046" s="2"/>
    </row>
    <row r="6047" spans="1:18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  <c r="R6047" s="2"/>
    </row>
    <row r="6048" spans="1:18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  <c r="R6048" s="2"/>
    </row>
    <row r="6049" spans="1:18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  <c r="R6049" s="2"/>
    </row>
    <row r="6050" spans="1:18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  <c r="R6050" s="2"/>
    </row>
    <row r="6051" spans="1:18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  <c r="R6051" s="2"/>
    </row>
    <row r="6052" spans="1:18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  <c r="R6052" s="2"/>
    </row>
    <row r="6053" spans="1:18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  <c r="R6053" s="2"/>
    </row>
    <row r="6054" spans="1:18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  <c r="R6054" s="2"/>
    </row>
    <row r="6055" spans="1:18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  <c r="R6055" s="2"/>
    </row>
    <row r="6056" spans="1:18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  <c r="R6056" s="2"/>
    </row>
    <row r="6057" spans="1:18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  <c r="R6057" s="2"/>
    </row>
    <row r="6058" spans="1:18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  <c r="R6058" s="2"/>
    </row>
    <row r="6059" spans="1:18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  <c r="R6059" s="2"/>
    </row>
    <row r="6060" spans="1:18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  <c r="R6060" s="2"/>
    </row>
    <row r="6061" spans="1:18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  <c r="R6061" s="2"/>
    </row>
    <row r="6062" spans="1:18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  <c r="R6062" s="2"/>
    </row>
    <row r="6063" spans="1:18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  <c r="R6063" s="2"/>
    </row>
    <row r="6064" spans="1:18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  <c r="R6064" s="2"/>
    </row>
    <row r="6065" spans="1:18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  <c r="R6065" s="2"/>
    </row>
    <row r="6066" spans="1:18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  <c r="R6066" s="2"/>
    </row>
    <row r="6067" spans="1:18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  <c r="R6067" s="2"/>
    </row>
    <row r="6068" spans="1:18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  <c r="R6068" s="2"/>
    </row>
    <row r="6069" spans="1:18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  <c r="R6069" s="2"/>
    </row>
    <row r="6070" spans="1:18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  <c r="R6070" s="2"/>
    </row>
    <row r="6071" spans="1:18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  <c r="R6071" s="2"/>
    </row>
    <row r="6072" spans="1:18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  <c r="R6072" s="2"/>
    </row>
    <row r="6073" spans="1:18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  <c r="R6073" s="2"/>
    </row>
    <row r="6074" spans="1:18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  <c r="R6074" s="2"/>
    </row>
    <row r="6075" spans="1:18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  <c r="R6075" s="2"/>
    </row>
    <row r="6076" spans="1:18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  <c r="R6076" s="2"/>
    </row>
    <row r="6077" spans="1:18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  <c r="R6077" s="2"/>
    </row>
    <row r="6078" spans="1:18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  <c r="R6078" s="2"/>
    </row>
    <row r="6079" spans="1:18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  <c r="R6079" s="2"/>
    </row>
    <row r="6080" spans="1:18" ht="36" hidden="1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1026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  <c r="R6080" s="2"/>
    </row>
    <row r="6081" spans="1:18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1027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  <c r="R6081" s="2"/>
    </row>
    <row r="6082" spans="1:18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  <c r="R6082" s="2"/>
    </row>
    <row r="6083" spans="1:18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  <c r="R6083" s="2"/>
    </row>
    <row r="6084" spans="1:18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  <c r="R6084" s="2"/>
    </row>
    <row r="6085" spans="1:18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  <c r="R6085" s="2"/>
    </row>
    <row r="6086" spans="1:18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  <c r="R6086" s="2"/>
    </row>
    <row r="6087" spans="1:18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  <c r="R6087" s="2"/>
    </row>
    <row r="6088" spans="1:18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  <c r="R6088" s="2"/>
    </row>
    <row r="6089" spans="1:18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  <c r="R6089" s="2"/>
    </row>
    <row r="6090" spans="1:18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  <c r="R6090" s="2"/>
    </row>
    <row r="6091" spans="1:18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  <c r="R6091" s="2"/>
    </row>
    <row r="6092" spans="1:18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  <c r="R6092" s="2"/>
    </row>
    <row r="6093" spans="1:18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  <c r="R6093" s="2"/>
    </row>
    <row r="6094" spans="1:18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  <c r="R6094" s="2"/>
    </row>
    <row r="6095" spans="1:18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  <c r="R6095" s="2"/>
    </row>
    <row r="6096" spans="1:18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  <c r="R6096" s="2"/>
    </row>
    <row r="6097" spans="1:18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  <c r="R6097" s="2"/>
    </row>
    <row r="6098" spans="1:18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  <c r="R6098" s="2"/>
    </row>
    <row r="6099" spans="1:18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  <c r="R6099" s="2"/>
    </row>
    <row r="6100" spans="1:18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  <c r="R6100" s="2"/>
    </row>
    <row r="6101" spans="1:18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  <c r="R6101" s="2"/>
    </row>
    <row r="6102" spans="1:18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  <c r="R6102" s="2"/>
    </row>
    <row r="6103" spans="1:18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  <c r="R6103" s="2"/>
    </row>
    <row r="6104" spans="1:18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  <c r="R6104" s="2"/>
    </row>
    <row r="6105" spans="1:18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  <c r="R6105" s="2"/>
    </row>
    <row r="6106" spans="1:18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  <c r="R6106" s="2"/>
    </row>
    <row r="6107" spans="1:18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  <c r="R6107" s="2"/>
    </row>
    <row r="6108" spans="1:18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  <c r="R6108" s="2"/>
    </row>
    <row r="6109" spans="1:18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  <c r="R6109" s="2"/>
    </row>
    <row r="6110" spans="1:18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  <c r="R6110" s="2"/>
    </row>
    <row r="6111" spans="1:18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  <c r="R6111" s="2"/>
    </row>
    <row r="6112" spans="1:18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  <c r="R6112" s="2"/>
    </row>
    <row r="6113" spans="1:18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  <c r="R6113" s="2"/>
    </row>
    <row r="6114" spans="1:18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  <c r="R6114" s="2"/>
    </row>
    <row r="6115" spans="1:18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  <c r="R6115" s="2"/>
    </row>
    <row r="6116" spans="1:18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  <c r="R6116" s="2"/>
    </row>
    <row r="6117" spans="1:18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  <c r="R6117" s="2"/>
    </row>
    <row r="6118" spans="1:18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  <c r="R6118" s="2"/>
    </row>
    <row r="6119" spans="1:18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  <c r="R6119" s="2"/>
    </row>
    <row r="6120" spans="1:18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  <c r="R6120" s="2"/>
    </row>
    <row r="6121" spans="1:18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  <c r="R6121" s="2"/>
    </row>
    <row r="6122" spans="1:18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  <c r="R6122" s="2"/>
    </row>
    <row r="6123" spans="1:18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  <c r="R6123" s="2"/>
    </row>
    <row r="6124" spans="1:18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  <c r="R6124" s="2"/>
    </row>
    <row r="6125" spans="1:18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  <c r="R6125" s="2"/>
    </row>
    <row r="6126" spans="1:18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  <c r="R6126" s="2"/>
    </row>
    <row r="6127" spans="1:18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  <c r="R6127" s="2"/>
    </row>
    <row r="6128" spans="1:18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  <c r="R6128" s="2"/>
    </row>
    <row r="6129" spans="1:18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  <c r="R6129" s="2"/>
    </row>
    <row r="6130" spans="1:18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  <c r="R6130" s="2"/>
    </row>
    <row r="6131" spans="1:18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  <c r="R6131" s="2"/>
    </row>
    <row r="6132" spans="1:18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  <c r="R6132" s="2"/>
    </row>
    <row r="6133" spans="1:18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  <c r="R6133" s="2"/>
    </row>
    <row r="6134" spans="1:18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  <c r="R6134" s="2"/>
    </row>
    <row r="6135" spans="1:18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  <c r="R6135" s="2"/>
    </row>
    <row r="6136" spans="1:18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  <c r="R6136" s="2"/>
    </row>
    <row r="6137" spans="1:18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  <c r="R6137" s="2"/>
    </row>
    <row r="6138" spans="1:18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  <c r="R6138" s="2"/>
    </row>
    <row r="6139" spans="1:18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  <c r="R6139" s="2"/>
    </row>
    <row r="6140" spans="1:18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  <c r="R6140" s="2"/>
    </row>
    <row r="6141" spans="1:18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  <c r="R6141" s="2"/>
    </row>
    <row r="6142" spans="1:18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  <c r="R6142" s="2"/>
    </row>
    <row r="6143" spans="1:18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  <c r="R6143" s="2"/>
    </row>
    <row r="6144" spans="1:18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  <c r="R6144" s="2"/>
    </row>
    <row r="6145" spans="1:18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  <c r="R6145" s="2"/>
    </row>
    <row r="6146" spans="1:18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  <c r="R6146" s="2"/>
    </row>
    <row r="6147" spans="1:18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  <c r="R6147" s="2"/>
    </row>
    <row r="6148" spans="1:18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  <c r="R6148" s="2"/>
    </row>
    <row r="6149" spans="1:18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  <c r="R6149" s="2"/>
    </row>
    <row r="6150" spans="1:18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  <c r="R6150" s="2"/>
    </row>
    <row r="6151" spans="1:18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  <c r="R6151" s="2"/>
    </row>
    <row r="6152" spans="1:18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  <c r="R6152" s="2"/>
    </row>
    <row r="6153" spans="1:18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  <c r="R6153" s="2"/>
    </row>
    <row r="6154" spans="1:18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  <c r="R6154" s="2"/>
    </row>
    <row r="6155" spans="1:18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  <c r="R6155" s="2"/>
    </row>
    <row r="6156" spans="1:18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  <c r="R6156" s="2"/>
    </row>
    <row r="6157" spans="1:18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  <c r="R6157" s="2"/>
    </row>
    <row r="6158" spans="1:18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  <c r="R6158" s="2"/>
    </row>
    <row r="6159" spans="1:18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  <c r="R6159" s="2"/>
    </row>
    <row r="6160" spans="1:18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  <c r="R6160" s="2"/>
    </row>
    <row r="6161" spans="1:18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  <c r="R6161" s="2"/>
    </row>
    <row r="6162" spans="1:18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  <c r="R6162" s="2"/>
    </row>
    <row r="6163" spans="1:18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  <c r="R6163" s="2"/>
    </row>
    <row r="6164" spans="1:18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  <c r="R6164" s="2"/>
    </row>
    <row r="6165" spans="1:18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  <c r="R6165" s="2"/>
    </row>
    <row r="6166" spans="1:18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  <c r="R6166" s="2"/>
    </row>
    <row r="6167" spans="1:18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  <c r="R6167" s="2"/>
    </row>
    <row r="6168" spans="1:18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  <c r="R6168" s="2"/>
    </row>
    <row r="6169" spans="1:18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  <c r="R6169" s="2"/>
    </row>
    <row r="6170" spans="1:18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  <c r="R6170" s="2"/>
    </row>
    <row r="6171" spans="1:18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  <c r="R6171" s="2"/>
    </row>
    <row r="6172" spans="1:18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  <c r="R6172" s="2"/>
    </row>
    <row r="6173" spans="1:18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  <c r="R6173" s="2"/>
    </row>
    <row r="6174" spans="1:18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  <c r="R6174" s="2"/>
    </row>
    <row r="6175" spans="1:18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  <c r="R6175" s="2"/>
    </row>
    <row r="6176" spans="1:18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  <c r="R6176" s="2"/>
    </row>
    <row r="6177" spans="1:18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  <c r="R6177" s="2"/>
    </row>
    <row r="6178" spans="1:18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  <c r="R6178" s="2"/>
    </row>
    <row r="6179" spans="1:18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  <c r="R6179" s="2"/>
    </row>
    <row r="6180" spans="1:18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  <c r="R6180" s="2"/>
    </row>
    <row r="6181" spans="1:18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  <c r="R6181" s="2"/>
    </row>
    <row r="6182" spans="1:18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  <c r="R6182" s="2"/>
    </row>
    <row r="6183" spans="1:18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  <c r="R6183" s="2"/>
    </row>
    <row r="6184" spans="1:18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  <c r="R6184" s="2"/>
    </row>
    <row r="6185" spans="1:18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  <c r="R6185" s="2"/>
    </row>
    <row r="6186" spans="1:18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  <c r="R6186" s="2"/>
    </row>
    <row r="6187" spans="1:18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  <c r="R6187" s="2"/>
    </row>
    <row r="6188" spans="1:18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  <c r="R6188" s="2"/>
    </row>
    <row r="6189" spans="1:18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  <c r="R6189" s="2"/>
    </row>
    <row r="6190" spans="1:18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  <c r="R6190" s="2"/>
    </row>
    <row r="6191" spans="1:18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  <c r="R6191" s="2"/>
    </row>
    <row r="6192" spans="1:18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  <c r="R6192" s="2"/>
    </row>
    <row r="6193" spans="1:18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  <c r="R6193" s="2"/>
    </row>
    <row r="6194" spans="1:18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  <c r="R6194" s="2"/>
    </row>
    <row r="6195" spans="1:18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  <c r="R6195" s="2"/>
    </row>
    <row r="6196" spans="1:18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  <c r="R6196" s="2"/>
    </row>
    <row r="6197" spans="1:18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  <c r="R6197" s="2"/>
    </row>
    <row r="6198" spans="1:18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  <c r="R6198" s="2"/>
    </row>
    <row r="6199" spans="1:18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  <c r="R6199" s="2"/>
    </row>
    <row r="6200" spans="1:18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  <c r="R6200" s="2"/>
    </row>
    <row r="6201" spans="1:18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  <c r="R6201" s="2"/>
    </row>
    <row r="6202" spans="1:18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  <c r="R6202" s="2"/>
    </row>
    <row r="6203" spans="1:18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  <c r="R6203" s="2"/>
    </row>
    <row r="6204" spans="1:18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  <c r="R6204" s="2"/>
    </row>
    <row r="6205" spans="1:18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  <c r="R6205" s="2"/>
    </row>
    <row r="6206" spans="1:18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  <c r="R6206" s="2"/>
    </row>
    <row r="6207" spans="1:18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  <c r="R6207" s="2"/>
    </row>
    <row r="6208" spans="1:18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  <c r="R6208" s="2"/>
    </row>
    <row r="6209" spans="1:18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  <c r="R6209" s="2"/>
    </row>
    <row r="6210" spans="1:18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  <c r="R6210" s="2"/>
    </row>
    <row r="6211" spans="1:18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  <c r="R6211" s="2"/>
    </row>
    <row r="6212" spans="1:18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  <c r="R6212" s="2"/>
    </row>
    <row r="6213" spans="1:18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  <c r="R6213" s="2"/>
    </row>
    <row r="6214" spans="1:18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  <c r="R6214" s="2"/>
    </row>
    <row r="6215" spans="1:18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  <c r="R6215" s="2"/>
    </row>
    <row r="6216" spans="1:18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  <c r="R6216" s="2"/>
    </row>
    <row r="6217" spans="1:18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  <c r="R6217" s="2"/>
    </row>
    <row r="6218" spans="1:18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  <c r="R6218" s="2"/>
    </row>
    <row r="6219" spans="1:18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  <c r="R6219" s="2"/>
    </row>
    <row r="6220" spans="1:18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  <c r="R6220" s="2"/>
    </row>
    <row r="6221" spans="1:18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  <c r="R6221" s="2"/>
    </row>
    <row r="6222" spans="1:18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  <c r="R6222" s="2"/>
    </row>
    <row r="6223" spans="1:18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  <c r="R6223" s="2"/>
    </row>
    <row r="6224" spans="1:18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  <c r="R6224" s="2"/>
    </row>
    <row r="6225" spans="1:18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  <c r="R6225" s="2"/>
    </row>
    <row r="6226" spans="1:18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  <c r="R6226" s="2"/>
    </row>
    <row r="6227" spans="1:18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  <c r="R6227" s="2"/>
    </row>
    <row r="6228" spans="1:18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  <c r="R6228" s="2"/>
    </row>
    <row r="6229" spans="1:18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  <c r="R6229" s="2"/>
    </row>
    <row r="6230" spans="1:18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  <c r="R6230" s="2"/>
    </row>
    <row r="6231" spans="1:18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  <c r="R6231" s="2"/>
    </row>
    <row r="6232" spans="1:18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  <c r="R6232" s="2"/>
    </row>
    <row r="6233" spans="1:18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  <c r="R6233" s="2"/>
    </row>
    <row r="6234" spans="1:18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  <c r="R6234" s="2"/>
    </row>
    <row r="6235" spans="1:18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  <c r="R6235" s="2"/>
    </row>
    <row r="6236" spans="1:18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  <c r="R6236" s="2"/>
    </row>
    <row r="6237" spans="1:18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  <c r="R6237" s="2"/>
    </row>
    <row r="6238" spans="1:18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  <c r="R6238" s="2"/>
    </row>
    <row r="6239" spans="1:18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  <c r="R6239" s="2"/>
    </row>
    <row r="6240" spans="1:18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  <c r="R6240" s="2"/>
    </row>
    <row r="6241" spans="1:18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  <c r="R6241" s="2"/>
    </row>
    <row r="6242" spans="1:18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  <c r="R6242" s="2"/>
    </row>
    <row r="6243" spans="1:18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  <c r="R6243" s="2"/>
    </row>
    <row r="6244" spans="1:18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  <c r="R6244" s="2"/>
    </row>
    <row r="6245" spans="1:18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  <c r="R6245" s="2"/>
    </row>
    <row r="6246" spans="1:18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  <c r="R6246" s="2"/>
    </row>
    <row r="6247" spans="1:18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  <c r="R6247" s="2"/>
    </row>
    <row r="6248" spans="1:18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  <c r="R6248" s="2"/>
    </row>
    <row r="6249" spans="1:18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  <c r="R6249" s="2"/>
    </row>
    <row r="6250" spans="1:18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  <c r="R6250" s="2"/>
    </row>
    <row r="6251" spans="1:18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  <c r="R6251" s="2"/>
    </row>
    <row r="6252" spans="1:18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  <c r="R6252" s="2"/>
    </row>
    <row r="6253" spans="1:18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  <c r="R6253" s="2"/>
    </row>
    <row r="6254" spans="1:18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  <c r="R6254" s="2"/>
    </row>
    <row r="6255" spans="1:18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  <c r="R6255" s="2"/>
    </row>
    <row r="6256" spans="1:18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  <c r="R6256" s="2"/>
    </row>
    <row r="6257" spans="1:18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  <c r="R6257" s="2"/>
    </row>
    <row r="6258" spans="1:18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  <c r="R6258" s="2"/>
    </row>
    <row r="6259" spans="1:18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  <c r="R6259" s="2"/>
    </row>
    <row r="6260" spans="1:18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  <c r="R6260" s="2"/>
    </row>
    <row r="6261" spans="1:18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  <c r="R6261" s="2"/>
    </row>
    <row r="6262" spans="1:18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  <c r="R6262" s="2"/>
    </row>
    <row r="6263" spans="1:18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  <c r="R6263" s="2"/>
    </row>
    <row r="6264" spans="1:18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  <c r="R6264" s="2"/>
    </row>
    <row r="6265" spans="1:18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  <c r="R6265" s="2"/>
    </row>
    <row r="6266" spans="1:18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  <c r="R6266" s="2"/>
    </row>
    <row r="6267" spans="1:18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  <c r="R6267" s="2"/>
    </row>
    <row r="6268" spans="1:18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  <c r="R6268" s="2"/>
    </row>
    <row r="6269" spans="1:18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  <c r="R6269" s="2"/>
    </row>
    <row r="6270" spans="1:18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  <c r="R6270" s="2"/>
    </row>
    <row r="6271" spans="1:18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  <c r="R6271" s="2"/>
    </row>
    <row r="6272" spans="1:18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  <c r="R6272" s="2"/>
    </row>
    <row r="6273" spans="1:18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  <c r="R6273" s="2"/>
    </row>
    <row r="6274" spans="1:18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  <c r="R6274" s="2"/>
    </row>
    <row r="6275" spans="1:18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  <c r="R6275" s="2"/>
    </row>
    <row r="6276" spans="1:18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  <c r="R6276" s="2"/>
    </row>
    <row r="6277" spans="1:18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  <c r="R6277" s="2"/>
    </row>
    <row r="6278" spans="1:18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  <c r="R6278" s="2"/>
    </row>
    <row r="6279" spans="1:18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  <c r="R6279" s="2"/>
    </row>
    <row r="6280" spans="1:18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  <c r="R6280" s="2"/>
    </row>
    <row r="6281" spans="1:18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  <c r="R6281" s="2"/>
    </row>
    <row r="6282" spans="1:18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  <c r="R6282" s="2"/>
    </row>
    <row r="6283" spans="1:18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  <c r="R6283" s="2"/>
    </row>
    <row r="6284" spans="1:18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  <c r="R6284" s="2"/>
    </row>
    <row r="6285" spans="1:18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  <c r="R6285" s="2"/>
    </row>
    <row r="6286" spans="1:18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  <c r="R6286" s="2"/>
    </row>
    <row r="6287" spans="1:18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  <c r="R6287" s="2"/>
    </row>
    <row r="6288" spans="1:18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  <c r="R6288" s="2"/>
    </row>
    <row r="6289" spans="1:18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  <c r="R6289" s="2"/>
    </row>
    <row r="6290" spans="1:18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  <c r="R6290" s="2"/>
    </row>
    <row r="6291" spans="1:18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  <c r="R6291" s="2"/>
    </row>
    <row r="6292" spans="1:18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  <c r="R6292" s="2"/>
    </row>
    <row r="6293" spans="1:18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  <c r="R6293" s="2"/>
    </row>
    <row r="6294" spans="1:18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  <c r="R6294" s="2"/>
    </row>
    <row r="6295" spans="1:18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  <c r="R6295" s="2"/>
    </row>
    <row r="6296" spans="1:18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  <c r="R6296" s="2"/>
    </row>
    <row r="6297" spans="1:18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  <c r="R6297" s="2"/>
    </row>
    <row r="6298" spans="1:18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  <c r="R6298" s="2"/>
    </row>
    <row r="6299" spans="1:18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  <c r="R6299" s="2"/>
    </row>
    <row r="6300" spans="1:18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  <c r="R6300" s="2"/>
    </row>
    <row r="6301" spans="1:18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  <c r="R6301" s="2"/>
    </row>
    <row r="6302" spans="1:18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  <c r="R6302" s="2"/>
    </row>
    <row r="6303" spans="1:18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  <c r="R6303" s="2"/>
    </row>
    <row r="6304" spans="1:18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  <c r="R6304" s="2"/>
    </row>
    <row r="6305" spans="1:18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  <c r="R6305" s="2"/>
    </row>
    <row r="6306" spans="1:18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  <c r="R6306" s="2"/>
    </row>
    <row r="6307" spans="1:18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  <c r="R6307" s="2"/>
    </row>
    <row r="6308" spans="1:18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  <c r="R6308" s="2"/>
    </row>
    <row r="6309" spans="1:18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  <c r="R6309" s="2"/>
    </row>
    <row r="6310" spans="1:18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  <c r="R6310" s="2"/>
    </row>
    <row r="6311" spans="1:18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  <c r="R6311" s="2"/>
    </row>
    <row r="6312" spans="1:18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  <c r="R6312" s="2"/>
    </row>
    <row r="6313" spans="1:18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  <c r="R6313" s="2"/>
    </row>
    <row r="6314" spans="1:18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  <c r="R6314" s="2"/>
    </row>
    <row r="6315" spans="1:18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  <c r="R6315" s="2"/>
    </row>
    <row r="6316" spans="1:18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  <c r="R6316" s="2"/>
    </row>
    <row r="6317" spans="1:18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  <c r="R6317" s="2"/>
    </row>
    <row r="6318" spans="1:18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  <c r="R6318" s="2"/>
    </row>
    <row r="6319" spans="1:18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  <c r="R6319" s="2"/>
    </row>
    <row r="6320" spans="1:18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  <c r="R6320" s="2"/>
    </row>
    <row r="6321" spans="1:18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  <c r="R6321" s="2"/>
    </row>
    <row r="6322" spans="1:18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  <c r="R6322" s="2"/>
    </row>
    <row r="6323" spans="1:18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  <c r="R6323" s="2"/>
    </row>
    <row r="6324" spans="1:18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  <c r="R6324" s="2"/>
    </row>
    <row r="6325" spans="1:18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  <c r="R6325" s="2"/>
    </row>
    <row r="6326" spans="1:18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  <c r="R6326" s="2"/>
    </row>
    <row r="6327" spans="1:18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  <c r="R6327" s="2"/>
    </row>
    <row r="6328" spans="1:18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  <c r="R6328" s="2"/>
    </row>
    <row r="6329" spans="1:18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  <c r="R6329" s="2"/>
    </row>
    <row r="6330" spans="1:18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  <c r="R6330" s="2"/>
    </row>
    <row r="6331" spans="1:18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  <c r="R6331" s="2"/>
    </row>
    <row r="6332" spans="1:18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  <c r="R6332" s="2"/>
    </row>
    <row r="6333" spans="1:18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  <c r="R6333" s="2"/>
    </row>
    <row r="6334" spans="1:18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  <c r="R6334" s="2"/>
    </row>
    <row r="6335" spans="1:18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  <c r="R6335" s="2"/>
    </row>
    <row r="6336" spans="1:18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  <c r="R6336" s="2"/>
    </row>
    <row r="6337" spans="1:18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  <c r="R6337" s="2"/>
    </row>
    <row r="6338" spans="1:18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  <c r="R6338" s="2"/>
    </row>
    <row r="6339" spans="1:18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  <c r="R6339" s="2"/>
    </row>
    <row r="6340" spans="1:18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  <c r="R6340" s="2"/>
    </row>
    <row r="6341" spans="1:18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  <c r="R6341" s="2"/>
    </row>
    <row r="6342" spans="1:18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  <c r="R6342" s="2"/>
    </row>
    <row r="6343" spans="1:18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  <c r="R6343" s="2"/>
    </row>
    <row r="6344" spans="1:18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  <c r="R6344" s="2"/>
    </row>
    <row r="6345" spans="1:18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  <c r="R6345" s="2"/>
    </row>
    <row r="6346" spans="1:18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  <c r="R6346" s="2"/>
    </row>
    <row r="6347" spans="1:18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  <c r="R6347" s="2"/>
    </row>
    <row r="6348" spans="1:18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  <c r="R6348" s="2"/>
    </row>
    <row r="6349" spans="1:18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  <c r="R6349" s="2"/>
    </row>
    <row r="6350" spans="1:18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  <c r="R6350" s="2"/>
    </row>
    <row r="6351" spans="1:18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  <c r="R6351" s="2"/>
    </row>
    <row r="6352" spans="1:18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  <c r="R6352" s="2"/>
    </row>
    <row r="6353" spans="1:18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  <c r="R6353" s="2"/>
    </row>
    <row r="6354" spans="1:18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  <c r="R6354" s="2"/>
    </row>
    <row r="6355" spans="1:18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  <c r="R6355" s="2"/>
    </row>
    <row r="6356" spans="1:18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  <c r="R6356" s="2"/>
    </row>
    <row r="6357" spans="1:18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  <c r="R6357" s="2"/>
    </row>
    <row r="6358" spans="1:18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  <c r="R6358" s="2"/>
    </row>
    <row r="6359" spans="1:18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  <c r="R6359" s="2"/>
    </row>
    <row r="6360" spans="1:18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  <c r="R6360" s="2"/>
    </row>
    <row r="6361" spans="1:18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  <c r="R6361" s="2"/>
    </row>
    <row r="6362" spans="1:18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  <c r="R6362" s="2"/>
    </row>
    <row r="6363" spans="1:18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  <c r="R6363" s="2"/>
    </row>
    <row r="6364" spans="1:18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  <c r="R6364" s="2"/>
    </row>
    <row r="6365" spans="1:18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  <c r="R6365" s="2"/>
    </row>
    <row r="6366" spans="1:18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  <c r="R6366" s="2"/>
    </row>
    <row r="6367" spans="1:18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  <c r="R6367" s="2"/>
    </row>
    <row r="6368" spans="1:18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  <c r="R6368" s="2"/>
    </row>
    <row r="6369" spans="1:18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  <c r="R6369" s="2"/>
    </row>
    <row r="6370" spans="1:18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  <c r="R6370" s="2"/>
    </row>
    <row r="6371" spans="1:18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  <c r="R6371" s="2"/>
    </row>
    <row r="6372" spans="1:18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  <c r="R6372" s="2"/>
    </row>
    <row r="6373" spans="1:18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  <c r="R6373" s="2"/>
    </row>
    <row r="6374" spans="1:18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  <c r="R6374" s="2"/>
    </row>
    <row r="6375" spans="1:18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  <c r="R6375" s="2"/>
    </row>
    <row r="6376" spans="1:18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  <c r="R6376" s="2"/>
    </row>
    <row r="6377" spans="1:18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  <c r="R6377" s="2"/>
    </row>
    <row r="6378" spans="1:18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  <c r="R6378" s="2"/>
    </row>
    <row r="6379" spans="1:18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  <c r="R6379" s="2"/>
    </row>
    <row r="6380" spans="1:18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  <c r="R6380" s="2"/>
    </row>
    <row r="6381" spans="1:18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  <c r="R6381" s="2"/>
    </row>
    <row r="6382" spans="1:18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  <c r="R6382" s="2"/>
    </row>
    <row r="6383" spans="1:18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  <c r="R6383" s="2"/>
    </row>
    <row r="6384" spans="1:18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  <c r="R6384" s="2"/>
    </row>
    <row r="6385" spans="1:18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  <c r="R6385" s="2"/>
    </row>
    <row r="6386" spans="1:18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  <c r="R6386" s="2"/>
    </row>
    <row r="6387" spans="1:18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  <c r="R6387" s="2"/>
    </row>
    <row r="6388" spans="1:18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  <c r="R6388" s="2"/>
    </row>
    <row r="6389" spans="1:18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  <c r="R6389" s="2"/>
    </row>
    <row r="6390" spans="1:18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  <c r="R6390" s="2"/>
    </row>
    <row r="6391" spans="1:18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  <c r="R6391" s="2"/>
    </row>
    <row r="6392" spans="1:18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  <c r="R6392" s="2"/>
    </row>
    <row r="6393" spans="1:18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  <c r="R6393" s="2"/>
    </row>
    <row r="6394" spans="1:18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  <c r="R6394" s="2"/>
    </row>
    <row r="6395" spans="1:18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  <c r="R6395" s="2"/>
    </row>
    <row r="6396" spans="1:18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  <c r="R6396" s="2"/>
    </row>
    <row r="6397" spans="1:18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  <c r="R6397" s="2"/>
    </row>
    <row r="6398" spans="1:18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  <c r="R6398" s="2"/>
    </row>
    <row r="6399" spans="1:18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  <c r="R6399" s="2"/>
    </row>
    <row r="6400" spans="1:18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  <c r="R6400" s="2"/>
    </row>
    <row r="6401" spans="1:18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  <c r="R6401" s="2"/>
    </row>
    <row r="6402" spans="1:18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  <c r="R6402" s="2"/>
    </row>
    <row r="6403" spans="1:18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  <c r="R6403" s="2"/>
    </row>
    <row r="6404" spans="1:18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  <c r="R6404" s="2"/>
    </row>
    <row r="6405" spans="1:18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  <c r="R6405" s="2"/>
    </row>
    <row r="6406" spans="1:18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  <c r="R6406" s="2"/>
    </row>
    <row r="6407" spans="1:18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  <c r="R6407" s="2"/>
    </row>
    <row r="6408" spans="1:18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  <c r="R6408" s="2"/>
    </row>
    <row r="6409" spans="1:18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  <c r="R6409" s="2"/>
    </row>
    <row r="6410" spans="1:18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  <c r="R6410" s="2"/>
    </row>
    <row r="6411" spans="1:18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  <c r="R6411" s="2"/>
    </row>
    <row r="6412" spans="1:18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  <c r="R6412" s="2"/>
    </row>
    <row r="6413" spans="1:18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  <c r="R6413" s="2"/>
    </row>
    <row r="6414" spans="1:18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  <c r="R6414" s="2"/>
    </row>
    <row r="6415" spans="1:18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  <c r="R6415" s="2"/>
    </row>
    <row r="6416" spans="1:18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  <c r="R6416" s="2"/>
    </row>
    <row r="6417" spans="1:18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  <c r="R6417" s="2"/>
    </row>
    <row r="6418" spans="1:18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  <c r="R6418" s="2"/>
    </row>
    <row r="6419" spans="1:18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  <c r="R6419" s="2"/>
    </row>
    <row r="6420" spans="1:18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  <c r="R6420" s="2"/>
    </row>
    <row r="6421" spans="1:18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  <c r="R6421" s="2"/>
    </row>
    <row r="6422" spans="1:18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  <c r="R6422" s="2"/>
    </row>
    <row r="6423" spans="1:18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  <c r="R6423" s="2"/>
    </row>
    <row r="6424" spans="1:18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  <c r="R6424" s="2"/>
    </row>
    <row r="6425" spans="1:18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  <c r="R6425" s="2"/>
    </row>
    <row r="6426" spans="1:18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  <c r="R6426" s="2"/>
    </row>
    <row r="6427" spans="1:18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  <c r="R6427" s="2"/>
    </row>
    <row r="6428" spans="1:18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  <c r="R6428" s="2"/>
    </row>
    <row r="6429" spans="1:18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  <c r="R6429" s="2"/>
    </row>
    <row r="6430" spans="1:18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  <c r="R6430" s="2"/>
    </row>
    <row r="6431" spans="1:18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  <c r="R6431" s="2"/>
    </row>
    <row r="6432" spans="1:18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  <c r="R6432" s="2"/>
    </row>
    <row r="6433" spans="1:18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  <c r="R6433" s="2"/>
    </row>
    <row r="6434" spans="1:18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  <c r="R6434" s="2"/>
    </row>
    <row r="6435" spans="1:18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  <c r="R6435" s="2"/>
    </row>
    <row r="6436" spans="1:18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  <c r="R6436" s="2"/>
    </row>
    <row r="6437" spans="1:18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  <c r="R6437" s="2"/>
    </row>
    <row r="6438" spans="1:18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  <c r="R6438" s="2"/>
    </row>
    <row r="6439" spans="1:18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  <c r="R6439" s="2"/>
    </row>
    <row r="6440" spans="1:18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  <c r="R6440" s="2"/>
    </row>
    <row r="6441" spans="1:18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  <c r="R6441" s="2"/>
    </row>
    <row r="6442" spans="1:18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  <c r="R6442" s="2"/>
    </row>
    <row r="6443" spans="1:18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  <c r="R6443" s="2"/>
    </row>
    <row r="6444" spans="1:18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  <c r="R6444" s="2"/>
    </row>
    <row r="6445" spans="1:18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  <c r="R6445" s="2"/>
    </row>
    <row r="6446" spans="1:18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  <c r="R6446" s="2"/>
    </row>
    <row r="6447" spans="1:18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  <c r="R6447" s="2"/>
    </row>
    <row r="6448" spans="1:18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  <c r="R6448" s="2"/>
    </row>
    <row r="6449" spans="1:18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  <c r="R6449" s="2"/>
    </row>
    <row r="6450" spans="1:18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  <c r="R6450" s="2"/>
    </row>
    <row r="6451" spans="1:18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  <c r="R6451" s="2"/>
    </row>
    <row r="6452" spans="1:18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  <c r="R6452" s="2"/>
    </row>
    <row r="6453" spans="1:18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  <c r="R6453" s="2"/>
    </row>
    <row r="6454" spans="1:18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  <c r="R6454" s="2"/>
    </row>
    <row r="6455" spans="1:18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  <c r="R6455" s="2"/>
    </row>
    <row r="6456" spans="1:18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  <c r="R6456" s="2"/>
    </row>
    <row r="6457" spans="1:18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  <c r="R6457" s="2"/>
    </row>
    <row r="6458" spans="1:18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  <c r="R6458" s="2"/>
    </row>
    <row r="6459" spans="1:18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  <c r="R6459" s="2"/>
    </row>
    <row r="6460" spans="1:18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  <c r="R6460" s="2"/>
    </row>
    <row r="6461" spans="1:18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  <c r="R6461" s="2"/>
    </row>
    <row r="6462" spans="1:18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  <c r="R6462" s="2"/>
    </row>
    <row r="6463" spans="1:18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  <c r="R6463" s="2"/>
    </row>
    <row r="6464" spans="1:18" ht="38.2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  <c r="R6464" s="2"/>
    </row>
    <row r="6465" spans="1:18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  <c r="R6465" s="2"/>
    </row>
    <row r="6466" spans="1:18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  <c r="R6466" s="2"/>
    </row>
    <row r="6467" spans="1:18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  <c r="R6467" s="2"/>
    </row>
    <row r="6468" spans="1:18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  <c r="R6468" s="2"/>
    </row>
    <row r="6469" spans="1:18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  <c r="R6469" s="2"/>
    </row>
    <row r="6470" spans="1:18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  <c r="R6470" s="2"/>
    </row>
    <row r="6471" spans="1:18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  <c r="R6471" s="2"/>
    </row>
    <row r="6472" spans="1:18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  <c r="R6472" s="2"/>
    </row>
    <row r="6473" spans="1:18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  <c r="R6473" s="2"/>
    </row>
    <row r="6474" spans="1:18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  <c r="R6474" s="2"/>
    </row>
    <row r="6475" spans="1:18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  <c r="R6475" s="2"/>
    </row>
    <row r="6476" spans="1:18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  <c r="R6476" s="2"/>
    </row>
    <row r="6477" spans="1:18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  <c r="R6477" s="2"/>
    </row>
    <row r="6478" spans="1:18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  <c r="R6478" s="2"/>
    </row>
    <row r="6479" spans="1:18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  <c r="R6479" s="2"/>
    </row>
    <row r="6480" spans="1:18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  <c r="R6480" s="2"/>
    </row>
    <row r="6481" spans="1:18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  <c r="R6481" s="2"/>
    </row>
    <row r="6482" spans="1:18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  <c r="R6482" s="2"/>
    </row>
    <row r="6483" spans="1:18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  <c r="R6483" s="2"/>
    </row>
    <row r="6484" spans="1:18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  <c r="R6484" s="2"/>
    </row>
    <row r="6485" spans="1:18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  <c r="R6485" s="2"/>
    </row>
    <row r="6486" spans="1:18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  <c r="R6486" s="2"/>
    </row>
    <row r="6487" spans="1:18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  <c r="R6487" s="2"/>
    </row>
    <row r="6488" spans="1:18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  <c r="R6488" s="2"/>
    </row>
    <row r="6489" spans="1:18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  <c r="R6489" s="2"/>
    </row>
    <row r="6490" spans="1:18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  <c r="R6490" s="2"/>
    </row>
    <row r="6491" spans="1:18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  <c r="R6491" s="2"/>
    </row>
    <row r="6492" spans="1:18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  <c r="R6492" s="2"/>
    </row>
    <row r="6493" spans="1:18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  <c r="R6493" s="2"/>
    </row>
    <row r="6494" spans="1:18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  <c r="R6494" s="2"/>
    </row>
    <row r="6495" spans="1:18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  <c r="R6495" s="2"/>
    </row>
    <row r="6496" spans="1:18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  <c r="R6496" s="2"/>
    </row>
    <row r="6497" spans="1:18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  <c r="R6497" s="2"/>
    </row>
    <row r="6498" spans="1:18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  <c r="R6498" s="2"/>
    </row>
    <row r="6499" spans="1:18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  <c r="R6499" s="2"/>
    </row>
    <row r="6500" spans="1:18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  <c r="R6500" s="2"/>
    </row>
    <row r="6501" spans="1:18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  <c r="R6501" s="2"/>
    </row>
    <row r="6502" spans="1:18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  <c r="R6502" s="2"/>
    </row>
    <row r="6503" spans="1:18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  <c r="R6503" s="2"/>
    </row>
    <row r="6504" spans="1:18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  <c r="R6504" s="2"/>
    </row>
    <row r="6505" spans="1:18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  <c r="R6505" s="2"/>
    </row>
    <row r="6506" spans="1:18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  <c r="R6506" s="2"/>
    </row>
    <row r="6507" spans="1:18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  <c r="R6507" s="2"/>
    </row>
    <row r="6508" spans="1:18" ht="38.25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  <c r="R6508" s="2"/>
    </row>
    <row r="6509" spans="1:18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  <c r="R6509" s="2"/>
    </row>
    <row r="6510" spans="1:18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  <c r="R6510" s="2"/>
    </row>
    <row r="6511" spans="1:18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  <c r="R6511" s="2"/>
    </row>
    <row r="6512" spans="1:18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  <c r="R6512" s="2"/>
    </row>
    <row r="6513" spans="1:18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  <c r="R6513" s="2"/>
    </row>
    <row r="6514" spans="1:18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  <c r="R6514" s="2"/>
    </row>
    <row r="6515" spans="1:18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  <c r="R6515" s="2"/>
    </row>
    <row r="6516" spans="1:18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  <c r="R6516" s="2"/>
    </row>
    <row r="6517" spans="1:18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2"/>
      <c r="P6517" s="758"/>
      <c r="Q6517" s="758"/>
      <c r="R6517" s="2"/>
    </row>
    <row r="6518" spans="1:18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2"/>
      <c r="P6518" s="758"/>
      <c r="Q6518" s="758"/>
      <c r="R6518" s="2"/>
    </row>
    <row r="6519" spans="1:18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2"/>
      <c r="P6519" s="758"/>
      <c r="Q6519" s="758"/>
      <c r="R6519" s="2"/>
    </row>
    <row r="6520" spans="1:18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2"/>
      <c r="P6520" s="758"/>
      <c r="Q6520" s="758"/>
      <c r="R6520" s="2"/>
    </row>
    <row r="6521" spans="1:18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2"/>
      <c r="P6521" s="758"/>
      <c r="Q6521" s="758"/>
      <c r="R6521" s="2"/>
    </row>
    <row r="6522" spans="1:18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2"/>
      <c r="P6522" s="758"/>
      <c r="Q6522" s="758"/>
      <c r="R6522" s="2"/>
    </row>
    <row r="6523" spans="1:18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2"/>
      <c r="P6523" s="758"/>
      <c r="Q6523" s="758"/>
      <c r="R6523" s="2"/>
    </row>
    <row r="6524" spans="1:18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2"/>
      <c r="P6524" s="758"/>
      <c r="Q6524" s="758"/>
      <c r="R6524" s="2"/>
    </row>
    <row r="6525" spans="1:18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2"/>
      <c r="P6525" s="758" t="s">
        <v>1457</v>
      </c>
      <c r="Q6525" s="758"/>
      <c r="R6525" s="2"/>
    </row>
    <row r="6526" spans="1:18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2"/>
      <c r="P6526" s="758"/>
      <c r="Q6526" s="758"/>
      <c r="R6526" s="2"/>
    </row>
    <row r="6527" spans="1:18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2"/>
      <c r="P6527" s="758"/>
      <c r="Q6527" s="758"/>
      <c r="R6527" s="2"/>
    </row>
    <row r="6528" spans="1:18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2"/>
      <c r="P6528" s="758" t="s">
        <v>1460</v>
      </c>
      <c r="Q6528" s="758"/>
      <c r="R6528" s="2"/>
    </row>
    <row r="6529" spans="1:18" ht="18" hidden="1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2"/>
      <c r="P6529" s="758" t="s">
        <v>1462</v>
      </c>
      <c r="Q6529" s="758"/>
      <c r="R6529" s="2"/>
    </row>
    <row r="6530" spans="1:18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2"/>
      <c r="P6530" s="758" t="s">
        <v>1455</v>
      </c>
      <c r="Q6530" s="758"/>
      <c r="R6530" s="2"/>
    </row>
    <row r="6531" spans="1:18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2"/>
      <c r="P6531" s="758" t="s">
        <v>1456</v>
      </c>
      <c r="Q6531" s="758"/>
      <c r="R6531" s="2"/>
    </row>
    <row r="6532" spans="1:18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2"/>
      <c r="P6532" s="758" t="s">
        <v>1463</v>
      </c>
      <c r="Q6532" s="758"/>
      <c r="R6532" s="2"/>
    </row>
    <row r="6533" spans="1:18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2"/>
      <c r="P6533" s="758" t="s">
        <v>1461</v>
      </c>
      <c r="Q6533" s="758"/>
      <c r="R6533" s="2"/>
    </row>
    <row r="6534" spans="1:18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2"/>
      <c r="P6534" s="758" t="s">
        <v>1471</v>
      </c>
      <c r="Q6534" s="758"/>
      <c r="R6534" s="2"/>
    </row>
    <row r="6535" spans="1:18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2"/>
      <c r="P6535" s="758" t="s">
        <v>1468</v>
      </c>
      <c r="Q6535" s="758"/>
      <c r="R6535" s="2"/>
    </row>
    <row r="6536" spans="1:18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2"/>
      <c r="P6536" s="758" t="s">
        <v>1469</v>
      </c>
      <c r="Q6536" s="758"/>
      <c r="R6536" s="2"/>
    </row>
    <row r="6537" spans="1:18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2"/>
      <c r="P6537" s="758" t="s">
        <v>1464</v>
      </c>
      <c r="Q6537" s="758"/>
      <c r="R6537" s="2"/>
    </row>
    <row r="6538" spans="1:18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2"/>
      <c r="P6538" s="758" t="s">
        <v>1458</v>
      </c>
      <c r="Q6538" s="758"/>
      <c r="R6538" s="2"/>
    </row>
    <row r="6539" spans="1:18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2"/>
      <c r="P6539" s="758" t="s">
        <v>1459</v>
      </c>
      <c r="Q6539" s="758"/>
      <c r="R6539" s="2"/>
    </row>
    <row r="6540" spans="1:18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2"/>
      <c r="P6540" s="758" t="s">
        <v>1470</v>
      </c>
      <c r="Q6540" s="758"/>
      <c r="R6540" s="2"/>
    </row>
    <row r="6541" spans="1:18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2"/>
      <c r="P6541" s="758" t="s">
        <v>1467</v>
      </c>
      <c r="Q6541" s="758"/>
      <c r="R6541" s="2"/>
    </row>
    <row r="6542" spans="1:18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2"/>
      <c r="P6542" s="758" t="s">
        <v>1466</v>
      </c>
      <c r="Q6542" s="758"/>
      <c r="R6542" s="2"/>
    </row>
    <row r="6543" spans="1:18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2"/>
      <c r="P6543" s="758" t="s">
        <v>1484</v>
      </c>
      <c r="Q6543" s="758"/>
      <c r="R6543" s="2"/>
    </row>
    <row r="6544" spans="1:18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2"/>
      <c r="P6544" s="758" t="s">
        <v>1482</v>
      </c>
      <c r="Q6544" s="758"/>
      <c r="R6544" s="2"/>
    </row>
    <row r="6545" spans="1:18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2"/>
      <c r="P6545" s="758" t="s">
        <v>1483</v>
      </c>
      <c r="Q6545" s="758"/>
      <c r="R6545" s="2"/>
    </row>
    <row r="6546" spans="1:18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2"/>
      <c r="P6546" s="758" t="s">
        <v>1477</v>
      </c>
      <c r="Q6546" s="758"/>
      <c r="R6546" s="2"/>
    </row>
    <row r="6547" spans="1:18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2"/>
      <c r="P6547" s="758" t="s">
        <v>1478</v>
      </c>
      <c r="Q6547" s="758"/>
      <c r="R6547" s="2"/>
    </row>
    <row r="6548" spans="1:18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2"/>
      <c r="P6548" s="758" t="s">
        <v>1476</v>
      </c>
      <c r="Q6548" s="758"/>
      <c r="R6548" s="2"/>
    </row>
    <row r="6549" spans="1:18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2"/>
      <c r="P6549" s="758" t="s">
        <v>1475</v>
      </c>
      <c r="Q6549" s="758"/>
      <c r="R6549" s="2"/>
    </row>
    <row r="6550" spans="1:18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2"/>
      <c r="P6550" s="758" t="s">
        <v>1495</v>
      </c>
      <c r="Q6550" s="758"/>
      <c r="R6550" s="2"/>
    </row>
    <row r="6551" spans="1:18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2"/>
      <c r="P6551" s="758" t="s">
        <v>1465</v>
      </c>
      <c r="Q6551" s="758"/>
      <c r="R6551" s="2"/>
    </row>
    <row r="6552" spans="1:18" ht="19.5" hidden="1" thickBot="1" x14ac:dyDescent="0.3">
      <c r="A6552" s="1019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2"/>
      <c r="P6552" s="758" t="s">
        <v>1488</v>
      </c>
      <c r="Q6552" s="758"/>
      <c r="R6552" s="2"/>
    </row>
    <row r="6553" spans="1:18" ht="19.5" hidden="1" thickBot="1" x14ac:dyDescent="0.3">
      <c r="A6553" s="1020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2"/>
      <c r="P6553" s="758" t="s">
        <v>1487</v>
      </c>
      <c r="Q6553" s="758"/>
      <c r="R6553" s="2"/>
    </row>
    <row r="6554" spans="1:18" ht="19.5" hidden="1" thickBot="1" x14ac:dyDescent="0.3">
      <c r="A6554" s="1021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2"/>
      <c r="P6554" s="758" t="s">
        <v>1486</v>
      </c>
      <c r="Q6554" s="758"/>
      <c r="R6554" s="2"/>
    </row>
    <row r="6555" spans="1:18" ht="19.5" hidden="1" thickBot="1" x14ac:dyDescent="0.3">
      <c r="A6555" s="957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2"/>
      <c r="P6555" s="758" t="s">
        <v>1493</v>
      </c>
      <c r="Q6555" s="758"/>
      <c r="R6555" s="2"/>
    </row>
    <row r="6556" spans="1:18" ht="19.5" hidden="1" thickBot="1" x14ac:dyDescent="0.3">
      <c r="A6556" s="961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2"/>
      <c r="P6556" s="758" t="s">
        <v>1494</v>
      </c>
      <c r="Q6556" s="758"/>
      <c r="R6556" s="2"/>
    </row>
    <row r="6557" spans="1:18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2"/>
      <c r="P6557" s="758" t="s">
        <v>1496</v>
      </c>
      <c r="Q6557" s="758"/>
      <c r="R6557" s="2"/>
    </row>
    <row r="6558" spans="1:18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2"/>
      <c r="P6558" s="758" t="s">
        <v>1480</v>
      </c>
      <c r="Q6558" s="758"/>
      <c r="R6558" s="2"/>
    </row>
    <row r="6559" spans="1:18" ht="38.25" hidden="1" thickBot="1" x14ac:dyDescent="0.3">
      <c r="A6559" s="1019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2"/>
      <c r="P6559" s="758" t="s">
        <v>1496</v>
      </c>
      <c r="Q6559" s="758"/>
      <c r="R6559" s="2"/>
    </row>
    <row r="6560" spans="1:18" ht="57.75" hidden="1" customHeight="1" x14ac:dyDescent="0.25">
      <c r="A6560" s="1020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1029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2"/>
      <c r="P6560" s="758" t="s">
        <v>1522</v>
      </c>
      <c r="Q6560" s="758"/>
      <c r="R6560" s="2"/>
    </row>
    <row r="6561" spans="1:18" ht="57.75" hidden="1" customHeight="1" thickBot="1" x14ac:dyDescent="0.3">
      <c r="A6561" s="1021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1030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2"/>
      <c r="P6561" s="758" t="s">
        <v>1521</v>
      </c>
      <c r="Q6561" s="758"/>
      <c r="R6561" s="2"/>
    </row>
    <row r="6562" spans="1:18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2"/>
      <c r="P6562" s="758" t="s">
        <v>1474</v>
      </c>
      <c r="Q6562" s="758"/>
      <c r="R6562" s="2"/>
    </row>
    <row r="6563" spans="1:18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2"/>
      <c r="P6563" s="758" t="s">
        <v>1485</v>
      </c>
      <c r="Q6563" s="758"/>
      <c r="R6563" s="2"/>
    </row>
    <row r="6564" spans="1:18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2"/>
      <c r="P6564" s="758" t="s">
        <v>1481</v>
      </c>
      <c r="Q6564" s="758"/>
      <c r="R6564" s="2"/>
    </row>
    <row r="6565" spans="1:18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2"/>
      <c r="P6565" s="758" t="s">
        <v>1479</v>
      </c>
      <c r="Q6565" s="758"/>
      <c r="R6565" s="2"/>
    </row>
    <row r="6566" spans="1:18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2"/>
      <c r="P6566" s="758" t="s">
        <v>1492</v>
      </c>
      <c r="Q6566" s="758"/>
      <c r="R6566" s="2"/>
    </row>
    <row r="6567" spans="1:18" ht="19.5" hidden="1" thickBot="1" x14ac:dyDescent="0.3">
      <c r="A6567" s="1019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2"/>
      <c r="P6567" s="758" t="s">
        <v>1502</v>
      </c>
      <c r="Q6567" s="758"/>
      <c r="R6567" s="2"/>
    </row>
    <row r="6568" spans="1:18" ht="19.5" hidden="1" thickBot="1" x14ac:dyDescent="0.3">
      <c r="A6568" s="1021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2"/>
      <c r="P6568" s="758" t="s">
        <v>1503</v>
      </c>
      <c r="Q6568" s="758"/>
      <c r="R6568" s="2"/>
    </row>
    <row r="6569" spans="1:18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2"/>
      <c r="P6569" s="758" t="s">
        <v>1504</v>
      </c>
      <c r="Q6569" s="758"/>
      <c r="R6569" s="2"/>
    </row>
    <row r="6570" spans="1:18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2"/>
      <c r="P6570" s="758" t="s">
        <v>1535</v>
      </c>
      <c r="Q6570" s="758"/>
      <c r="R6570" s="2"/>
    </row>
    <row r="6571" spans="1:18" ht="19.5" hidden="1" thickBot="1" x14ac:dyDescent="0.3">
      <c r="A6571" s="957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2"/>
      <c r="P6571" s="758" t="s">
        <v>1536</v>
      </c>
      <c r="Q6571" s="758"/>
      <c r="R6571" s="2"/>
    </row>
    <row r="6572" spans="1:18" ht="19.5" hidden="1" thickBot="1" x14ac:dyDescent="0.3">
      <c r="A6572" s="958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2"/>
      <c r="P6572" s="758" t="s">
        <v>1537</v>
      </c>
      <c r="Q6572" s="758"/>
      <c r="R6572" s="2"/>
    </row>
    <row r="6573" spans="1:18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2"/>
      <c r="P6573" s="758" t="s">
        <v>1497</v>
      </c>
      <c r="Q6573" s="758"/>
      <c r="R6573" s="2"/>
    </row>
    <row r="6574" spans="1:18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2"/>
      <c r="P6574" s="758" t="s">
        <v>1500</v>
      </c>
      <c r="Q6574" s="758"/>
      <c r="R6574" s="2"/>
    </row>
    <row r="6575" spans="1:18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2"/>
      <c r="P6575" s="758" t="s">
        <v>1501</v>
      </c>
      <c r="Q6575" s="758"/>
      <c r="R6575" s="2"/>
    </row>
    <row r="6576" spans="1:18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2"/>
      <c r="P6576" s="758" t="s">
        <v>1510</v>
      </c>
      <c r="Q6576" s="758"/>
      <c r="R6576" s="2"/>
    </row>
    <row r="6577" spans="1:18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2"/>
      <c r="P6577" s="758" t="s">
        <v>1499</v>
      </c>
      <c r="Q6577" s="758"/>
      <c r="R6577" s="2"/>
    </row>
    <row r="6578" spans="1:18" ht="19.5" hidden="1" thickBot="1" x14ac:dyDescent="0.3">
      <c r="A6578" s="981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2"/>
      <c r="P6578" s="758" t="s">
        <v>1519</v>
      </c>
      <c r="Q6578" s="758"/>
      <c r="R6578" s="2"/>
    </row>
    <row r="6579" spans="1:18" ht="19.5" hidden="1" thickBot="1" x14ac:dyDescent="0.3">
      <c r="A6579" s="958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2"/>
      <c r="P6579" s="758" t="s">
        <v>1520</v>
      </c>
      <c r="Q6579" s="758"/>
      <c r="R6579" s="2"/>
    </row>
    <row r="6580" spans="1:18" ht="19.5" hidden="1" thickBot="1" x14ac:dyDescent="0.3">
      <c r="A6580" s="1028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2"/>
      <c r="P6580" s="758" t="s">
        <v>1518</v>
      </c>
      <c r="Q6580" s="758"/>
      <c r="R6580" s="2"/>
    </row>
    <row r="6581" spans="1:18" ht="19.5" hidden="1" thickBot="1" x14ac:dyDescent="0.3">
      <c r="A6581" s="962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2"/>
      <c r="P6581" s="758" t="s">
        <v>1511</v>
      </c>
      <c r="Q6581" s="758"/>
      <c r="R6581" s="2"/>
    </row>
    <row r="6582" spans="1:18" ht="19.5" hidden="1" thickBot="1" x14ac:dyDescent="0.3">
      <c r="A6582" s="963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2"/>
      <c r="P6582" s="758" t="s">
        <v>1513</v>
      </c>
      <c r="Q6582" s="758"/>
      <c r="R6582" s="2"/>
    </row>
    <row r="6583" spans="1:18" ht="19.5" hidden="1" thickBot="1" x14ac:dyDescent="0.3">
      <c r="A6583" s="964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2"/>
      <c r="P6583" s="758" t="s">
        <v>1512</v>
      </c>
      <c r="Q6583" s="758"/>
      <c r="R6583" s="2"/>
    </row>
    <row r="6584" spans="1:18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2"/>
      <c r="P6584" s="758" t="s">
        <v>1530</v>
      </c>
      <c r="Q6584" s="758"/>
      <c r="R6584" s="2"/>
    </row>
    <row r="6585" spans="1:18" ht="19.5" hidden="1" thickBot="1" x14ac:dyDescent="0.3">
      <c r="A6585" s="965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2"/>
      <c r="P6585" s="758" t="s">
        <v>1515</v>
      </c>
      <c r="Q6585" s="758"/>
      <c r="R6585" s="2"/>
    </row>
    <row r="6586" spans="1:18" ht="19.5" hidden="1" thickBot="1" x14ac:dyDescent="0.3">
      <c r="A6586" s="966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2"/>
      <c r="P6586" s="758" t="s">
        <v>1516</v>
      </c>
      <c r="Q6586" s="758"/>
      <c r="R6586" s="2"/>
    </row>
    <row r="6587" spans="1:18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2"/>
      <c r="P6587" s="758" t="s">
        <v>1557</v>
      </c>
      <c r="Q6587" s="758"/>
      <c r="R6587" s="2"/>
    </row>
    <row r="6588" spans="1:18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2"/>
      <c r="P6588" s="758" t="s">
        <v>1533</v>
      </c>
      <c r="Q6588" s="758"/>
      <c r="R6588" s="2"/>
    </row>
    <row r="6589" spans="1:18" ht="19.5" hidden="1" thickBot="1" x14ac:dyDescent="0.3">
      <c r="A6589" s="981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2"/>
      <c r="P6589" s="758" t="s">
        <v>1531</v>
      </c>
      <c r="Q6589" s="758"/>
      <c r="R6589" s="2"/>
    </row>
    <row r="6590" spans="1:18" ht="19.5" hidden="1" thickBot="1" x14ac:dyDescent="0.3">
      <c r="A6590" s="1028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2"/>
      <c r="P6590" s="758" t="s">
        <v>1532</v>
      </c>
      <c r="Q6590" s="758"/>
      <c r="R6590" s="2"/>
    </row>
    <row r="6591" spans="1:18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2"/>
      <c r="P6591" s="758" t="s">
        <v>1514</v>
      </c>
      <c r="Q6591" s="758"/>
      <c r="R6591" s="2"/>
    </row>
    <row r="6592" spans="1:18" ht="19.5" hidden="1" thickBot="1" x14ac:dyDescent="0.3">
      <c r="A6592" s="957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2"/>
      <c r="P6592" s="758" t="s">
        <v>1529</v>
      </c>
      <c r="Q6592" s="758"/>
      <c r="R6592" s="2"/>
    </row>
    <row r="6593" spans="1:18" ht="19.5" hidden="1" thickBot="1" x14ac:dyDescent="0.3">
      <c r="A6593" s="961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2"/>
      <c r="P6593" s="758" t="s">
        <v>1528</v>
      </c>
      <c r="Q6593" s="758"/>
      <c r="R6593" s="2"/>
    </row>
    <row r="6594" spans="1:18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2"/>
      <c r="P6594" s="758" t="s">
        <v>1534</v>
      </c>
      <c r="Q6594" s="758"/>
      <c r="R6594" s="2"/>
    </row>
    <row r="6595" spans="1:18" ht="19.5" hidden="1" thickBot="1" x14ac:dyDescent="0.3">
      <c r="A6595" s="957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2"/>
      <c r="P6595" s="758" t="s">
        <v>1523</v>
      </c>
      <c r="Q6595" s="758"/>
      <c r="R6595" s="2"/>
    </row>
    <row r="6596" spans="1:18" ht="19.5" hidden="1" thickBot="1" x14ac:dyDescent="0.3">
      <c r="A6596" s="958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2"/>
      <c r="P6596" s="758" t="s">
        <v>1524</v>
      </c>
      <c r="Q6596" s="758"/>
      <c r="R6596" s="2"/>
    </row>
    <row r="6597" spans="1:18" ht="19.5" hidden="1" thickBot="1" x14ac:dyDescent="0.3">
      <c r="A6597" s="958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2"/>
      <c r="P6597" s="758" t="s">
        <v>1525</v>
      </c>
      <c r="Q6597" s="758"/>
      <c r="R6597" s="2"/>
    </row>
    <row r="6598" spans="1:18" ht="19.5" hidden="1" thickBot="1" x14ac:dyDescent="0.3">
      <c r="A6598" s="958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2"/>
      <c r="P6598" s="758" t="s">
        <v>1526</v>
      </c>
      <c r="Q6598" s="758"/>
      <c r="R6598" s="2"/>
    </row>
    <row r="6599" spans="1:18" ht="19.5" hidden="1" thickBot="1" x14ac:dyDescent="0.3">
      <c r="A6599" s="958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2"/>
      <c r="P6599" s="758" t="s">
        <v>1527</v>
      </c>
      <c r="Q6599" s="758"/>
      <c r="R6599" s="2"/>
    </row>
    <row r="6600" spans="1:18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2"/>
      <c r="P6600" s="758" t="s">
        <v>1517</v>
      </c>
      <c r="Q6600" s="758"/>
      <c r="R6600" s="2"/>
    </row>
    <row r="6601" spans="1:18" ht="19.5" hidden="1" thickBot="1" x14ac:dyDescent="0.3">
      <c r="A6601" s="957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2"/>
      <c r="P6601" s="758" t="s">
        <v>1548</v>
      </c>
      <c r="Q6601" s="758"/>
      <c r="R6601" s="2"/>
    </row>
    <row r="6602" spans="1:18" ht="19.5" hidden="1" thickBot="1" x14ac:dyDescent="0.3">
      <c r="A6602" s="961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2"/>
      <c r="P6602" s="758" t="s">
        <v>1549</v>
      </c>
      <c r="Q6602" s="758"/>
      <c r="R6602" s="2"/>
    </row>
    <row r="6603" spans="1:18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2"/>
      <c r="P6603" s="758" t="s">
        <v>1551</v>
      </c>
      <c r="Q6603" s="758"/>
      <c r="R6603" s="2"/>
    </row>
    <row r="6604" spans="1:18" ht="19.5" hidden="1" thickBot="1" x14ac:dyDescent="0.3">
      <c r="A6604" s="957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974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2"/>
      <c r="P6604" s="758" t="s">
        <v>1544</v>
      </c>
      <c r="Q6604" s="758"/>
      <c r="R6604" s="2"/>
    </row>
    <row r="6605" spans="1:18" ht="19.5" hidden="1" thickBot="1" x14ac:dyDescent="0.3">
      <c r="A6605" s="961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975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2"/>
      <c r="P6605" s="758" t="s">
        <v>1543</v>
      </c>
      <c r="Q6605" s="758"/>
      <c r="R6605" s="2"/>
    </row>
    <row r="6606" spans="1:18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2"/>
      <c r="P6606" s="783" t="s">
        <v>1545</v>
      </c>
      <c r="Q6606" s="758"/>
      <c r="R6606" s="2"/>
    </row>
    <row r="6607" spans="1:18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2"/>
      <c r="P6607" s="758" t="s">
        <v>1546</v>
      </c>
      <c r="Q6607" s="758"/>
      <c r="R6607" s="2"/>
    </row>
    <row r="6608" spans="1:18" ht="19.5" hidden="1" thickBot="1" x14ac:dyDescent="0.3">
      <c r="A6608" s="954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2"/>
      <c r="P6608" s="758" t="s">
        <v>1539</v>
      </c>
      <c r="Q6608" s="758"/>
      <c r="R6608" s="2"/>
    </row>
    <row r="6609" spans="1:18" ht="19.5" hidden="1" thickBot="1" x14ac:dyDescent="0.3">
      <c r="A6609" s="956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2"/>
      <c r="P6609" s="758" t="s">
        <v>1538</v>
      </c>
      <c r="Q6609" s="758"/>
      <c r="R6609" s="2"/>
    </row>
    <row r="6610" spans="1:18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2"/>
      <c r="P6610" s="758" t="s">
        <v>1560</v>
      </c>
      <c r="Q6610" s="758"/>
      <c r="R6610" s="2"/>
    </row>
    <row r="6611" spans="1:18" ht="19.5" hidden="1" thickBot="1" x14ac:dyDescent="0.3">
      <c r="A6611" s="954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2"/>
      <c r="P6611" s="758" t="s">
        <v>1558</v>
      </c>
      <c r="Q6611" s="758"/>
      <c r="R6611" s="2"/>
    </row>
    <row r="6612" spans="1:18" ht="19.5" hidden="1" thickBot="1" x14ac:dyDescent="0.3">
      <c r="A6612" s="956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2"/>
      <c r="P6612" s="758" t="s">
        <v>1559</v>
      </c>
      <c r="Q6612" s="758"/>
      <c r="R6612" s="2"/>
    </row>
    <row r="6613" spans="1:18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2"/>
      <c r="P6613" s="758" t="s">
        <v>1561</v>
      </c>
      <c r="Q6613" s="758"/>
      <c r="R6613" s="2"/>
    </row>
    <row r="6614" spans="1:18" ht="19.5" hidden="1" thickBot="1" x14ac:dyDescent="0.3">
      <c r="A6614" s="954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2"/>
      <c r="P6614" s="758" t="s">
        <v>1541</v>
      </c>
      <c r="Q6614" s="758"/>
      <c r="R6614" s="2"/>
    </row>
    <row r="6615" spans="1:18" ht="19.5" hidden="1" thickBot="1" x14ac:dyDescent="0.3">
      <c r="A6615" s="955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2"/>
      <c r="P6615" s="758" t="s">
        <v>1540</v>
      </c>
      <c r="Q6615" s="758"/>
      <c r="R6615" s="2"/>
    </row>
    <row r="6616" spans="1:18" ht="19.5" hidden="1" thickBot="1" x14ac:dyDescent="0.3">
      <c r="A6616" s="956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2"/>
      <c r="P6616" s="758" t="s">
        <v>1542</v>
      </c>
      <c r="Q6616" s="758"/>
      <c r="R6616" s="2"/>
    </row>
    <row r="6617" spans="1:18" ht="19.5" hidden="1" thickBot="1" x14ac:dyDescent="0.3">
      <c r="A6617" s="957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2"/>
      <c r="P6617" s="758" t="s">
        <v>1552</v>
      </c>
      <c r="Q6617" s="758"/>
      <c r="R6617" s="2"/>
    </row>
    <row r="6618" spans="1:18" ht="19.5" hidden="1" thickBot="1" x14ac:dyDescent="0.3">
      <c r="A6618" s="961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2"/>
      <c r="P6618" s="758" t="s">
        <v>1553</v>
      </c>
      <c r="Q6618" s="758"/>
      <c r="R6618" s="2"/>
    </row>
    <row r="6619" spans="1:18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2"/>
      <c r="P6619" s="758" t="s">
        <v>1562</v>
      </c>
      <c r="Q6619" s="758"/>
      <c r="R6619" s="2"/>
    </row>
    <row r="6620" spans="1:18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2"/>
      <c r="P6620" s="758" t="s">
        <v>1547</v>
      </c>
      <c r="Q6620" s="758"/>
      <c r="R6620" s="2"/>
    </row>
    <row r="6621" spans="1:18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2"/>
      <c r="P6621" s="758" t="s">
        <v>1567</v>
      </c>
      <c r="Q6621" s="758"/>
      <c r="R6621" s="2"/>
    </row>
    <row r="6622" spans="1:18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2"/>
      <c r="P6622" s="758" t="s">
        <v>1565</v>
      </c>
      <c r="Q6622" s="758"/>
      <c r="R6622" s="2"/>
    </row>
    <row r="6623" spans="1:18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2"/>
      <c r="P6623" s="758" t="s">
        <v>1568</v>
      </c>
      <c r="Q6623" s="758"/>
      <c r="R6623" s="2"/>
    </row>
    <row r="6624" spans="1:18" ht="19.5" hidden="1" thickBot="1" x14ac:dyDescent="0.3">
      <c r="A6624" s="957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2"/>
      <c r="P6624" s="758" t="s">
        <v>1570</v>
      </c>
      <c r="Q6624" s="758"/>
      <c r="R6624" s="2"/>
    </row>
    <row r="6625" spans="1:18" ht="19.5" hidden="1" thickBot="1" x14ac:dyDescent="0.3">
      <c r="A6625" s="961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2"/>
      <c r="P6625" s="758" t="s">
        <v>1569</v>
      </c>
      <c r="Q6625" s="758"/>
      <c r="R6625" s="2"/>
    </row>
    <row r="6626" spans="1:18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2"/>
      <c r="P6626" s="758" t="s">
        <v>1566</v>
      </c>
      <c r="Q6626" s="758"/>
      <c r="R6626" s="2"/>
    </row>
    <row r="6627" spans="1:18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2"/>
      <c r="P6627" s="758" t="s">
        <v>1583</v>
      </c>
      <c r="Q6627" s="758"/>
      <c r="R6627" s="2"/>
    </row>
    <row r="6628" spans="1:18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2"/>
      <c r="P6628" s="758" t="s">
        <v>1587</v>
      </c>
      <c r="Q6628" s="758"/>
      <c r="R6628" s="2"/>
    </row>
    <row r="6629" spans="1:18" ht="19.5" hidden="1" thickBot="1" x14ac:dyDescent="0.3">
      <c r="A6629" s="957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2"/>
      <c r="P6629" s="758" t="s">
        <v>1580</v>
      </c>
      <c r="Q6629" s="758"/>
      <c r="R6629" s="2"/>
    </row>
    <row r="6630" spans="1:18" ht="19.5" hidden="1" thickBot="1" x14ac:dyDescent="0.3">
      <c r="A6630" s="958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2"/>
      <c r="P6630" s="758" t="s">
        <v>1581</v>
      </c>
      <c r="Q6630" s="758"/>
      <c r="R6630" s="2"/>
    </row>
    <row r="6631" spans="1:18" ht="19.5" hidden="1" thickBot="1" x14ac:dyDescent="0.3">
      <c r="A6631" s="961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2"/>
      <c r="P6631" s="758" t="s">
        <v>1582</v>
      </c>
      <c r="Q6631" s="758"/>
      <c r="R6631" s="2"/>
    </row>
    <row r="6632" spans="1:18" ht="19.5" hidden="1" thickBot="1" x14ac:dyDescent="0.3">
      <c r="A6632" s="954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2"/>
      <c r="P6632" s="758" t="s">
        <v>1598</v>
      </c>
      <c r="Q6632" s="758"/>
      <c r="R6632" s="2"/>
    </row>
    <row r="6633" spans="1:18" ht="57" hidden="1" thickBot="1" x14ac:dyDescent="0.3">
      <c r="A6633" s="955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2"/>
      <c r="P6633" s="758" t="s">
        <v>1596</v>
      </c>
      <c r="Q6633" s="758"/>
      <c r="R6633" s="2"/>
    </row>
    <row r="6634" spans="1:18" ht="19.5" hidden="1" thickBot="1" x14ac:dyDescent="0.3">
      <c r="A6634" s="956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2"/>
      <c r="P6634" s="758" t="s">
        <v>1597</v>
      </c>
      <c r="Q6634" s="758"/>
      <c r="R6634" s="2"/>
    </row>
    <row r="6635" spans="1:18" ht="19.5" hidden="1" thickBot="1" x14ac:dyDescent="0.3">
      <c r="A6635" s="957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2"/>
      <c r="P6635" s="758" t="s">
        <v>1594</v>
      </c>
      <c r="Q6635" s="758"/>
      <c r="R6635" s="2"/>
    </row>
    <row r="6636" spans="1:18" ht="19.5" hidden="1" thickBot="1" x14ac:dyDescent="0.3">
      <c r="A6636" s="958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2"/>
      <c r="P6636" s="758" t="s">
        <v>1592</v>
      </c>
      <c r="Q6636" s="758"/>
      <c r="R6636" s="2"/>
    </row>
    <row r="6637" spans="1:18" ht="19.5" hidden="1" thickBot="1" x14ac:dyDescent="0.3">
      <c r="A6637" s="958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2"/>
      <c r="P6637" s="758" t="s">
        <v>1593</v>
      </c>
      <c r="Q6637" s="758"/>
      <c r="R6637" s="2"/>
    </row>
    <row r="6638" spans="1:18" ht="19.5" hidden="1" thickBot="1" x14ac:dyDescent="0.3">
      <c r="A6638" s="954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2"/>
      <c r="P6638" s="758" t="s">
        <v>1585</v>
      </c>
      <c r="Q6638" s="758"/>
      <c r="R6638" s="2"/>
    </row>
    <row r="6639" spans="1:18" ht="19.5" hidden="1" thickBot="1" x14ac:dyDescent="0.3">
      <c r="A6639" s="956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2"/>
      <c r="P6639" s="758" t="s">
        <v>1586</v>
      </c>
      <c r="Q6639" s="758"/>
      <c r="R6639" s="2"/>
    </row>
    <row r="6640" spans="1:18" ht="19.5" hidden="1" thickBot="1" x14ac:dyDescent="0.3">
      <c r="A6640" s="957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2"/>
      <c r="P6640" s="758" t="s">
        <v>1591</v>
      </c>
      <c r="Q6640" s="758"/>
      <c r="R6640" s="2"/>
    </row>
    <row r="6641" spans="1:18" ht="19.5" hidden="1" thickBot="1" x14ac:dyDescent="0.3">
      <c r="A6641" s="958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2"/>
      <c r="P6641" s="758" t="s">
        <v>1589</v>
      </c>
      <c r="Q6641" s="758"/>
      <c r="R6641" s="2"/>
    </row>
    <row r="6642" spans="1:18" ht="19.5" hidden="1" thickBot="1" x14ac:dyDescent="0.3">
      <c r="A6642" s="961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2"/>
      <c r="P6642" s="758" t="s">
        <v>1590</v>
      </c>
      <c r="Q6642" s="758"/>
      <c r="R6642" s="2"/>
    </row>
    <row r="6643" spans="1:18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2"/>
      <c r="P6643" s="758" t="s">
        <v>1584</v>
      </c>
      <c r="Q6643" s="758"/>
      <c r="R6643" s="2"/>
    </row>
    <row r="6644" spans="1:18" ht="19.5" hidden="1" thickBot="1" x14ac:dyDescent="0.3">
      <c r="A6644" s="957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2"/>
      <c r="P6644" s="758" t="s">
        <v>1576</v>
      </c>
      <c r="Q6644" s="758"/>
      <c r="R6644" s="2"/>
    </row>
    <row r="6645" spans="1:18" ht="19.5" hidden="1" thickBot="1" x14ac:dyDescent="0.3">
      <c r="A6645" s="958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2"/>
      <c r="P6645" s="758" t="s">
        <v>1577</v>
      </c>
      <c r="Q6645" s="758"/>
      <c r="R6645" s="2"/>
    </row>
    <row r="6646" spans="1:18" ht="19.5" hidden="1" thickBot="1" x14ac:dyDescent="0.3">
      <c r="A6646" s="958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2"/>
      <c r="P6646" s="758" t="s">
        <v>1578</v>
      </c>
      <c r="Q6646" s="758"/>
      <c r="R6646" s="2"/>
    </row>
    <row r="6647" spans="1:18" ht="19.5" hidden="1" thickBot="1" x14ac:dyDescent="0.3">
      <c r="A6647" s="961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2"/>
      <c r="P6647" s="758" t="s">
        <v>1579</v>
      </c>
      <c r="Q6647" s="758"/>
      <c r="R6647" s="2"/>
    </row>
    <row r="6648" spans="1:18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2"/>
      <c r="P6648" s="758" t="s">
        <v>1588</v>
      </c>
      <c r="Q6648" s="758"/>
      <c r="R6648" s="2"/>
    </row>
    <row r="6649" spans="1:18" ht="19.5" hidden="1" thickBot="1" x14ac:dyDescent="0.3">
      <c r="A6649" s="957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2"/>
      <c r="P6649" s="758" t="s">
        <v>1607</v>
      </c>
      <c r="Q6649" s="758"/>
      <c r="R6649" s="2"/>
    </row>
    <row r="6650" spans="1:18" ht="19.5" hidden="1" thickBot="1" x14ac:dyDescent="0.3">
      <c r="A6650" s="958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2"/>
      <c r="P6650" s="758" t="s">
        <v>1608</v>
      </c>
      <c r="Q6650" s="758"/>
      <c r="R6650" s="2"/>
    </row>
    <row r="6651" spans="1:18" ht="32.25" hidden="1" thickBot="1" x14ac:dyDescent="0.3">
      <c r="A6651" s="961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2"/>
      <c r="P6651" s="758" t="s">
        <v>1609</v>
      </c>
      <c r="Q6651" s="758"/>
      <c r="R6651" s="2"/>
    </row>
    <row r="6652" spans="1:18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2"/>
      <c r="P6652" s="758" t="s">
        <v>1612</v>
      </c>
      <c r="Q6652" s="758"/>
      <c r="R6652" s="2"/>
    </row>
    <row r="6653" spans="1:18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2"/>
      <c r="P6653" s="758" t="s">
        <v>1603</v>
      </c>
      <c r="Q6653" s="758"/>
      <c r="R6653" s="2"/>
    </row>
    <row r="6654" spans="1:18" ht="19.5" hidden="1" thickBot="1" x14ac:dyDescent="0.3">
      <c r="A6654" s="954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2"/>
      <c r="P6654" s="758" t="s">
        <v>1606</v>
      </c>
      <c r="Q6654" s="758"/>
      <c r="R6654" s="2"/>
    </row>
    <row r="6655" spans="1:18" ht="19.5" hidden="1" thickBot="1" x14ac:dyDescent="0.3">
      <c r="A6655" s="956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2"/>
      <c r="P6655" s="758" t="s">
        <v>1605</v>
      </c>
      <c r="Q6655" s="758"/>
      <c r="R6655" s="2"/>
    </row>
    <row r="6656" spans="1:18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2"/>
      <c r="P6656" s="758" t="s">
        <v>1602</v>
      </c>
      <c r="Q6656" s="758"/>
      <c r="R6656" s="2"/>
    </row>
    <row r="6657" spans="1:18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2"/>
      <c r="P6657" s="758" t="s">
        <v>1599</v>
      </c>
      <c r="Q6657" s="758"/>
      <c r="R6657" s="2"/>
    </row>
    <row r="6658" spans="1:18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2"/>
      <c r="P6658" s="758" t="s">
        <v>1600</v>
      </c>
      <c r="Q6658" s="758"/>
      <c r="R6658" s="2"/>
    </row>
    <row r="6659" spans="1:18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2"/>
      <c r="P6659" s="758" t="s">
        <v>1613</v>
      </c>
      <c r="Q6659" s="758"/>
      <c r="R6659" s="2"/>
    </row>
    <row r="6660" spans="1:18" ht="19.5" hidden="1" thickBot="1" x14ac:dyDescent="0.3">
      <c r="A6660" s="957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970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2"/>
      <c r="P6660" s="758" t="s">
        <v>1610</v>
      </c>
      <c r="Q6660" s="758"/>
      <c r="R6660" s="2"/>
    </row>
    <row r="6661" spans="1:18" ht="19.5" hidden="1" thickBot="1" x14ac:dyDescent="0.3">
      <c r="A6661" s="961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971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2"/>
      <c r="P6661" s="758" t="s">
        <v>1611</v>
      </c>
      <c r="Q6661" s="758"/>
      <c r="R6661" s="2"/>
    </row>
    <row r="6662" spans="1:18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2"/>
      <c r="P6662" s="758" t="s">
        <v>1604</v>
      </c>
      <c r="Q6662" s="758"/>
      <c r="R6662" s="2"/>
    </row>
    <row r="6663" spans="1:18" ht="19.5" hidden="1" thickBot="1" x14ac:dyDescent="0.3">
      <c r="A6663" s="957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2"/>
      <c r="P6663" s="758" t="s">
        <v>1616</v>
      </c>
      <c r="Q6663" s="758"/>
      <c r="R6663" s="2"/>
    </row>
    <row r="6664" spans="1:18" ht="19.5" hidden="1" thickBot="1" x14ac:dyDescent="0.3">
      <c r="A6664" s="958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2"/>
      <c r="P6664" s="758" t="s">
        <v>1617</v>
      </c>
      <c r="Q6664" s="758"/>
      <c r="R6664" s="2"/>
    </row>
    <row r="6665" spans="1:18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2"/>
      <c r="P6665" s="758" t="s">
        <v>1619</v>
      </c>
      <c r="Q6665" s="758"/>
      <c r="R6665" s="2"/>
    </row>
    <row r="6666" spans="1:18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2"/>
      <c r="P6666" s="758" t="s">
        <v>1621</v>
      </c>
      <c r="Q6666" s="758"/>
      <c r="R6666" s="2"/>
    </row>
    <row r="6667" spans="1:18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2"/>
      <c r="P6667" s="758" t="s">
        <v>1623</v>
      </c>
      <c r="Q6667" s="758"/>
      <c r="R6667" s="2"/>
    </row>
    <row r="6668" spans="1:18" ht="19.5" hidden="1" thickBot="1" x14ac:dyDescent="0.3">
      <c r="A6668" s="981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2"/>
      <c r="P6668" s="758" t="s">
        <v>1629</v>
      </c>
      <c r="Q6668" s="758"/>
      <c r="R6668" s="2"/>
    </row>
    <row r="6669" spans="1:18" ht="19.5" hidden="1" thickBot="1" x14ac:dyDescent="0.3">
      <c r="A6669" s="1028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2"/>
      <c r="P6669" s="758" t="s">
        <v>1630</v>
      </c>
      <c r="Q6669" s="758"/>
      <c r="R6669" s="2"/>
    </row>
    <row r="6670" spans="1:18" ht="19.5" hidden="1" thickBot="1" x14ac:dyDescent="0.3">
      <c r="A6670" s="963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2"/>
      <c r="P6670" s="758" t="s">
        <v>1624</v>
      </c>
      <c r="Q6670" s="758"/>
      <c r="R6670" s="2"/>
    </row>
    <row r="6671" spans="1:18" ht="19.5" hidden="1" thickBot="1" x14ac:dyDescent="0.3">
      <c r="A6671" s="963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2"/>
      <c r="P6671" s="758" t="s">
        <v>1625</v>
      </c>
      <c r="Q6671" s="758"/>
      <c r="R6671" s="2"/>
    </row>
    <row r="6672" spans="1:18" ht="19.5" hidden="1" thickBot="1" x14ac:dyDescent="0.3">
      <c r="A6672" s="1018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2"/>
      <c r="P6672" s="758" t="s">
        <v>1626</v>
      </c>
      <c r="Q6672" s="758"/>
      <c r="R6672" s="2"/>
    </row>
    <row r="6673" spans="1:18" ht="19.5" hidden="1" thickBot="1" x14ac:dyDescent="0.3">
      <c r="A6673" s="959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2"/>
      <c r="P6673" s="758" t="s">
        <v>1627</v>
      </c>
      <c r="Q6673" s="834"/>
    </row>
    <row r="6674" spans="1:18" ht="18.75" hidden="1" customHeight="1" thickBot="1" x14ac:dyDescent="0.3">
      <c r="A6674" s="960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2"/>
      <c r="P6674" s="758" t="s">
        <v>1628</v>
      </c>
      <c r="Q6674" s="834"/>
    </row>
    <row r="6675" spans="1:18" ht="19.5" hidden="1" thickBot="1" x14ac:dyDescent="0.3">
      <c r="A6675" s="954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2"/>
      <c r="P6675" s="758" t="s">
        <v>1658</v>
      </c>
      <c r="Q6675" s="834"/>
    </row>
    <row r="6676" spans="1:18" ht="19.5" hidden="1" thickBot="1" x14ac:dyDescent="0.3">
      <c r="A6676" s="956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2"/>
      <c r="P6676" s="758" t="s">
        <v>1657</v>
      </c>
      <c r="Q6676" s="834"/>
    </row>
    <row r="6677" spans="1:18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2"/>
      <c r="P6677" s="758" t="s">
        <v>1622</v>
      </c>
      <c r="Q6677" s="834"/>
    </row>
    <row r="6678" spans="1:18" ht="19.5" hidden="1" thickBot="1" x14ac:dyDescent="0.3">
      <c r="A6678" s="954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2"/>
      <c r="P6678" s="758" t="s">
        <v>1644</v>
      </c>
    </row>
    <row r="6679" spans="1:18" ht="19.5" hidden="1" thickBot="1" x14ac:dyDescent="0.3">
      <c r="A6679" s="955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2"/>
      <c r="P6679" s="758" t="s">
        <v>1643</v>
      </c>
    </row>
    <row r="6680" spans="1:18" ht="19.5" hidden="1" thickBot="1" x14ac:dyDescent="0.3">
      <c r="A6680" s="959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2"/>
      <c r="P6680" s="758" t="s">
        <v>1646</v>
      </c>
      <c r="Q6680" s="834" t="s">
        <v>1647</v>
      </c>
      <c r="R6680" s="833" t="s">
        <v>1648</v>
      </c>
    </row>
    <row r="6681" spans="1:18" ht="18.75" hidden="1" customHeight="1" thickBot="1" x14ac:dyDescent="0.3">
      <c r="A6681" s="960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2"/>
      <c r="P6681" s="758" t="s">
        <v>1645</v>
      </c>
      <c r="Q6681" s="834"/>
    </row>
    <row r="6682" spans="1:18" ht="19.5" hidden="1" thickBot="1" x14ac:dyDescent="0.3">
      <c r="A6682" s="1022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2"/>
      <c r="P6682" s="758" t="s">
        <v>1650</v>
      </c>
      <c r="Q6682" s="834" t="s">
        <v>1651</v>
      </c>
      <c r="R6682" s="833" t="s">
        <v>1652</v>
      </c>
    </row>
    <row r="6683" spans="1:18" ht="18.75" hidden="1" customHeight="1" thickBot="1" x14ac:dyDescent="0.3">
      <c r="A6683" s="1018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2"/>
      <c r="P6683" s="758" t="s">
        <v>1649</v>
      </c>
      <c r="Q6683" s="834"/>
    </row>
    <row r="6684" spans="1:18" ht="19.5" hidden="1" thickBot="1" x14ac:dyDescent="0.3">
      <c r="A6684" s="959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2"/>
      <c r="P6684" s="758" t="s">
        <v>1678</v>
      </c>
    </row>
    <row r="6685" spans="1:18" ht="19.5" hidden="1" thickBot="1" x14ac:dyDescent="0.3">
      <c r="A6685" s="972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2"/>
      <c r="P6685" s="758" t="s">
        <v>1679</v>
      </c>
    </row>
    <row r="6686" spans="1:18" ht="19.5" hidden="1" thickBot="1" x14ac:dyDescent="0.3">
      <c r="A6686" s="972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2"/>
      <c r="P6686" s="758" t="s">
        <v>1680</v>
      </c>
    </row>
    <row r="6687" spans="1:18" ht="19.5" hidden="1" thickBot="1" x14ac:dyDescent="0.3">
      <c r="A6687" s="960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2"/>
      <c r="P6687" s="758" t="s">
        <v>1681</v>
      </c>
    </row>
    <row r="6688" spans="1:18" ht="19.5" hidden="1" thickBot="1" x14ac:dyDescent="0.3">
      <c r="A6688" s="1022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2"/>
      <c r="P6688" s="758" t="s">
        <v>1662</v>
      </c>
    </row>
    <row r="6689" spans="1:17" ht="19.5" hidden="1" thickBot="1" x14ac:dyDescent="0.3">
      <c r="A6689" s="963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2"/>
      <c r="P6689" s="758" t="s">
        <v>1661</v>
      </c>
      <c r="Q6689" s="834"/>
    </row>
    <row r="6690" spans="1:17" ht="19.5" hidden="1" thickBot="1" x14ac:dyDescent="0.3">
      <c r="A6690" s="1018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2"/>
      <c r="P6690" s="758" t="s">
        <v>1663</v>
      </c>
      <c r="Q6690" s="834"/>
    </row>
    <row r="6691" spans="1:17" ht="19.5" hidden="1" thickBot="1" x14ac:dyDescent="0.3">
      <c r="A6691" s="959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2"/>
      <c r="P6691" s="758" t="s">
        <v>1640</v>
      </c>
    </row>
    <row r="6692" spans="1:17" ht="19.5" hidden="1" thickBot="1" x14ac:dyDescent="0.3">
      <c r="A6692" s="960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2"/>
      <c r="P6692" s="758" t="s">
        <v>1639</v>
      </c>
    </row>
    <row r="6693" spans="1:17" ht="19.5" hidden="1" thickBot="1" x14ac:dyDescent="0.3">
      <c r="A6693" s="1022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2"/>
      <c r="P6693" s="758" t="s">
        <v>1641</v>
      </c>
    </row>
    <row r="6694" spans="1:17" ht="19.5" hidden="1" thickBot="1" x14ac:dyDescent="0.3">
      <c r="A6694" s="1018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2"/>
      <c r="P6694" s="758" t="s">
        <v>1642</v>
      </c>
    </row>
    <row r="6695" spans="1:17" ht="19.5" hidden="1" thickBot="1" x14ac:dyDescent="0.3">
      <c r="A6695" s="959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2"/>
      <c r="P6695" s="758" t="s">
        <v>1654</v>
      </c>
      <c r="Q6695" s="834"/>
    </row>
    <row r="6696" spans="1:17" ht="19.5" hidden="1" thickBot="1" x14ac:dyDescent="0.3">
      <c r="A6696" s="972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2"/>
      <c r="P6696" s="758" t="s">
        <v>1655</v>
      </c>
      <c r="Q6696" s="834"/>
    </row>
    <row r="6697" spans="1:17" ht="32.25" hidden="1" thickBot="1" x14ac:dyDescent="0.3">
      <c r="A6697" s="960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2"/>
      <c r="P6697" s="758" t="s">
        <v>1653</v>
      </c>
      <c r="Q6697" s="834"/>
    </row>
    <row r="6698" spans="1:17" ht="19.5" hidden="1" thickBot="1" x14ac:dyDescent="0.3">
      <c r="A6698" s="1022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2"/>
      <c r="P6698" s="758" t="s">
        <v>1676</v>
      </c>
      <c r="Q6698" s="834"/>
    </row>
    <row r="6699" spans="1:17" ht="18.75" hidden="1" customHeight="1" thickBot="1" x14ac:dyDescent="0.3">
      <c r="A6699" s="1018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2"/>
      <c r="P6699" s="758" t="s">
        <v>1677</v>
      </c>
      <c r="Q6699" s="834"/>
    </row>
    <row r="6700" spans="1:17" ht="19.5" hidden="1" thickBot="1" x14ac:dyDescent="0.3">
      <c r="A6700" s="959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2"/>
      <c r="P6700" s="758" t="s">
        <v>1636</v>
      </c>
      <c r="Q6700" s="834"/>
    </row>
    <row r="6701" spans="1:17" ht="19.5" hidden="1" thickBot="1" x14ac:dyDescent="0.3">
      <c r="A6701" s="972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2"/>
      <c r="P6701" s="758" t="s">
        <v>1638</v>
      </c>
    </row>
    <row r="6702" spans="1:17" ht="19.5" hidden="1" thickBot="1" x14ac:dyDescent="0.3">
      <c r="A6702" s="960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2"/>
      <c r="P6702" s="758" t="s">
        <v>1637</v>
      </c>
    </row>
    <row r="6703" spans="1:17" ht="57" hidden="1" thickBot="1" x14ac:dyDescent="0.3">
      <c r="A6703" s="954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2"/>
      <c r="P6703" s="867" t="s">
        <v>1666</v>
      </c>
    </row>
    <row r="6704" spans="1:17" ht="19.5" hidden="1" thickBot="1" x14ac:dyDescent="0.3">
      <c r="A6704" s="955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2"/>
      <c r="P6704" s="867" t="s">
        <v>1667</v>
      </c>
    </row>
    <row r="6705" spans="1:17" ht="19.5" hidden="1" thickBot="1" x14ac:dyDescent="0.3">
      <c r="A6705" s="955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2"/>
      <c r="P6705" s="867" t="s">
        <v>1668</v>
      </c>
    </row>
    <row r="6706" spans="1:17" ht="19.5" hidden="1" thickBot="1" x14ac:dyDescent="0.3">
      <c r="A6706" s="955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2"/>
      <c r="P6706" s="867" t="s">
        <v>1024</v>
      </c>
    </row>
    <row r="6707" spans="1:17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2"/>
      <c r="P6707" s="867" t="s">
        <v>1656</v>
      </c>
    </row>
    <row r="6708" spans="1:17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2"/>
      <c r="P6708" s="867" t="s">
        <v>1659</v>
      </c>
    </row>
    <row r="6709" spans="1:17" ht="19.5" hidden="1" thickBot="1" x14ac:dyDescent="0.3">
      <c r="A6709" s="957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2"/>
      <c r="P6709" s="867" t="s">
        <v>1673</v>
      </c>
      <c r="Q6709" s="847" t="s">
        <v>1675</v>
      </c>
    </row>
    <row r="6710" spans="1:17" ht="19.5" hidden="1" thickBot="1" x14ac:dyDescent="0.3">
      <c r="A6710" s="958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2"/>
      <c r="P6710" s="867" t="s">
        <v>1671</v>
      </c>
    </row>
    <row r="6711" spans="1:17" ht="19.5" hidden="1" thickBot="1" x14ac:dyDescent="0.3">
      <c r="A6711" s="958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2"/>
      <c r="P6711" s="867" t="s">
        <v>1672</v>
      </c>
    </row>
    <row r="6712" spans="1:17" ht="19.5" hidden="1" thickBot="1" x14ac:dyDescent="0.3">
      <c r="A6712" s="961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2"/>
      <c r="P6712" s="867" t="s">
        <v>1674</v>
      </c>
    </row>
    <row r="6713" spans="1:17" ht="19.5" hidden="1" thickBot="1" x14ac:dyDescent="0.3">
      <c r="A6713" s="1022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2"/>
      <c r="P6713" s="867" t="s">
        <v>1698</v>
      </c>
    </row>
    <row r="6714" spans="1:17" ht="19.5" hidden="1" thickBot="1" x14ac:dyDescent="0.3">
      <c r="A6714" s="1018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2"/>
      <c r="P6714" s="867" t="s">
        <v>1699</v>
      </c>
    </row>
    <row r="6715" spans="1:17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2"/>
      <c r="P6715" s="867" t="s">
        <v>1660</v>
      </c>
    </row>
    <row r="6716" spans="1:17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2"/>
      <c r="P6716" s="867" t="s">
        <v>1758</v>
      </c>
    </row>
    <row r="6717" spans="1:17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2"/>
      <c r="P6717" s="867" t="s">
        <v>1664</v>
      </c>
      <c r="Q6717" s="847" t="s">
        <v>1665</v>
      </c>
    </row>
    <row r="6718" spans="1:17" ht="19.5" hidden="1" thickBot="1" x14ac:dyDescent="0.3">
      <c r="A6718" s="1022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1031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2"/>
      <c r="P6718" s="867" t="s">
        <v>1690</v>
      </c>
    </row>
    <row r="6719" spans="1:17" ht="19.5" hidden="1" thickBot="1" x14ac:dyDescent="0.3">
      <c r="A6719" s="963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1032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2"/>
      <c r="P6719" s="867" t="s">
        <v>1689</v>
      </c>
    </row>
    <row r="6720" spans="1:17" ht="19.5" hidden="1" thickBot="1" x14ac:dyDescent="0.3">
      <c r="A6720" s="1018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1033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2"/>
      <c r="P6720" s="867" t="s">
        <v>1691</v>
      </c>
    </row>
    <row r="6721" spans="1:18" ht="19.5" hidden="1" thickBot="1" x14ac:dyDescent="0.3">
      <c r="A6721" s="957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973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2"/>
      <c r="P6721" s="867" t="s">
        <v>1682</v>
      </c>
    </row>
    <row r="6722" spans="1:18" ht="19.5" hidden="1" thickBot="1" x14ac:dyDescent="0.3">
      <c r="A6722" s="961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973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2"/>
      <c r="P6722" s="867" t="s">
        <v>1683</v>
      </c>
    </row>
    <row r="6723" spans="1:18" ht="19.5" hidden="1" thickBot="1" x14ac:dyDescent="0.3">
      <c r="A6723" s="1022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967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2"/>
      <c r="P6723" s="867" t="s">
        <v>1669</v>
      </c>
    </row>
    <row r="6724" spans="1:18" ht="19.5" hidden="1" thickBot="1" x14ac:dyDescent="0.3">
      <c r="A6724" s="1018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969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2"/>
      <c r="P6724" s="867" t="s">
        <v>1670</v>
      </c>
      <c r="R6724" s="835"/>
    </row>
    <row r="6725" spans="1:18" ht="19.5" hidden="1" thickBot="1" x14ac:dyDescent="0.3">
      <c r="A6725" s="959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2"/>
      <c r="P6725" s="867" t="s">
        <v>1685</v>
      </c>
      <c r="Q6725" s="834"/>
    </row>
    <row r="6726" spans="1:18" ht="19.5" hidden="1" thickBot="1" x14ac:dyDescent="0.3">
      <c r="A6726" s="960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2"/>
      <c r="P6726" s="867" t="s">
        <v>1686</v>
      </c>
      <c r="Q6726" s="834"/>
    </row>
    <row r="6727" spans="1:18" ht="19.5" hidden="1" thickBot="1" x14ac:dyDescent="0.3">
      <c r="A6727" s="954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2"/>
      <c r="P6727" s="867" t="s">
        <v>1687</v>
      </c>
    </row>
    <row r="6728" spans="1:18" ht="19.5" hidden="1" thickBot="1" x14ac:dyDescent="0.3">
      <c r="A6728" s="956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2"/>
      <c r="P6728" s="867" t="s">
        <v>1688</v>
      </c>
    </row>
    <row r="6729" spans="1:18" ht="19.5" hidden="1" thickBot="1" x14ac:dyDescent="0.3">
      <c r="A6729" s="957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2"/>
      <c r="P6729" s="867" t="s">
        <v>1696</v>
      </c>
    </row>
    <row r="6730" spans="1:18" ht="19.5" hidden="1" thickBot="1" x14ac:dyDescent="0.3">
      <c r="A6730" s="961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2"/>
      <c r="P6730" s="867" t="s">
        <v>1697</v>
      </c>
      <c r="Q6730" s="834"/>
    </row>
    <row r="6731" spans="1:18" ht="19.5" hidden="1" thickBot="1" x14ac:dyDescent="0.3">
      <c r="A6731" s="954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2"/>
      <c r="P6731" s="867" t="s">
        <v>1694</v>
      </c>
    </row>
    <row r="6732" spans="1:18" ht="19.5" hidden="1" thickBot="1" x14ac:dyDescent="0.3">
      <c r="A6732" s="955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2"/>
      <c r="P6732" s="867" t="s">
        <v>1695</v>
      </c>
      <c r="Q6732" s="834"/>
    </row>
    <row r="6733" spans="1:18" ht="19.5" hidden="1" thickBot="1" x14ac:dyDescent="0.3">
      <c r="A6733" s="981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2"/>
      <c r="P6733" s="867" t="s">
        <v>1692</v>
      </c>
      <c r="Q6733" s="834"/>
    </row>
    <row r="6734" spans="1:18" ht="19.5" hidden="1" thickBot="1" x14ac:dyDescent="0.3">
      <c r="A6734" s="1023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2"/>
      <c r="P6734" s="867" t="s">
        <v>1693</v>
      </c>
      <c r="Q6734" s="834"/>
    </row>
    <row r="6735" spans="1:18" ht="19.5" hidden="1" thickBot="1" x14ac:dyDescent="0.3">
      <c r="A6735" s="1022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2"/>
      <c r="P6735" s="867" t="s">
        <v>1709</v>
      </c>
      <c r="Q6735" s="834"/>
    </row>
    <row r="6736" spans="1:18" ht="19.5" hidden="1" thickBot="1" x14ac:dyDescent="0.3">
      <c r="A6736" s="1018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2"/>
      <c r="P6736" s="867" t="s">
        <v>1710</v>
      </c>
      <c r="Q6736" s="834"/>
    </row>
    <row r="6737" spans="1:17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2"/>
      <c r="P6737" s="867" t="s">
        <v>1706</v>
      </c>
      <c r="Q6737" s="834"/>
    </row>
    <row r="6738" spans="1:17" ht="19.5" hidden="1" thickBot="1" x14ac:dyDescent="0.3">
      <c r="A6738" s="1022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2"/>
      <c r="P6738" s="867" t="s">
        <v>1707</v>
      </c>
      <c r="Q6738" s="834"/>
    </row>
    <row r="6739" spans="1:17" ht="19.5" hidden="1" thickBot="1" x14ac:dyDescent="0.3">
      <c r="A6739" s="1018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2"/>
      <c r="P6739" s="867" t="s">
        <v>1708</v>
      </c>
      <c r="Q6739" s="834"/>
    </row>
    <row r="6740" spans="1:17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2"/>
      <c r="P6740" s="867" t="s">
        <v>1716</v>
      </c>
    </row>
    <row r="6741" spans="1:17" ht="19.5" hidden="1" thickBot="1" x14ac:dyDescent="0.3">
      <c r="A6741" s="1022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2"/>
      <c r="P6741" s="867" t="s">
        <v>1728</v>
      </c>
      <c r="Q6741" s="847" t="s">
        <v>1731</v>
      </c>
    </row>
    <row r="6742" spans="1:17" ht="19.5" hidden="1" thickBot="1" x14ac:dyDescent="0.3">
      <c r="A6742" s="963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2"/>
      <c r="P6742" s="867" t="s">
        <v>1730</v>
      </c>
    </row>
    <row r="6743" spans="1:17" ht="19.5" hidden="1" thickBot="1" x14ac:dyDescent="0.3">
      <c r="A6743" s="1018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2"/>
      <c r="P6743" s="867" t="s">
        <v>1729</v>
      </c>
    </row>
    <row r="6744" spans="1:17" ht="19.5" hidden="1" thickBot="1" x14ac:dyDescent="0.3">
      <c r="A6744" s="957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2"/>
      <c r="P6744" s="867" t="s">
        <v>1712</v>
      </c>
      <c r="Q6744" s="847" t="s">
        <v>1715</v>
      </c>
    </row>
    <row r="6745" spans="1:17" ht="19.5" hidden="1" thickBot="1" x14ac:dyDescent="0.3">
      <c r="A6745" s="958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2"/>
      <c r="P6745" s="867" t="s">
        <v>1714</v>
      </c>
    </row>
    <row r="6746" spans="1:17" ht="19.5" hidden="1" thickBot="1" x14ac:dyDescent="0.3">
      <c r="A6746" s="961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2"/>
      <c r="P6746" s="867" t="s">
        <v>1713</v>
      </c>
      <c r="Q6746" s="847" t="s">
        <v>1720</v>
      </c>
    </row>
    <row r="6747" spans="1:17" ht="19.5" hidden="1" thickBot="1" x14ac:dyDescent="0.3">
      <c r="A6747" s="954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2"/>
      <c r="P6747" s="867" t="s">
        <v>1717</v>
      </c>
    </row>
    <row r="6748" spans="1:17" ht="19.5" hidden="1" thickBot="1" x14ac:dyDescent="0.3">
      <c r="A6748" s="955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2"/>
      <c r="P6748" s="867" t="s">
        <v>1719</v>
      </c>
    </row>
    <row r="6749" spans="1:17" ht="19.5" hidden="1" thickBot="1" x14ac:dyDescent="0.3">
      <c r="A6749" s="956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2"/>
      <c r="P6749" s="867" t="s">
        <v>1718</v>
      </c>
    </row>
    <row r="6750" spans="1:17" ht="19.5" hidden="1" thickBot="1" x14ac:dyDescent="0.3">
      <c r="A6750" s="957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2"/>
      <c r="P6750" s="867" t="s">
        <v>1747</v>
      </c>
    </row>
    <row r="6751" spans="1:17" ht="19.5" hidden="1" thickBot="1" x14ac:dyDescent="0.3">
      <c r="A6751" s="958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2"/>
      <c r="P6751" s="867" t="s">
        <v>1748</v>
      </c>
    </row>
    <row r="6752" spans="1:17" ht="19.5" hidden="1" thickBot="1" x14ac:dyDescent="0.3">
      <c r="A6752" s="961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2"/>
      <c r="P6752" s="867" t="s">
        <v>1024</v>
      </c>
    </row>
    <row r="6753" spans="1:16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2"/>
      <c r="P6753" s="867" t="s">
        <v>1711</v>
      </c>
    </row>
    <row r="6754" spans="1:16" ht="19.5" hidden="1" thickBot="1" x14ac:dyDescent="0.3">
      <c r="A6754" s="957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2"/>
      <c r="P6754" s="867" t="s">
        <v>1736</v>
      </c>
    </row>
    <row r="6755" spans="1:16" ht="19.5" hidden="1" thickBot="1" x14ac:dyDescent="0.3">
      <c r="A6755" s="961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2"/>
      <c r="P6755" s="867" t="s">
        <v>1737</v>
      </c>
    </row>
    <row r="6756" spans="1:16" ht="19.5" hidden="1" thickBot="1" x14ac:dyDescent="0.3">
      <c r="A6756" s="1022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2"/>
      <c r="P6756" s="867" t="s">
        <v>1738</v>
      </c>
    </row>
    <row r="6757" spans="1:16" ht="19.5" hidden="1" thickBot="1" x14ac:dyDescent="0.3">
      <c r="A6757" s="963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2"/>
      <c r="P6757" s="867" t="s">
        <v>1740</v>
      </c>
    </row>
    <row r="6758" spans="1:16" ht="19.5" hidden="1" thickBot="1" x14ac:dyDescent="0.3">
      <c r="A6758" s="1018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2"/>
      <c r="P6758" s="867" t="s">
        <v>1739</v>
      </c>
    </row>
    <row r="6759" spans="1:16" ht="19.5" hidden="1" thickBot="1" x14ac:dyDescent="0.3">
      <c r="A6759" s="959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2"/>
      <c r="P6759" s="867" t="s">
        <v>1732</v>
      </c>
    </row>
    <row r="6760" spans="1:16" ht="19.5" hidden="1" thickBot="1" x14ac:dyDescent="0.3">
      <c r="A6760" s="972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2"/>
      <c r="P6760" s="867" t="s">
        <v>1733</v>
      </c>
    </row>
    <row r="6761" spans="1:16" ht="19.5" hidden="1" thickBot="1" x14ac:dyDescent="0.3">
      <c r="A6761" s="972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2"/>
      <c r="P6761" s="867" t="s">
        <v>1734</v>
      </c>
    </row>
    <row r="6762" spans="1:16" ht="19.5" hidden="1" thickBot="1" x14ac:dyDescent="0.3">
      <c r="A6762" s="960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2"/>
      <c r="P6762" s="867" t="s">
        <v>1735</v>
      </c>
    </row>
    <row r="6763" spans="1:16" ht="19.5" hidden="1" thickBot="1" x14ac:dyDescent="0.3">
      <c r="A6763" s="1022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2"/>
      <c r="P6763" s="867" t="s">
        <v>1725</v>
      </c>
    </row>
    <row r="6764" spans="1:16" ht="19.5" hidden="1" thickBot="1" x14ac:dyDescent="0.3">
      <c r="A6764" s="963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2"/>
      <c r="P6764" s="867" t="s">
        <v>1726</v>
      </c>
    </row>
    <row r="6765" spans="1:16" ht="19.5" hidden="1" thickBot="1" x14ac:dyDescent="0.3">
      <c r="A6765" s="963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2"/>
      <c r="P6765" s="867" t="s">
        <v>1727</v>
      </c>
    </row>
    <row r="6766" spans="1:16" ht="19.5" hidden="1" thickBot="1" x14ac:dyDescent="0.3">
      <c r="A6766" s="957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2"/>
      <c r="P6766" s="867" t="s">
        <v>1741</v>
      </c>
    </row>
    <row r="6767" spans="1:16" ht="19.5" hidden="1" thickBot="1" x14ac:dyDescent="0.3">
      <c r="A6767" s="958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2"/>
      <c r="P6767" s="867" t="s">
        <v>1742</v>
      </c>
    </row>
    <row r="6768" spans="1:16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2"/>
      <c r="P6768" s="867" t="s">
        <v>1749</v>
      </c>
    </row>
    <row r="6769" spans="1:16" ht="19.5" hidden="1" thickBot="1" x14ac:dyDescent="0.3">
      <c r="A6769" s="957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2"/>
      <c r="P6769" s="867" t="s">
        <v>1753</v>
      </c>
    </row>
    <row r="6770" spans="1:16" ht="19.5" hidden="1" thickBot="1" x14ac:dyDescent="0.3">
      <c r="A6770" s="961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2"/>
      <c r="P6770" s="867" t="s">
        <v>1752</v>
      </c>
    </row>
    <row r="6771" spans="1:16" ht="19.5" hidden="1" thickBot="1" x14ac:dyDescent="0.3">
      <c r="A6771" s="1022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2"/>
      <c r="P6771" s="867" t="s">
        <v>1743</v>
      </c>
    </row>
    <row r="6772" spans="1:16" ht="19.5" hidden="1" thickBot="1" x14ac:dyDescent="0.3">
      <c r="A6772" s="963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2"/>
      <c r="P6772" s="867" t="s">
        <v>1745</v>
      </c>
    </row>
    <row r="6773" spans="1:16" ht="19.5" hidden="1" thickBot="1" x14ac:dyDescent="0.3">
      <c r="A6773" s="963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2"/>
      <c r="P6773" s="867" t="s">
        <v>1744</v>
      </c>
    </row>
    <row r="6774" spans="1:16" ht="19.5" hidden="1" thickBot="1" x14ac:dyDescent="0.3">
      <c r="A6774" s="1018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2"/>
      <c r="P6774" s="867" t="s">
        <v>1746</v>
      </c>
    </row>
    <row r="6775" spans="1:16" ht="19.5" hidden="1" thickBot="1" x14ac:dyDescent="0.3">
      <c r="A6775" s="959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2"/>
      <c r="P6775" s="867" t="s">
        <v>1754</v>
      </c>
    </row>
    <row r="6776" spans="1:16" ht="19.5" hidden="1" thickBot="1" x14ac:dyDescent="0.3">
      <c r="A6776" s="972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2"/>
      <c r="P6776" s="867" t="s">
        <v>1755</v>
      </c>
    </row>
    <row r="6777" spans="1:16" ht="19.5" hidden="1" thickBot="1" x14ac:dyDescent="0.3">
      <c r="A6777" s="972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2"/>
      <c r="P6777" s="867" t="s">
        <v>1756</v>
      </c>
    </row>
    <row r="6778" spans="1:16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2"/>
      <c r="P6778" s="867" t="s">
        <v>1757</v>
      </c>
    </row>
    <row r="6779" spans="1:16" ht="19.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2"/>
      <c r="P6779" s="867" t="s">
        <v>1751</v>
      </c>
    </row>
    <row r="6780" spans="1:16" ht="19.5" hidden="1" thickBot="1" x14ac:dyDescent="0.3">
      <c r="A6780" s="1022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2"/>
      <c r="P6780" s="867" t="s">
        <v>1760</v>
      </c>
    </row>
    <row r="6781" spans="1:16" ht="19.5" hidden="1" thickBot="1" x14ac:dyDescent="0.3">
      <c r="A6781" s="1018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2"/>
      <c r="P6781" s="867" t="s">
        <v>1761</v>
      </c>
    </row>
    <row r="6782" spans="1:16" ht="19.5" hidden="1" thickBot="1" x14ac:dyDescent="0.3">
      <c r="A6782" s="959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2"/>
      <c r="P6782" s="867" t="s">
        <v>1762</v>
      </c>
    </row>
    <row r="6783" spans="1:16" ht="19.5" hidden="1" thickBot="1" x14ac:dyDescent="0.3">
      <c r="A6783" s="972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2"/>
      <c r="P6783" s="867" t="s">
        <v>1763</v>
      </c>
    </row>
    <row r="6784" spans="1:16" ht="19.5" hidden="1" thickBot="1" x14ac:dyDescent="0.3">
      <c r="A6784" s="972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2"/>
      <c r="P6784" s="867" t="s">
        <v>1764</v>
      </c>
    </row>
    <row r="6785" spans="1:16" ht="18.75" hidden="1" customHeight="1" x14ac:dyDescent="0.25">
      <c r="A6785" s="1022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967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2"/>
      <c r="P6785" s="867" t="s">
        <v>1767</v>
      </c>
    </row>
    <row r="6786" spans="1:16" ht="19.5" hidden="1" thickBot="1" x14ac:dyDescent="0.3">
      <c r="A6786" s="1018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968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2"/>
      <c r="P6786" s="867" t="s">
        <v>1768</v>
      </c>
    </row>
    <row r="6787" spans="1:16" ht="49.5" hidden="1" customHeight="1" x14ac:dyDescent="0.25">
      <c r="A6787" s="957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970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2"/>
      <c r="P6787" s="867" t="s">
        <v>1780</v>
      </c>
    </row>
    <row r="6788" spans="1:16" ht="49.5" hidden="1" customHeight="1" thickBot="1" x14ac:dyDescent="0.3">
      <c r="A6788" s="958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971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2"/>
      <c r="P6788" s="867" t="s">
        <v>1781</v>
      </c>
    </row>
    <row r="6789" spans="1:16" ht="19.5" hidden="1" thickBot="1" x14ac:dyDescent="0.3">
      <c r="A6789" s="954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2"/>
      <c r="P6789" s="867" t="s">
        <v>1765</v>
      </c>
    </row>
    <row r="6790" spans="1:16" ht="19.5" hidden="1" thickBot="1" x14ac:dyDescent="0.3">
      <c r="A6790" s="956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2"/>
      <c r="P6790" s="867" t="s">
        <v>1766</v>
      </c>
    </row>
    <row r="6791" spans="1:16" ht="19.5" hidden="1" thickBot="1" x14ac:dyDescent="0.3">
      <c r="A6791" s="957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2"/>
      <c r="P6791" s="867" t="s">
        <v>1772</v>
      </c>
    </row>
    <row r="6792" spans="1:16" ht="19.5" hidden="1" thickBot="1" x14ac:dyDescent="0.3">
      <c r="A6792" s="958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2"/>
      <c r="P6792" s="867" t="s">
        <v>1024</v>
      </c>
    </row>
    <row r="6793" spans="1:16" ht="19.5" hidden="1" thickBot="1" x14ac:dyDescent="0.3">
      <c r="A6793" s="958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2"/>
      <c r="P6793" s="867" t="s">
        <v>1773</v>
      </c>
    </row>
    <row r="6794" spans="1:16" ht="38.25" hidden="1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2"/>
      <c r="P6794" s="867" t="s">
        <v>1782</v>
      </c>
    </row>
    <row r="6795" spans="1:16" ht="19.5" hidden="1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2"/>
      <c r="P6795" s="867" t="s">
        <v>1771</v>
      </c>
    </row>
    <row r="6796" spans="1:16" ht="19.5" hidden="1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2"/>
      <c r="P6796" s="867" t="s">
        <v>1788</v>
      </c>
    </row>
    <row r="6797" spans="1:16" ht="19.5" hidden="1" thickBot="1" x14ac:dyDescent="0.3">
      <c r="A6797" s="959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60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2"/>
      <c r="P6797" s="867" t="s">
        <v>1776</v>
      </c>
    </row>
    <row r="6798" spans="1:16" ht="19.5" hidden="1" thickBot="1" x14ac:dyDescent="0.3">
      <c r="A6798" s="972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2"/>
      <c r="P6798" s="867" t="s">
        <v>1778</v>
      </c>
    </row>
    <row r="6799" spans="1:16" ht="19.5" hidden="1" thickBot="1" x14ac:dyDescent="0.3">
      <c r="A6799" s="972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2"/>
      <c r="P6799" s="867" t="s">
        <v>1779</v>
      </c>
    </row>
    <row r="6800" spans="1:16" ht="19.5" hidden="1" thickBot="1" x14ac:dyDescent="0.3">
      <c r="A6800" s="972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2"/>
      <c r="P6800" s="867" t="s">
        <v>1777</v>
      </c>
    </row>
    <row r="6801" spans="1:16" ht="19.5" hidden="1" thickBot="1" x14ac:dyDescent="0.3">
      <c r="A6801" s="954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2"/>
      <c r="P6801" s="867" t="s">
        <v>1790</v>
      </c>
    </row>
    <row r="6802" spans="1:16" ht="19.5" hidden="1" thickBot="1" x14ac:dyDescent="0.3">
      <c r="A6802" s="955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2"/>
      <c r="P6802" s="867" t="s">
        <v>1789</v>
      </c>
    </row>
    <row r="6803" spans="1:16" ht="19.5" hidden="1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>
        <v>16.587</v>
      </c>
      <c r="F6803" s="508" t="s">
        <v>16</v>
      </c>
      <c r="G6803" s="509"/>
      <c r="H6803" s="508" t="s">
        <v>1769</v>
      </c>
      <c r="I6803" s="510" t="s">
        <v>1769</v>
      </c>
      <c r="J6803" s="511"/>
      <c r="K6803" s="510" t="str">
        <f t="shared" si="205"/>
        <v>07,26</v>
      </c>
      <c r="L6803" s="508" t="s">
        <v>266</v>
      </c>
      <c r="M6803" s="508">
        <v>18126.759999999998</v>
      </c>
      <c r="N6803" s="512">
        <v>0.41666666666666669</v>
      </c>
      <c r="O6803" s="2"/>
      <c r="P6803" s="867" t="s">
        <v>1834</v>
      </c>
    </row>
    <row r="6804" spans="1:16" ht="19.5" hidden="1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20" t="str">
        <f t="shared" si="205"/>
        <v>07,26</v>
      </c>
      <c r="L6804" s="518" t="s">
        <v>266</v>
      </c>
      <c r="M6804" s="518">
        <v>18171.45</v>
      </c>
      <c r="N6804" s="522">
        <v>0.45833333333333331</v>
      </c>
      <c r="O6804" s="2"/>
      <c r="P6804" s="867" t="s">
        <v>1791</v>
      </c>
    </row>
    <row r="6805" spans="1:16" ht="19.5" hidden="1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>
        <v>2.9849999999999999</v>
      </c>
      <c r="F6805" s="508" t="s">
        <v>16</v>
      </c>
      <c r="G6805" s="509"/>
      <c r="H6805" s="508" t="s">
        <v>1769</v>
      </c>
      <c r="I6805" s="510" t="s">
        <v>1795</v>
      </c>
      <c r="J6805" s="511"/>
      <c r="K6805" s="510" t="str">
        <f t="shared" si="205"/>
        <v>08,26</v>
      </c>
      <c r="L6805" s="508" t="s">
        <v>266</v>
      </c>
      <c r="M6805" s="508">
        <v>17890.199999999997</v>
      </c>
      <c r="N6805" s="512">
        <v>0.5</v>
      </c>
      <c r="O6805" s="2"/>
      <c r="P6805" s="867" t="s">
        <v>1856</v>
      </c>
    </row>
    <row r="6806" spans="1:16" ht="19.5" hidden="1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>
        <v>15.542</v>
      </c>
      <c r="F6806" s="518" t="s">
        <v>16</v>
      </c>
      <c r="G6806" s="519"/>
      <c r="H6806" s="518" t="s">
        <v>1769</v>
      </c>
      <c r="I6806" s="520" t="s">
        <v>1774</v>
      </c>
      <c r="J6806" s="521"/>
      <c r="K6806" s="520" t="str">
        <f t="shared" si="205"/>
        <v>07,26</v>
      </c>
      <c r="L6806" s="518" t="s">
        <v>266</v>
      </c>
      <c r="M6806" s="518">
        <v>18182.159999999996</v>
      </c>
      <c r="N6806" s="522">
        <v>0.54166666666666663</v>
      </c>
      <c r="O6806" s="2"/>
      <c r="P6806" s="867" t="s">
        <v>1801</v>
      </c>
    </row>
    <row r="6807" spans="1:16" ht="19.5" hidden="1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>
        <v>16.603999999999999</v>
      </c>
      <c r="F6807" s="556" t="s">
        <v>16</v>
      </c>
      <c r="G6807" s="557"/>
      <c r="H6807" s="556" t="s">
        <v>1769</v>
      </c>
      <c r="I6807" s="558" t="s">
        <v>1774</v>
      </c>
      <c r="J6807" s="559"/>
      <c r="K6807" s="558" t="str">
        <f t="shared" si="205"/>
        <v>07,26</v>
      </c>
      <c r="L6807" s="556" t="s">
        <v>266</v>
      </c>
      <c r="M6807" s="556">
        <v>18167.34</v>
      </c>
      <c r="N6807" s="560">
        <v>0.58333333333333337</v>
      </c>
      <c r="O6807" s="2"/>
      <c r="P6807" s="867" t="s">
        <v>1802</v>
      </c>
    </row>
    <row r="6808" spans="1:16" ht="57" hidden="1" thickBot="1" x14ac:dyDescent="0.3">
      <c r="A6808" s="954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84" t="str">
        <f t="shared" si="205"/>
        <v>07,26</v>
      </c>
      <c r="L6808" s="483" t="s">
        <v>28</v>
      </c>
      <c r="M6808" s="483">
        <v>1104.48</v>
      </c>
      <c r="N6808" s="486">
        <v>0.625</v>
      </c>
      <c r="O6808" s="2"/>
      <c r="P6808" s="867" t="s">
        <v>1784</v>
      </c>
    </row>
    <row r="6809" spans="1:16" ht="19.5" hidden="1" thickBot="1" x14ac:dyDescent="0.3">
      <c r="A6809" s="955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68" t="str">
        <f t="shared" si="205"/>
        <v>07,26</v>
      </c>
      <c r="L6809" s="763" t="s">
        <v>28</v>
      </c>
      <c r="M6809" s="763">
        <v>8809.7200000000012</v>
      </c>
      <c r="N6809" s="770">
        <v>0.625</v>
      </c>
      <c r="O6809" s="2"/>
      <c r="P6809" s="867" t="s">
        <v>1785</v>
      </c>
    </row>
    <row r="6810" spans="1:16" ht="19.5" hidden="1" thickBot="1" x14ac:dyDescent="0.3">
      <c r="A6810" s="955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68" t="str">
        <f t="shared" si="205"/>
        <v>07,26</v>
      </c>
      <c r="L6810" s="763" t="s">
        <v>28</v>
      </c>
      <c r="M6810" s="763">
        <v>8130.0599999999995</v>
      </c>
      <c r="N6810" s="770">
        <v>0.625</v>
      </c>
      <c r="O6810" s="2"/>
      <c r="P6810" s="867" t="s">
        <v>1786</v>
      </c>
    </row>
    <row r="6811" spans="1:16" ht="19.5" hidden="1" thickBot="1" x14ac:dyDescent="0.3">
      <c r="A6811" s="956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6" t="str">
        <f t="shared" si="205"/>
        <v>07,26</v>
      </c>
      <c r="L6811" s="808" t="s">
        <v>28</v>
      </c>
      <c r="M6811" s="856">
        <v>5715</v>
      </c>
      <c r="N6811" s="778">
        <v>0.625</v>
      </c>
      <c r="O6811" s="2"/>
      <c r="P6811" s="867" t="s">
        <v>1787</v>
      </c>
    </row>
    <row r="6812" spans="1:16" ht="19.5" hidden="1" thickBot="1" x14ac:dyDescent="0.3">
      <c r="A6812" s="957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 t="s">
        <v>1774</v>
      </c>
      <c r="J6812" s="538"/>
      <c r="K6812" s="537" t="str">
        <f t="shared" si="205"/>
        <v>07,26</v>
      </c>
      <c r="L6812" s="535" t="s">
        <v>265</v>
      </c>
      <c r="M6812" s="535">
        <v>13866.84</v>
      </c>
      <c r="N6812" s="539">
        <v>0.375</v>
      </c>
      <c r="O6812" s="2"/>
      <c r="P6812" s="867" t="s">
        <v>1797</v>
      </c>
    </row>
    <row r="6813" spans="1:16" ht="19.5" hidden="1" thickBot="1" x14ac:dyDescent="0.3">
      <c r="A6813" s="958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 t="s">
        <v>1774</v>
      </c>
      <c r="J6813" s="570"/>
      <c r="K6813" s="569" t="str">
        <f t="shared" si="205"/>
        <v>07,26</v>
      </c>
      <c r="L6813" s="567" t="s">
        <v>265</v>
      </c>
      <c r="M6813" s="567">
        <v>2539.8399999999997</v>
      </c>
      <c r="N6813" s="571">
        <v>0.375</v>
      </c>
      <c r="O6813" s="2"/>
      <c r="P6813" s="867" t="s">
        <v>1798</v>
      </c>
    </row>
    <row r="6814" spans="1:16" ht="19.5" hidden="1" thickBot="1" x14ac:dyDescent="0.3">
      <c r="A6814" s="958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 t="s">
        <v>1774</v>
      </c>
      <c r="J6814" s="825"/>
      <c r="K6814" s="782" t="str">
        <f t="shared" si="205"/>
        <v>07,26</v>
      </c>
      <c r="L6814" s="819" t="s">
        <v>265</v>
      </c>
      <c r="M6814" s="819">
        <v>1265.2599999999995</v>
      </c>
      <c r="N6814" s="811">
        <v>0.375</v>
      </c>
      <c r="O6814" s="2"/>
      <c r="P6814" s="867" t="s">
        <v>1799</v>
      </c>
    </row>
    <row r="6815" spans="1:16" ht="19.5" hidden="1" thickBot="1" x14ac:dyDescent="0.3">
      <c r="A6815" s="961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 t="s">
        <v>1774</v>
      </c>
      <c r="J6815" s="790"/>
      <c r="K6815" s="788" t="str">
        <f t="shared" si="205"/>
        <v>07,26</v>
      </c>
      <c r="L6815" s="788" t="s">
        <v>265</v>
      </c>
      <c r="M6815" s="788">
        <v>1815</v>
      </c>
      <c r="N6815" s="784">
        <v>0.375</v>
      </c>
      <c r="O6815" s="2"/>
      <c r="P6815" s="867" t="s">
        <v>1800</v>
      </c>
    </row>
    <row r="6816" spans="1:16" ht="19.5" hidden="1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>
        <v>11.135999999999999</v>
      </c>
      <c r="F6816" s="518" t="s">
        <v>30</v>
      </c>
      <c r="G6816" s="519"/>
      <c r="H6816" s="518" t="s">
        <v>1774</v>
      </c>
      <c r="I6816" s="520" t="s">
        <v>1774</v>
      </c>
      <c r="J6816" s="521"/>
      <c r="K6816" s="518" t="str">
        <f t="shared" si="205"/>
        <v>07,26</v>
      </c>
      <c r="L6816" s="518" t="s">
        <v>28</v>
      </c>
      <c r="M6816" s="518">
        <v>11131.199999999999</v>
      </c>
      <c r="N6816" s="522">
        <v>0.41666666666666669</v>
      </c>
      <c r="O6816" s="2"/>
      <c r="P6816" s="867" t="s">
        <v>1804</v>
      </c>
    </row>
    <row r="6817" spans="1:16" ht="19.5" hidden="1" thickBot="1" x14ac:dyDescent="0.3">
      <c r="A6817" s="957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>
        <v>7.5910000000000002</v>
      </c>
      <c r="F6817" s="535" t="s">
        <v>16</v>
      </c>
      <c r="G6817" s="536"/>
      <c r="H6817" s="535" t="s">
        <v>1774</v>
      </c>
      <c r="I6817" s="537" t="s">
        <v>1795</v>
      </c>
      <c r="J6817" s="538"/>
      <c r="K6817" s="535" t="str">
        <f t="shared" si="205"/>
        <v>08,26</v>
      </c>
      <c r="L6817" s="535" t="s">
        <v>266</v>
      </c>
      <c r="M6817" s="535">
        <v>10512.859999999997</v>
      </c>
      <c r="N6817" s="539">
        <v>0.41666666666666669</v>
      </c>
      <c r="O6817" s="2"/>
      <c r="P6817" s="867" t="s">
        <v>1858</v>
      </c>
    </row>
    <row r="6818" spans="1:16" ht="19.5" hidden="1" thickBot="1" x14ac:dyDescent="0.3">
      <c r="A6818" s="958"/>
      <c r="B6818" s="849" t="s">
        <v>1759</v>
      </c>
      <c r="C6818" s="820" t="s">
        <v>32</v>
      </c>
      <c r="D6818" s="821">
        <v>1.7490000000000001</v>
      </c>
      <c r="E6818" s="822">
        <v>0.71299999999999997</v>
      </c>
      <c r="F6818" s="819" t="s">
        <v>16</v>
      </c>
      <c r="G6818" s="823" t="s">
        <v>1702</v>
      </c>
      <c r="H6818" s="819" t="s">
        <v>1774</v>
      </c>
      <c r="I6818" s="782" t="s">
        <v>1795</v>
      </c>
      <c r="J6818" s="825"/>
      <c r="K6818" s="819" t="str">
        <f t="shared" si="205"/>
        <v>08,26</v>
      </c>
      <c r="L6818" s="819" t="s">
        <v>266</v>
      </c>
      <c r="M6818" s="819">
        <v>1752.3000000000002</v>
      </c>
      <c r="N6818" s="811">
        <v>0.41666666666666669</v>
      </c>
      <c r="O6818" s="2"/>
      <c r="P6818" s="867" t="s">
        <v>1857</v>
      </c>
    </row>
    <row r="6819" spans="1:16" ht="19.5" hidden="1" thickBot="1" x14ac:dyDescent="0.3">
      <c r="A6819" s="958"/>
      <c r="B6819" s="848" t="s">
        <v>1774</v>
      </c>
      <c r="C6819" s="799" t="s">
        <v>41</v>
      </c>
      <c r="D6819" s="800">
        <v>1.98</v>
      </c>
      <c r="E6819" s="800">
        <v>1.9770000000000001</v>
      </c>
      <c r="F6819" s="801" t="s">
        <v>16</v>
      </c>
      <c r="G6819" s="802" t="s">
        <v>76</v>
      </c>
      <c r="H6819" s="816" t="s">
        <v>1783</v>
      </c>
      <c r="I6819" s="801" t="s">
        <v>1795</v>
      </c>
      <c r="J6819" s="803"/>
      <c r="K6819" s="816" t="str">
        <f t="shared" si="205"/>
        <v>08,26</v>
      </c>
      <c r="L6819" s="816" t="s">
        <v>266</v>
      </c>
      <c r="M6819" s="801">
        <v>1981.2</v>
      </c>
      <c r="N6819" s="811">
        <v>0.41666666666666669</v>
      </c>
      <c r="O6819" s="2"/>
      <c r="P6819" s="867" t="s">
        <v>1859</v>
      </c>
    </row>
    <row r="6820" spans="1:16" ht="19.5" hidden="1" thickBot="1" x14ac:dyDescent="0.3">
      <c r="A6820" s="958"/>
      <c r="B6820" s="848" t="s">
        <v>1774</v>
      </c>
      <c r="C6820" s="799" t="s">
        <v>32</v>
      </c>
      <c r="D6820" s="800">
        <v>6.32</v>
      </c>
      <c r="E6820" s="800">
        <v>6.3220000000000001</v>
      </c>
      <c r="F6820" s="801" t="s">
        <v>16</v>
      </c>
      <c r="G6820" s="802" t="s">
        <v>1792</v>
      </c>
      <c r="H6820" s="816" t="s">
        <v>1783</v>
      </c>
      <c r="I6820" s="801" t="s">
        <v>1783</v>
      </c>
      <c r="J6820" s="803"/>
      <c r="K6820" s="816" t="str">
        <f t="shared" si="205"/>
        <v>08,26</v>
      </c>
      <c r="L6820" s="816" t="s">
        <v>266</v>
      </c>
      <c r="M6820" s="801">
        <v>6325.8</v>
      </c>
      <c r="N6820" s="811">
        <v>0.41666666666666669</v>
      </c>
      <c r="O6820" s="2"/>
      <c r="P6820" s="867" t="s">
        <v>1809</v>
      </c>
    </row>
    <row r="6821" spans="1:16" ht="19.5" hidden="1" thickBot="1" x14ac:dyDescent="0.3">
      <c r="A6821" s="961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73" t="str">
        <f t="shared" si="205"/>
        <v>тмена</v>
      </c>
      <c r="L6821" s="873" t="s">
        <v>266</v>
      </c>
      <c r="M6821" s="873">
        <v>5701.8</v>
      </c>
      <c r="N6821" s="784">
        <v>0.41666666666666669</v>
      </c>
      <c r="O6821" s="2"/>
      <c r="P6821" s="867" t="s">
        <v>1024</v>
      </c>
    </row>
    <row r="6822" spans="1:16" ht="19.5" hidden="1" thickBot="1" x14ac:dyDescent="0.3">
      <c r="A6822" s="954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>
        <v>3.1019999999999999</v>
      </c>
      <c r="F6822" s="483" t="s">
        <v>16</v>
      </c>
      <c r="G6822" s="549" t="s">
        <v>1775</v>
      </c>
      <c r="H6822" s="483" t="s">
        <v>1770</v>
      </c>
      <c r="I6822" s="484" t="s">
        <v>1770</v>
      </c>
      <c r="J6822" s="485"/>
      <c r="K6822" s="483" t="str">
        <f t="shared" si="205"/>
        <v>08,26</v>
      </c>
      <c r="L6822" s="483" t="s">
        <v>28</v>
      </c>
      <c r="M6822" s="483">
        <v>5401.7999999999993</v>
      </c>
      <c r="N6822" s="486">
        <v>0.5</v>
      </c>
      <c r="O6822" s="2"/>
      <c r="P6822" s="867" t="s">
        <v>1811</v>
      </c>
    </row>
    <row r="6823" spans="1:16" ht="19.5" hidden="1" thickBot="1" x14ac:dyDescent="0.3">
      <c r="A6823" s="955"/>
      <c r="B6823" s="791" t="s">
        <v>1759</v>
      </c>
      <c r="C6823" s="764" t="s">
        <v>15</v>
      </c>
      <c r="D6823" s="765">
        <v>2.6219999999999999</v>
      </c>
      <c r="E6823" s="766">
        <v>2.1760000000000002</v>
      </c>
      <c r="F6823" s="763" t="s">
        <v>16</v>
      </c>
      <c r="G6823" s="767"/>
      <c r="H6823" s="763" t="s">
        <v>1770</v>
      </c>
      <c r="I6823" s="768" t="s">
        <v>1770</v>
      </c>
      <c r="J6823" s="779"/>
      <c r="K6823" s="763" t="str">
        <f t="shared" si="205"/>
        <v>08,26</v>
      </c>
      <c r="L6823" s="763" t="s">
        <v>28</v>
      </c>
      <c r="M6823" s="763">
        <v>2720.36</v>
      </c>
      <c r="N6823" s="770">
        <v>0.5</v>
      </c>
      <c r="O6823" s="2"/>
      <c r="P6823" s="867" t="s">
        <v>1812</v>
      </c>
    </row>
    <row r="6824" spans="1:16" ht="19.5" hidden="1" thickBot="1" x14ac:dyDescent="0.3">
      <c r="A6824" s="955"/>
      <c r="B6824" s="791" t="s">
        <v>1723</v>
      </c>
      <c r="C6824" s="764" t="s">
        <v>24</v>
      </c>
      <c r="D6824" s="765">
        <v>5.4240000000000004</v>
      </c>
      <c r="E6824" s="766">
        <v>3.8239999999999998</v>
      </c>
      <c r="F6824" s="763" t="s">
        <v>16</v>
      </c>
      <c r="G6824" s="767" t="s">
        <v>1775</v>
      </c>
      <c r="H6824" s="763" t="s">
        <v>1770</v>
      </c>
      <c r="I6824" s="768" t="s">
        <v>1770</v>
      </c>
      <c r="J6824" s="779"/>
      <c r="K6824" s="763" t="str">
        <f t="shared" si="205"/>
        <v>08,26</v>
      </c>
      <c r="L6824" s="763" t="s">
        <v>28</v>
      </c>
      <c r="M6824" s="763">
        <v>5454.6</v>
      </c>
      <c r="N6824" s="770">
        <v>0.54166666666666663</v>
      </c>
      <c r="O6824" s="2"/>
      <c r="P6824" s="867" t="s">
        <v>1813</v>
      </c>
    </row>
    <row r="6825" spans="1:16" ht="19.5" hidden="1" thickBot="1" x14ac:dyDescent="0.3">
      <c r="A6825" s="955"/>
      <c r="B6825" s="878" t="s">
        <v>1759</v>
      </c>
      <c r="C6825" s="879" t="s">
        <v>24</v>
      </c>
      <c r="D6825" s="880">
        <v>4.1840000000000002</v>
      </c>
      <c r="E6825" s="881">
        <v>2.7839999999999998</v>
      </c>
      <c r="F6825" s="882" t="s">
        <v>16</v>
      </c>
      <c r="G6825" s="883"/>
      <c r="H6825" s="882" t="s">
        <v>1770</v>
      </c>
      <c r="I6825" s="884" t="s">
        <v>1770</v>
      </c>
      <c r="J6825" s="885"/>
      <c r="K6825" s="882" t="str">
        <f t="shared" si="205"/>
        <v>08,26</v>
      </c>
      <c r="L6825" s="882" t="s">
        <v>28</v>
      </c>
      <c r="M6825" s="882">
        <v>4295.45</v>
      </c>
      <c r="N6825" s="846">
        <v>0.54166666666666663</v>
      </c>
      <c r="O6825" s="2"/>
      <c r="P6825" s="867" t="s">
        <v>1814</v>
      </c>
    </row>
    <row r="6826" spans="1:16" ht="19.5" hidden="1" thickBot="1" x14ac:dyDescent="0.3">
      <c r="A6826" s="955"/>
      <c r="B6826" s="886" t="s">
        <v>1774</v>
      </c>
      <c r="C6826" s="842" t="s">
        <v>15</v>
      </c>
      <c r="D6826" s="843">
        <v>1.357</v>
      </c>
      <c r="E6826" s="843">
        <v>1.3819999999999999</v>
      </c>
      <c r="F6826" s="844" t="s">
        <v>16</v>
      </c>
      <c r="G6826" s="851" t="s">
        <v>76</v>
      </c>
      <c r="H6826" s="844" t="s">
        <v>1770</v>
      </c>
      <c r="I6826" s="844" t="s">
        <v>1770</v>
      </c>
      <c r="J6826" s="845"/>
      <c r="K6826" s="844" t="str">
        <f t="shared" si="205"/>
        <v>08,26</v>
      </c>
      <c r="L6826" s="844" t="s">
        <v>28</v>
      </c>
      <c r="M6826" s="844">
        <v>1377.6</v>
      </c>
      <c r="N6826" s="846">
        <v>0.54166666666666663</v>
      </c>
      <c r="O6826" s="2"/>
      <c r="P6826" s="867" t="s">
        <v>1817</v>
      </c>
    </row>
    <row r="6827" spans="1:16" ht="19.5" hidden="1" thickBot="1" x14ac:dyDescent="0.3">
      <c r="A6827" s="955"/>
      <c r="B6827" s="886" t="s">
        <v>1770</v>
      </c>
      <c r="C6827" s="842" t="s">
        <v>15</v>
      </c>
      <c r="D6827" s="843">
        <v>2</v>
      </c>
      <c r="E6827" s="843">
        <v>2</v>
      </c>
      <c r="F6827" s="844" t="s">
        <v>16</v>
      </c>
      <c r="G6827" s="851" t="s">
        <v>76</v>
      </c>
      <c r="H6827" s="844" t="s">
        <v>1770</v>
      </c>
      <c r="I6827" s="844" t="s">
        <v>1770</v>
      </c>
      <c r="J6827" s="845"/>
      <c r="K6827" s="844" t="str">
        <f t="shared" si="205"/>
        <v>08,26</v>
      </c>
      <c r="L6827" s="844" t="s">
        <v>28</v>
      </c>
      <c r="M6827" s="844">
        <v>2010</v>
      </c>
      <c r="N6827" s="846">
        <v>0.54166666666666663</v>
      </c>
      <c r="O6827" s="2"/>
      <c r="P6827" s="867" t="s">
        <v>1816</v>
      </c>
    </row>
    <row r="6828" spans="1:16" ht="19.5" hidden="1" thickBot="1" x14ac:dyDescent="0.3">
      <c r="A6828" s="956"/>
      <c r="B6828" s="886" t="s">
        <v>1774</v>
      </c>
      <c r="C6828" s="842" t="s">
        <v>24</v>
      </c>
      <c r="D6828" s="843">
        <v>2.1360000000000001</v>
      </c>
      <c r="E6828" s="843">
        <v>2.173</v>
      </c>
      <c r="F6828" s="844" t="s">
        <v>16</v>
      </c>
      <c r="G6828" s="851" t="s">
        <v>76</v>
      </c>
      <c r="H6828" s="844" t="s">
        <v>1770</v>
      </c>
      <c r="I6828" s="844" t="s">
        <v>1770</v>
      </c>
      <c r="J6828" s="845"/>
      <c r="K6828" s="844" t="str">
        <f t="shared" si="205"/>
        <v>08,26</v>
      </c>
      <c r="L6828" s="844" t="s">
        <v>28</v>
      </c>
      <c r="M6828" s="844">
        <v>2160</v>
      </c>
      <c r="N6828" s="846">
        <v>0.54166666666666663</v>
      </c>
      <c r="O6828" s="2"/>
      <c r="P6828" s="867" t="s">
        <v>1815</v>
      </c>
    </row>
    <row r="6829" spans="1:16" ht="38.25" hidden="1" thickBot="1" x14ac:dyDescent="0.3">
      <c r="A6829" s="959">
        <f>MAX(A6789:A6828)+1</f>
        <v>4267</v>
      </c>
      <c r="B6829" s="759" t="s">
        <v>1723</v>
      </c>
      <c r="C6829" s="532" t="s">
        <v>47</v>
      </c>
      <c r="D6829" s="533">
        <v>15.48</v>
      </c>
      <c r="E6829" s="534">
        <v>8.3140000000000001</v>
      </c>
      <c r="F6829" s="535" t="s">
        <v>16</v>
      </c>
      <c r="G6829" s="536" t="s">
        <v>1793</v>
      </c>
      <c r="H6829" s="535" t="s">
        <v>1770</v>
      </c>
      <c r="I6829" s="537" t="s">
        <v>1783</v>
      </c>
      <c r="J6829" s="538"/>
      <c r="K6829" s="535" t="str">
        <f t="shared" si="205"/>
        <v>08,26</v>
      </c>
      <c r="L6829" s="535" t="s">
        <v>28</v>
      </c>
      <c r="M6829" s="535">
        <v>15500.699999999999</v>
      </c>
      <c r="N6829" s="539">
        <v>0.58333333333333337</v>
      </c>
      <c r="O6829" s="2"/>
      <c r="P6829" s="867" t="s">
        <v>1827</v>
      </c>
    </row>
    <row r="6830" spans="1:16" ht="19.5" hidden="1" thickBot="1" x14ac:dyDescent="0.3">
      <c r="A6830" s="972"/>
      <c r="B6830" s="824" t="s">
        <v>1723</v>
      </c>
      <c r="C6830" s="820" t="s">
        <v>23</v>
      </c>
      <c r="D6830" s="821">
        <v>12.407999999999999</v>
      </c>
      <c r="E6830" s="822">
        <v>4.819</v>
      </c>
      <c r="F6830" s="819" t="s">
        <v>16</v>
      </c>
      <c r="G6830" s="823" t="s">
        <v>1775</v>
      </c>
      <c r="H6830" s="819" t="s">
        <v>1770</v>
      </c>
      <c r="I6830" s="782" t="s">
        <v>1783</v>
      </c>
      <c r="J6830" s="825"/>
      <c r="K6830" s="819" t="str">
        <f t="shared" si="205"/>
        <v>08,26</v>
      </c>
      <c r="L6830" s="819" t="s">
        <v>28</v>
      </c>
      <c r="M6830" s="819">
        <v>12426.6</v>
      </c>
      <c r="N6830" s="811">
        <v>0.45833333333333331</v>
      </c>
      <c r="O6830" s="2"/>
      <c r="P6830" s="867" t="s">
        <v>1828</v>
      </c>
    </row>
    <row r="6831" spans="1:16" ht="38.25" hidden="1" thickBot="1" x14ac:dyDescent="0.3">
      <c r="A6831" s="972"/>
      <c r="B6831" s="888" t="s">
        <v>1759</v>
      </c>
      <c r="C6831" s="889" t="s">
        <v>47</v>
      </c>
      <c r="D6831" s="890">
        <v>2.2669999999999999</v>
      </c>
      <c r="E6831" s="891">
        <v>1.7769999999999999</v>
      </c>
      <c r="F6831" s="892" t="s">
        <v>16</v>
      </c>
      <c r="G6831" s="802" t="s">
        <v>1794</v>
      </c>
      <c r="H6831" s="892" t="s">
        <v>1770</v>
      </c>
      <c r="I6831" s="893" t="s">
        <v>1783</v>
      </c>
      <c r="J6831" s="894"/>
      <c r="K6831" s="892" t="str">
        <f t="shared" si="205"/>
        <v>08,26</v>
      </c>
      <c r="L6831" s="892" t="s">
        <v>28</v>
      </c>
      <c r="M6831" s="892">
        <v>2371.2200000000003</v>
      </c>
      <c r="N6831" s="804">
        <v>0.58333333333333337</v>
      </c>
      <c r="O6831" s="2"/>
      <c r="P6831" s="867" t="s">
        <v>1825</v>
      </c>
    </row>
    <row r="6832" spans="1:16" ht="19.5" hidden="1" thickBot="1" x14ac:dyDescent="0.3">
      <c r="A6832" s="960"/>
      <c r="B6832" s="785" t="s">
        <v>1770</v>
      </c>
      <c r="C6832" s="786" t="s">
        <v>47</v>
      </c>
      <c r="D6832" s="787">
        <v>2.5</v>
      </c>
      <c r="E6832" s="787">
        <v>2.5299999999999998</v>
      </c>
      <c r="F6832" s="788" t="s">
        <v>16</v>
      </c>
      <c r="G6832" s="789" t="s">
        <v>76</v>
      </c>
      <c r="H6832" s="788" t="s">
        <v>1770</v>
      </c>
      <c r="I6832" s="788" t="s">
        <v>1783</v>
      </c>
      <c r="J6832" s="790"/>
      <c r="K6832" s="788" t="str">
        <f t="shared" si="205"/>
        <v>08,26</v>
      </c>
      <c r="L6832" s="788" t="s">
        <v>28</v>
      </c>
      <c r="M6832" s="788">
        <v>2520</v>
      </c>
      <c r="N6832" s="784">
        <v>0.58333333333333337</v>
      </c>
      <c r="O6832" s="2"/>
      <c r="P6832" s="867" t="s">
        <v>1826</v>
      </c>
    </row>
    <row r="6833" spans="1:16" ht="19.5" hidden="1" thickBot="1" x14ac:dyDescent="0.3">
      <c r="A6833" s="954">
        <f>MAX(A6790:A6832)+1</f>
        <v>4268</v>
      </c>
      <c r="B6833" s="479" t="s">
        <v>1759</v>
      </c>
      <c r="C6833" s="480" t="s">
        <v>26</v>
      </c>
      <c r="D6833" s="481">
        <v>17.286999999999999</v>
      </c>
      <c r="E6833" s="482">
        <v>15.56</v>
      </c>
      <c r="F6833" s="483" t="s">
        <v>16</v>
      </c>
      <c r="G6833" s="549"/>
      <c r="H6833" s="483" t="s">
        <v>1770</v>
      </c>
      <c r="I6833" s="484" t="s">
        <v>1770</v>
      </c>
      <c r="J6833" s="485"/>
      <c r="K6833" s="483" t="str">
        <f t="shared" si="205"/>
        <v>08,26</v>
      </c>
      <c r="L6833" s="483" t="s">
        <v>265</v>
      </c>
      <c r="M6833" s="483">
        <v>17441.560000000001</v>
      </c>
      <c r="N6833" s="486">
        <v>0.375</v>
      </c>
      <c r="O6833" s="2"/>
      <c r="P6833" s="867" t="s">
        <v>1822</v>
      </c>
    </row>
    <row r="6834" spans="1:16" ht="19.5" hidden="1" thickBot="1" x14ac:dyDescent="0.3">
      <c r="A6834" s="955"/>
      <c r="B6834" s="886" t="s">
        <v>1774</v>
      </c>
      <c r="C6834" s="842" t="s">
        <v>26</v>
      </c>
      <c r="D6834" s="843">
        <v>1.47</v>
      </c>
      <c r="E6834" s="843">
        <v>1.4730000000000001</v>
      </c>
      <c r="F6834" s="844" t="s">
        <v>16</v>
      </c>
      <c r="G6834" s="851"/>
      <c r="H6834" s="844" t="s">
        <v>1770</v>
      </c>
      <c r="I6834" s="844" t="s">
        <v>1770</v>
      </c>
      <c r="J6834" s="845"/>
      <c r="K6834" s="844" t="str">
        <f t="shared" si="205"/>
        <v>08,26</v>
      </c>
      <c r="L6834" s="844" t="s">
        <v>265</v>
      </c>
      <c r="M6834" s="844">
        <v>1470</v>
      </c>
      <c r="N6834" s="846">
        <v>0.375</v>
      </c>
      <c r="O6834" s="2"/>
      <c r="P6834" s="867" t="s">
        <v>1823</v>
      </c>
    </row>
    <row r="6835" spans="1:16" ht="19.5" hidden="1" thickBot="1" x14ac:dyDescent="0.3">
      <c r="A6835" s="956"/>
      <c r="B6835" s="886" t="s">
        <v>1774</v>
      </c>
      <c r="C6835" s="842" t="s">
        <v>26</v>
      </c>
      <c r="D6835" s="843">
        <v>0.5</v>
      </c>
      <c r="E6835" s="843">
        <v>0.51400000000000001</v>
      </c>
      <c r="F6835" s="844" t="s">
        <v>16</v>
      </c>
      <c r="G6835" s="851" t="s">
        <v>76</v>
      </c>
      <c r="H6835" s="844" t="s">
        <v>1770</v>
      </c>
      <c r="I6835" s="844" t="s">
        <v>1770</v>
      </c>
      <c r="J6835" s="845"/>
      <c r="K6835" s="844" t="str">
        <f t="shared" si="205"/>
        <v>08,26</v>
      </c>
      <c r="L6835" s="844" t="s">
        <v>265</v>
      </c>
      <c r="M6835" s="844">
        <v>510</v>
      </c>
      <c r="N6835" s="846">
        <v>0.375</v>
      </c>
      <c r="O6835" s="2"/>
      <c r="P6835" s="867" t="s">
        <v>1824</v>
      </c>
    </row>
    <row r="6836" spans="1:16" ht="19.5" hidden="1" thickBot="1" x14ac:dyDescent="0.3">
      <c r="A6836" s="959">
        <f>MAX(A6791:A6835)+1</f>
        <v>4269</v>
      </c>
      <c r="B6836" s="759" t="s">
        <v>1759</v>
      </c>
      <c r="C6836" s="532" t="s">
        <v>23</v>
      </c>
      <c r="D6836" s="533">
        <v>17.472000000000001</v>
      </c>
      <c r="E6836" s="534">
        <v>15.394</v>
      </c>
      <c r="F6836" s="535" t="s">
        <v>16</v>
      </c>
      <c r="G6836" s="536"/>
      <c r="H6836" s="535" t="s">
        <v>1770</v>
      </c>
      <c r="I6836" s="537" t="s">
        <v>1783</v>
      </c>
      <c r="J6836" s="538"/>
      <c r="K6836" s="535" t="str">
        <f t="shared" si="205"/>
        <v>08,26</v>
      </c>
      <c r="L6836" s="535" t="s">
        <v>28</v>
      </c>
      <c r="M6836" s="535">
        <v>17649.77</v>
      </c>
      <c r="N6836" s="539">
        <v>0.625</v>
      </c>
      <c r="O6836" s="2"/>
      <c r="P6836" s="867" t="s">
        <v>1819</v>
      </c>
    </row>
    <row r="6837" spans="1:16" ht="19.5" hidden="1" thickBot="1" x14ac:dyDescent="0.3">
      <c r="A6837" s="972"/>
      <c r="B6837" s="824" t="s">
        <v>1723</v>
      </c>
      <c r="C6837" s="820" t="s">
        <v>1382</v>
      </c>
      <c r="D6837" s="821">
        <v>1.4139999999999999</v>
      </c>
      <c r="E6837" s="822">
        <v>1.3180000000000001</v>
      </c>
      <c r="F6837" s="819" t="s">
        <v>16</v>
      </c>
      <c r="G6837" s="823"/>
      <c r="H6837" s="819" t="s">
        <v>1770</v>
      </c>
      <c r="I6837" s="782" t="s">
        <v>1783</v>
      </c>
      <c r="J6837" s="825"/>
      <c r="K6837" s="819" t="str">
        <f t="shared" si="205"/>
        <v>08,26</v>
      </c>
      <c r="L6837" s="819" t="s">
        <v>28</v>
      </c>
      <c r="M6837" s="819">
        <v>1472.01</v>
      </c>
      <c r="N6837" s="811">
        <v>0.45833333333333331</v>
      </c>
      <c r="O6837" s="2"/>
      <c r="P6837" s="867" t="s">
        <v>1818</v>
      </c>
    </row>
    <row r="6838" spans="1:16" ht="19.5" hidden="1" thickBot="1" x14ac:dyDescent="0.3">
      <c r="A6838" s="960"/>
      <c r="B6838" s="785" t="s">
        <v>1770</v>
      </c>
      <c r="C6838" s="786" t="s">
        <v>23</v>
      </c>
      <c r="D6838" s="787">
        <v>1.8</v>
      </c>
      <c r="E6838" s="787">
        <v>0.93100000000000005</v>
      </c>
      <c r="F6838" s="788" t="s">
        <v>16</v>
      </c>
      <c r="G6838" s="789"/>
      <c r="H6838" s="788" t="s">
        <v>1770</v>
      </c>
      <c r="I6838" s="788" t="s">
        <v>1783</v>
      </c>
      <c r="J6838" s="790"/>
      <c r="K6838" s="788" t="str">
        <f t="shared" si="205"/>
        <v>08,26</v>
      </c>
      <c r="L6838" s="788" t="s">
        <v>28</v>
      </c>
      <c r="M6838" s="788">
        <v>1830</v>
      </c>
      <c r="N6838" s="784">
        <v>0.625</v>
      </c>
      <c r="O6838" s="2"/>
      <c r="P6838" s="867" t="s">
        <v>1833</v>
      </c>
    </row>
    <row r="6839" spans="1:16" ht="19.5" hidden="1" thickBot="1" x14ac:dyDescent="0.3">
      <c r="A6839" s="513">
        <f>MAX(A6792:A6836)+1</f>
        <v>4270</v>
      </c>
      <c r="B6839" s="495" t="s">
        <v>1769</v>
      </c>
      <c r="C6839" s="496" t="s">
        <v>26</v>
      </c>
      <c r="D6839" s="497">
        <v>15.28</v>
      </c>
      <c r="E6839" s="498">
        <v>15.58</v>
      </c>
      <c r="F6839" s="499" t="s">
        <v>30</v>
      </c>
      <c r="G6839" s="562"/>
      <c r="H6839" s="499" t="s">
        <v>1770</v>
      </c>
      <c r="I6839" s="500" t="s">
        <v>1770</v>
      </c>
      <c r="J6839" s="501"/>
      <c r="K6839" s="499" t="str">
        <f t="shared" si="205"/>
        <v>08,26</v>
      </c>
      <c r="L6839" s="499" t="s">
        <v>265</v>
      </c>
      <c r="M6839" s="499">
        <v>15280.68</v>
      </c>
      <c r="N6839" s="502">
        <v>0.375</v>
      </c>
      <c r="O6839" s="2"/>
      <c r="P6839" s="867" t="s">
        <v>1810</v>
      </c>
    </row>
    <row r="6840" spans="1:16" ht="19.5" hidden="1" thickBot="1" x14ac:dyDescent="0.3">
      <c r="A6840" s="959">
        <f>MAX(A6793:A6839)+1</f>
        <v>4271</v>
      </c>
      <c r="B6840" s="759" t="s">
        <v>1769</v>
      </c>
      <c r="C6840" s="532" t="s">
        <v>26</v>
      </c>
      <c r="D6840" s="533">
        <v>15.718</v>
      </c>
      <c r="E6840" s="534">
        <v>9.9719999999999995</v>
      </c>
      <c r="F6840" s="535" t="s">
        <v>16</v>
      </c>
      <c r="G6840" s="536"/>
      <c r="H6840" s="535" t="s">
        <v>1783</v>
      </c>
      <c r="I6840" s="537" t="s">
        <v>1783</v>
      </c>
      <c r="J6840" s="538"/>
      <c r="K6840" s="535" t="str">
        <f t="shared" si="205"/>
        <v>08,26</v>
      </c>
      <c r="L6840" s="535" t="s">
        <v>265</v>
      </c>
      <c r="M6840" s="535">
        <v>15820.990000000002</v>
      </c>
      <c r="N6840" s="539">
        <v>0.375</v>
      </c>
      <c r="O6840" s="2"/>
      <c r="P6840" s="867" t="s">
        <v>1832</v>
      </c>
    </row>
    <row r="6841" spans="1:16" ht="19.5" hidden="1" thickBot="1" x14ac:dyDescent="0.3">
      <c r="A6841" s="972"/>
      <c r="B6841" s="824" t="s">
        <v>1769</v>
      </c>
      <c r="C6841" s="820" t="s">
        <v>952</v>
      </c>
      <c r="D6841" s="821">
        <v>1.66</v>
      </c>
      <c r="E6841" s="822">
        <v>1.5620000000000001</v>
      </c>
      <c r="F6841" s="819" t="s">
        <v>16</v>
      </c>
      <c r="G6841" s="823"/>
      <c r="H6841" s="819" t="s">
        <v>1783</v>
      </c>
      <c r="I6841" s="782" t="s">
        <v>1783</v>
      </c>
      <c r="J6841" s="825"/>
      <c r="K6841" s="819" t="str">
        <f t="shared" si="205"/>
        <v>08,26</v>
      </c>
      <c r="L6841" s="819" t="s">
        <v>265</v>
      </c>
      <c r="M6841" s="819">
        <v>1743.48</v>
      </c>
      <c r="N6841" s="811">
        <v>0.375</v>
      </c>
      <c r="O6841" s="2"/>
      <c r="P6841" s="867" t="s">
        <v>1831</v>
      </c>
    </row>
    <row r="6842" spans="1:16" ht="19.5" hidden="1" thickBot="1" x14ac:dyDescent="0.3">
      <c r="A6842" s="972"/>
      <c r="B6842" s="798" t="s">
        <v>1770</v>
      </c>
      <c r="C6842" s="799" t="s">
        <v>26</v>
      </c>
      <c r="D6842" s="800">
        <v>1.1000000000000001</v>
      </c>
      <c r="E6842" s="800">
        <v>1.1180000000000001</v>
      </c>
      <c r="F6842" s="801" t="s">
        <v>16</v>
      </c>
      <c r="G6842" s="802"/>
      <c r="H6842" s="801" t="s">
        <v>1783</v>
      </c>
      <c r="I6842" s="801" t="s">
        <v>1783</v>
      </c>
      <c r="J6842" s="803"/>
      <c r="K6842" s="801" t="str">
        <f t="shared" si="205"/>
        <v>08,26</v>
      </c>
      <c r="L6842" s="801" t="s">
        <v>265</v>
      </c>
      <c r="M6842" s="801">
        <v>1110</v>
      </c>
      <c r="N6842" s="804">
        <v>0.375</v>
      </c>
      <c r="O6842" s="2"/>
      <c r="P6842" s="867" t="s">
        <v>1829</v>
      </c>
    </row>
    <row r="6843" spans="1:16" ht="19.5" hidden="1" thickBot="1" x14ac:dyDescent="0.3">
      <c r="A6843" s="972"/>
      <c r="B6843" s="785" t="s">
        <v>1770</v>
      </c>
      <c r="C6843" s="786" t="s">
        <v>26</v>
      </c>
      <c r="D6843" s="787">
        <v>4.9000000000000004</v>
      </c>
      <c r="E6843" s="787">
        <v>4.9249999999999998</v>
      </c>
      <c r="F6843" s="788" t="s">
        <v>16</v>
      </c>
      <c r="G6843" s="789"/>
      <c r="H6843" s="788" t="s">
        <v>1783</v>
      </c>
      <c r="I6843" s="788" t="s">
        <v>1783</v>
      </c>
      <c r="J6843" s="790"/>
      <c r="K6843" s="788" t="str">
        <f t="shared" si="205"/>
        <v>08,26</v>
      </c>
      <c r="L6843" s="788" t="s">
        <v>265</v>
      </c>
      <c r="M6843" s="788">
        <v>4905</v>
      </c>
      <c r="N6843" s="784">
        <v>0.375</v>
      </c>
      <c r="O6843" s="2"/>
      <c r="P6843" s="867" t="s">
        <v>1830</v>
      </c>
    </row>
    <row r="6844" spans="1:16" ht="19.5" hidden="1" thickBot="1" x14ac:dyDescent="0.3">
      <c r="A6844" s="954">
        <f>MAX(A6795:A6843)+1</f>
        <v>4272</v>
      </c>
      <c r="B6844" s="523" t="s">
        <v>1769</v>
      </c>
      <c r="C6844" s="524" t="s">
        <v>587</v>
      </c>
      <c r="D6844" s="525">
        <v>9.4969999999999999</v>
      </c>
      <c r="E6844" s="526">
        <v>7.5720000000000001</v>
      </c>
      <c r="F6844" s="527" t="s">
        <v>16</v>
      </c>
      <c r="G6844" s="561" t="s">
        <v>47</v>
      </c>
      <c r="H6844" s="527" t="s">
        <v>1783</v>
      </c>
      <c r="I6844" s="528" t="s">
        <v>1783</v>
      </c>
      <c r="J6844" s="529"/>
      <c r="K6844" s="527" t="str">
        <f t="shared" si="205"/>
        <v>08,26</v>
      </c>
      <c r="L6844" s="527" t="s">
        <v>28</v>
      </c>
      <c r="M6844" s="527">
        <v>9497.5999999999985</v>
      </c>
      <c r="N6844" s="530">
        <v>0.41666666666666669</v>
      </c>
      <c r="O6844" s="2"/>
      <c r="P6844" s="867" t="s">
        <v>1805</v>
      </c>
    </row>
    <row r="6845" spans="1:16" ht="19.5" hidden="1" thickBot="1" x14ac:dyDescent="0.3">
      <c r="A6845" s="955"/>
      <c r="B6845" s="791" t="s">
        <v>1769</v>
      </c>
      <c r="C6845" s="764" t="s">
        <v>47</v>
      </c>
      <c r="D6845" s="765">
        <v>8.5619999999999994</v>
      </c>
      <c r="E6845" s="766">
        <v>8.3770000000000007</v>
      </c>
      <c r="F6845" s="763" t="s">
        <v>16</v>
      </c>
      <c r="G6845" s="767"/>
      <c r="H6845" s="763" t="s">
        <v>1783</v>
      </c>
      <c r="I6845" s="768" t="s">
        <v>1783</v>
      </c>
      <c r="J6845" s="779"/>
      <c r="K6845" s="763" t="str">
        <f t="shared" si="205"/>
        <v>08,26</v>
      </c>
      <c r="L6845" s="763" t="s">
        <v>28</v>
      </c>
      <c r="M6845" s="763">
        <v>8634.7800000000007</v>
      </c>
      <c r="N6845" s="770">
        <v>0.41666666666666669</v>
      </c>
      <c r="O6845" s="2"/>
      <c r="P6845" s="867" t="s">
        <v>1803</v>
      </c>
    </row>
    <row r="6846" spans="1:16" ht="19.5" hidden="1" thickBot="1" x14ac:dyDescent="0.3">
      <c r="A6846" s="956"/>
      <c r="B6846" s="886" t="s">
        <v>1770</v>
      </c>
      <c r="C6846" s="842" t="s">
        <v>47</v>
      </c>
      <c r="D6846" s="843">
        <v>1.17</v>
      </c>
      <c r="E6846" s="843">
        <v>1.1719999999999999</v>
      </c>
      <c r="F6846" s="844" t="s">
        <v>16</v>
      </c>
      <c r="G6846" s="851" t="s">
        <v>76</v>
      </c>
      <c r="H6846" s="844" t="s">
        <v>1783</v>
      </c>
      <c r="I6846" s="844" t="s">
        <v>1783</v>
      </c>
      <c r="J6846" s="845"/>
      <c r="K6846" s="844" t="str">
        <f t="shared" si="205"/>
        <v>08,26</v>
      </c>
      <c r="L6846" s="844" t="s">
        <v>28</v>
      </c>
      <c r="M6846" s="844">
        <v>1170</v>
      </c>
      <c r="N6846" s="846">
        <v>0.41666666666666669</v>
      </c>
      <c r="O6846" s="2"/>
      <c r="P6846" s="867" t="s">
        <v>1806</v>
      </c>
    </row>
    <row r="6847" spans="1:16" ht="19.5" hidden="1" thickBot="1" x14ac:dyDescent="0.3">
      <c r="A6847" s="972">
        <f>MAX(A6797:A6846)+1</f>
        <v>4273</v>
      </c>
      <c r="B6847" s="759" t="s">
        <v>1769</v>
      </c>
      <c r="C6847" s="532" t="s">
        <v>840</v>
      </c>
      <c r="D6847" s="533">
        <v>13.709</v>
      </c>
      <c r="E6847" s="534">
        <v>9.6539999999999999</v>
      </c>
      <c r="F6847" s="535" t="s">
        <v>16</v>
      </c>
      <c r="G6847" s="536"/>
      <c r="H6847" s="535" t="s">
        <v>1783</v>
      </c>
      <c r="I6847" s="537" t="s">
        <v>1783</v>
      </c>
      <c r="J6847" s="538"/>
      <c r="K6847" s="535" t="str">
        <f t="shared" si="205"/>
        <v>08,26</v>
      </c>
      <c r="L6847" s="535" t="s">
        <v>266</v>
      </c>
      <c r="M6847" s="535">
        <v>13800.840000000002</v>
      </c>
      <c r="N6847" s="539">
        <v>0.45833333333333331</v>
      </c>
      <c r="O6847" s="2"/>
      <c r="P6847" s="867" t="s">
        <v>1807</v>
      </c>
    </row>
    <row r="6848" spans="1:16" ht="19.5" hidden="1" thickBot="1" x14ac:dyDescent="0.3">
      <c r="A6848" s="972"/>
      <c r="B6848" s="824" t="s">
        <v>1769</v>
      </c>
      <c r="C6848" s="820" t="s">
        <v>913</v>
      </c>
      <c r="D6848" s="821">
        <v>2.3730000000000002</v>
      </c>
      <c r="E6848" s="822">
        <v>1.5209999999999999</v>
      </c>
      <c r="F6848" s="819" t="s">
        <v>16</v>
      </c>
      <c r="G6848" s="823"/>
      <c r="H6848" s="819" t="s">
        <v>1783</v>
      </c>
      <c r="I6848" s="782" t="s">
        <v>1783</v>
      </c>
      <c r="J6848" s="825"/>
      <c r="K6848" s="819" t="str">
        <f t="shared" si="205"/>
        <v>08,26</v>
      </c>
      <c r="L6848" s="819" t="s">
        <v>266</v>
      </c>
      <c r="M6848" s="819">
        <v>2417.71</v>
      </c>
      <c r="N6848" s="811">
        <v>0.45833333333333331</v>
      </c>
      <c r="O6848" s="2"/>
      <c r="P6848" s="867" t="s">
        <v>1808</v>
      </c>
    </row>
    <row r="6849" spans="1:18" ht="19.5" hidden="1" thickBot="1" x14ac:dyDescent="0.3">
      <c r="A6849" s="972"/>
      <c r="B6849" s="824" t="s">
        <v>1769</v>
      </c>
      <c r="C6849" s="820" t="s">
        <v>23</v>
      </c>
      <c r="D6849" s="821">
        <v>1.6</v>
      </c>
      <c r="E6849" s="822">
        <v>1.6140000000000001</v>
      </c>
      <c r="F6849" s="819" t="s">
        <v>16</v>
      </c>
      <c r="G6849" s="823"/>
      <c r="H6849" s="819" t="s">
        <v>1783</v>
      </c>
      <c r="I6849" s="782" t="s">
        <v>1796</v>
      </c>
      <c r="J6849" s="825"/>
      <c r="K6849" s="819" t="str">
        <f t="shared" si="205"/>
        <v>08,26</v>
      </c>
      <c r="L6849" s="819" t="s">
        <v>28</v>
      </c>
      <c r="M6849" s="819">
        <v>1612.56</v>
      </c>
      <c r="N6849" s="811">
        <v>0.45833333333333331</v>
      </c>
      <c r="O6849" s="2"/>
      <c r="P6849" s="867" t="s">
        <v>1848</v>
      </c>
    </row>
    <row r="6850" spans="1:18" ht="19.5" hidden="1" thickBot="1" x14ac:dyDescent="0.3">
      <c r="A6850" s="972"/>
      <c r="B6850" s="798" t="s">
        <v>1473</v>
      </c>
      <c r="C6850" s="799" t="s">
        <v>23</v>
      </c>
      <c r="D6850" s="800">
        <v>3.5</v>
      </c>
      <c r="E6850" s="800">
        <v>3.516</v>
      </c>
      <c r="F6850" s="801" t="s">
        <v>16</v>
      </c>
      <c r="G6850" s="802"/>
      <c r="H6850" s="801" t="s">
        <v>1783</v>
      </c>
      <c r="I6850" s="801" t="s">
        <v>1796</v>
      </c>
      <c r="J6850" s="803"/>
      <c r="K6850" s="801" t="str">
        <f t="shared" si="205"/>
        <v>08,26</v>
      </c>
      <c r="L6850" s="801" t="s">
        <v>28</v>
      </c>
      <c r="M6850" s="801">
        <v>3510</v>
      </c>
      <c r="N6850" s="804">
        <v>0.45833333333333331</v>
      </c>
      <c r="O6850" s="2"/>
      <c r="P6850" s="867" t="s">
        <v>1850</v>
      </c>
    </row>
    <row r="6851" spans="1:18" ht="19.5" hidden="1" thickBot="1" x14ac:dyDescent="0.3">
      <c r="A6851" s="960"/>
      <c r="B6851" s="798" t="s">
        <v>1770</v>
      </c>
      <c r="C6851" s="799" t="s">
        <v>23</v>
      </c>
      <c r="D6851" s="800">
        <v>4.0999999999999996</v>
      </c>
      <c r="E6851" s="800">
        <v>4.1239999999999997</v>
      </c>
      <c r="F6851" s="801" t="s">
        <v>16</v>
      </c>
      <c r="G6851" s="802" t="s">
        <v>76</v>
      </c>
      <c r="H6851" s="801" t="s">
        <v>1783</v>
      </c>
      <c r="I6851" s="801" t="s">
        <v>1795</v>
      </c>
      <c r="J6851" s="803"/>
      <c r="K6851" s="801" t="str">
        <f t="shared" si="205"/>
        <v>08,26</v>
      </c>
      <c r="L6851" s="801" t="s">
        <v>28</v>
      </c>
      <c r="M6851" s="801">
        <v>4110</v>
      </c>
      <c r="N6851" s="804">
        <v>0.45833333333333331</v>
      </c>
      <c r="O6851" s="2"/>
      <c r="P6851" s="867" t="s">
        <v>1855</v>
      </c>
    </row>
    <row r="6852" spans="1:18" ht="19.5" hidden="1" thickBot="1" x14ac:dyDescent="0.3">
      <c r="A6852" s="1022">
        <f>MAX(A6800:A6851)+1</f>
        <v>4274</v>
      </c>
      <c r="B6852" s="610" t="s">
        <v>1769</v>
      </c>
      <c r="C6852" s="480" t="s">
        <v>23</v>
      </c>
      <c r="D6852" s="481">
        <v>17.567</v>
      </c>
      <c r="E6852" s="482">
        <v>15.648999999999999</v>
      </c>
      <c r="F6852" s="483" t="s">
        <v>16</v>
      </c>
      <c r="G6852" s="549"/>
      <c r="H6852" s="483" t="s">
        <v>1783</v>
      </c>
      <c r="I6852" s="484" t="s">
        <v>1783</v>
      </c>
      <c r="J6852" s="485"/>
      <c r="K6852" s="483" t="str">
        <f t="shared" si="205"/>
        <v>08,26</v>
      </c>
      <c r="L6852" s="483" t="s">
        <v>28</v>
      </c>
      <c r="M6852" s="483">
        <v>17606.16</v>
      </c>
      <c r="N6852" s="486">
        <v>0.5</v>
      </c>
      <c r="O6852" s="2"/>
      <c r="P6852" s="833" t="s">
        <v>1820</v>
      </c>
      <c r="Q6852" s="833">
        <f>E6852*1000</f>
        <v>15649</v>
      </c>
    </row>
    <row r="6853" spans="1:18" ht="19.5" hidden="1" thickBot="1" x14ac:dyDescent="0.3">
      <c r="A6853" s="1018"/>
      <c r="B6853" s="841" t="s">
        <v>1770</v>
      </c>
      <c r="C6853" s="842" t="s">
        <v>23</v>
      </c>
      <c r="D6853" s="843">
        <v>1.54</v>
      </c>
      <c r="E6853" s="843">
        <v>1.5529999999999999</v>
      </c>
      <c r="F6853" s="844" t="s">
        <v>16</v>
      </c>
      <c r="G6853" s="851" t="s">
        <v>76</v>
      </c>
      <c r="H6853" s="844" t="s">
        <v>1783</v>
      </c>
      <c r="I6853" s="844" t="s">
        <v>1783</v>
      </c>
      <c r="J6853" s="845"/>
      <c r="K6853" s="844" t="str">
        <f t="shared" si="205"/>
        <v>08,26</v>
      </c>
      <c r="L6853" s="844" t="s">
        <v>28</v>
      </c>
      <c r="M6853" s="844">
        <v>1545</v>
      </c>
      <c r="N6853" s="846">
        <v>0.5</v>
      </c>
      <c r="O6853" s="2"/>
      <c r="P6853" s="833" t="s">
        <v>1821</v>
      </c>
      <c r="Q6853" s="833">
        <f>E6853*1000</f>
        <v>1553</v>
      </c>
    </row>
    <row r="6854" spans="1:18" ht="19.5" hidden="1" thickBot="1" x14ac:dyDescent="0.3">
      <c r="A6854" s="959">
        <f>MAX(A6801:A6852)+1</f>
        <v>4275</v>
      </c>
      <c r="B6854" s="759" t="s">
        <v>1774</v>
      </c>
      <c r="C6854" s="532" t="s">
        <v>26</v>
      </c>
      <c r="D6854" s="533">
        <v>17.376999999999999</v>
      </c>
      <c r="E6854" s="534">
        <f>11.956+0.513</f>
        <v>12.468999999999999</v>
      </c>
      <c r="F6854" s="535" t="s">
        <v>16</v>
      </c>
      <c r="G6854" s="536"/>
      <c r="H6854" s="535" t="s">
        <v>1795</v>
      </c>
      <c r="I6854" s="537" t="s">
        <v>1795</v>
      </c>
      <c r="J6854" s="538"/>
      <c r="K6854" s="535" t="str">
        <f t="shared" si="205"/>
        <v>08,26</v>
      </c>
      <c r="L6854" s="535" t="s">
        <v>265</v>
      </c>
      <c r="M6854" s="535">
        <v>17561.68</v>
      </c>
      <c r="N6854" s="539">
        <v>0.375</v>
      </c>
      <c r="O6854" s="2"/>
      <c r="P6854" s="867" t="s">
        <v>1844</v>
      </c>
      <c r="Q6854" s="847" t="s">
        <v>1846</v>
      </c>
    </row>
    <row r="6855" spans="1:18" ht="19.5" hidden="1" thickBot="1" x14ac:dyDescent="0.3">
      <c r="A6855" s="960"/>
      <c r="B6855" s="798" t="s">
        <v>1783</v>
      </c>
      <c r="C6855" s="799" t="s">
        <v>26</v>
      </c>
      <c r="D6855" s="800">
        <v>5.3</v>
      </c>
      <c r="E6855" s="800">
        <v>5.1210000000000004</v>
      </c>
      <c r="F6855" s="801" t="s">
        <v>16</v>
      </c>
      <c r="G6855" s="802"/>
      <c r="H6855" s="801" t="s">
        <v>1795</v>
      </c>
      <c r="I6855" s="801" t="s">
        <v>1795</v>
      </c>
      <c r="J6855" s="803"/>
      <c r="K6855" s="801" t="str">
        <f t="shared" si="205"/>
        <v>08,26</v>
      </c>
      <c r="L6855" s="801" t="s">
        <v>265</v>
      </c>
      <c r="M6855" s="801">
        <v>5335.8</v>
      </c>
      <c r="N6855" s="804">
        <v>0.375</v>
      </c>
      <c r="O6855" s="2"/>
      <c r="P6855" s="867" t="s">
        <v>1845</v>
      </c>
    </row>
    <row r="6856" spans="1:18" ht="19.5" hidden="1" thickBot="1" x14ac:dyDescent="0.3">
      <c r="A6856" s="1022">
        <f>MAX(A6802:A6855)+1</f>
        <v>4276</v>
      </c>
      <c r="B6856" s="610" t="s">
        <v>1774</v>
      </c>
      <c r="C6856" s="480" t="s">
        <v>26</v>
      </c>
      <c r="D6856" s="481">
        <v>13.737</v>
      </c>
      <c r="E6856" s="482">
        <f>8.513+0.3</f>
        <v>8.8130000000000006</v>
      </c>
      <c r="F6856" s="483" t="s">
        <v>16</v>
      </c>
      <c r="G6856" s="549"/>
      <c r="H6856" s="483" t="s">
        <v>1795</v>
      </c>
      <c r="I6856" s="484" t="s">
        <v>1795</v>
      </c>
      <c r="J6856" s="485"/>
      <c r="K6856" s="483" t="str">
        <f t="shared" si="205"/>
        <v>08,26</v>
      </c>
      <c r="L6856" s="483" t="s">
        <v>265</v>
      </c>
      <c r="M6856" s="483">
        <v>13866.14</v>
      </c>
      <c r="N6856" s="486">
        <v>0.41666666666666669</v>
      </c>
      <c r="O6856" s="2"/>
      <c r="P6856" s="867" t="s">
        <v>1836</v>
      </c>
      <c r="Q6856" s="847" t="s">
        <v>1837</v>
      </c>
    </row>
    <row r="6857" spans="1:18" ht="19.5" hidden="1" thickBot="1" x14ac:dyDescent="0.3">
      <c r="A6857" s="963"/>
      <c r="B6857" s="769" t="s">
        <v>1774</v>
      </c>
      <c r="C6857" s="764" t="s">
        <v>1358</v>
      </c>
      <c r="D6857" s="765">
        <v>1.8759999999999999</v>
      </c>
      <c r="E6857" s="766">
        <v>1.518</v>
      </c>
      <c r="F6857" s="763" t="s">
        <v>16</v>
      </c>
      <c r="G6857" s="767" t="s">
        <v>844</v>
      </c>
      <c r="H6857" s="763" t="s">
        <v>1795</v>
      </c>
      <c r="I6857" s="768" t="s">
        <v>1795</v>
      </c>
      <c r="J6857" s="779"/>
      <c r="K6857" s="763" t="str">
        <f t="shared" si="205"/>
        <v>08,26</v>
      </c>
      <c r="L6857" s="763" t="s">
        <v>265</v>
      </c>
      <c r="M6857" s="763">
        <v>1966.3799999999997</v>
      </c>
      <c r="N6857" s="770">
        <v>0.41666666666666669</v>
      </c>
      <c r="O6857" s="2"/>
      <c r="P6857" s="867" t="s">
        <v>1838</v>
      </c>
    </row>
    <row r="6858" spans="1:18" ht="19.5" hidden="1" thickBot="1" x14ac:dyDescent="0.3">
      <c r="A6858" s="963"/>
      <c r="B6858" s="769" t="s">
        <v>1774</v>
      </c>
      <c r="C6858" s="764" t="s">
        <v>1358</v>
      </c>
      <c r="D6858" s="765">
        <v>1.6930000000000001</v>
      </c>
      <c r="E6858" s="766">
        <v>1.284</v>
      </c>
      <c r="F6858" s="763" t="s">
        <v>16</v>
      </c>
      <c r="G6858" s="767" t="s">
        <v>845</v>
      </c>
      <c r="H6858" s="763" t="s">
        <v>1795</v>
      </c>
      <c r="I6858" s="768" t="s">
        <v>1795</v>
      </c>
      <c r="J6858" s="779"/>
      <c r="K6858" s="763" t="str">
        <f t="shared" si="205"/>
        <v>08,26</v>
      </c>
      <c r="L6858" s="763" t="s">
        <v>265</v>
      </c>
      <c r="M6858" s="763">
        <v>1759.38</v>
      </c>
      <c r="N6858" s="770">
        <v>0.41666666666666669</v>
      </c>
      <c r="O6858" s="2"/>
      <c r="P6858" s="867" t="s">
        <v>1839</v>
      </c>
    </row>
    <row r="6859" spans="1:18" ht="19.5" hidden="1" thickBot="1" x14ac:dyDescent="0.3">
      <c r="A6859" s="1018"/>
      <c r="B6859" s="805" t="s">
        <v>1783</v>
      </c>
      <c r="C6859" s="806" t="s">
        <v>26</v>
      </c>
      <c r="D6859" s="807">
        <v>5.9</v>
      </c>
      <c r="E6859" s="807">
        <v>5.8819999999999997</v>
      </c>
      <c r="F6859" s="808" t="s">
        <v>16</v>
      </c>
      <c r="G6859" s="809"/>
      <c r="H6859" s="808" t="s">
        <v>1795</v>
      </c>
      <c r="I6859" s="808" t="s">
        <v>1795</v>
      </c>
      <c r="J6859" s="810"/>
      <c r="K6859" s="808" t="str">
        <f t="shared" si="205"/>
        <v>08,26</v>
      </c>
      <c r="L6859" s="808" t="s">
        <v>265</v>
      </c>
      <c r="M6859" s="808">
        <v>5935.8</v>
      </c>
      <c r="N6859" s="778">
        <v>0.41666666666666669</v>
      </c>
      <c r="O6859" s="2"/>
      <c r="P6859" s="867" t="s">
        <v>1840</v>
      </c>
    </row>
    <row r="6860" spans="1:18" ht="19.5" hidden="1" thickBot="1" x14ac:dyDescent="0.3">
      <c r="A6860" s="503">
        <f>MAX(A6805:A6859)+1</f>
        <v>4277</v>
      </c>
      <c r="B6860" s="590" t="s">
        <v>1774</v>
      </c>
      <c r="C6860" s="591" t="s">
        <v>26</v>
      </c>
      <c r="D6860" s="592">
        <v>14.86</v>
      </c>
      <c r="E6860" s="593">
        <v>14.86</v>
      </c>
      <c r="F6860" s="594" t="s">
        <v>30</v>
      </c>
      <c r="G6860" s="595"/>
      <c r="H6860" s="594" t="s">
        <v>1795</v>
      </c>
      <c r="I6860" s="596" t="s">
        <v>1795</v>
      </c>
      <c r="J6860" s="597"/>
      <c r="K6860" s="594" t="str">
        <f t="shared" si="205"/>
        <v>08,26</v>
      </c>
      <c r="L6860" s="594" t="s">
        <v>265</v>
      </c>
      <c r="M6860" s="594">
        <v>14860.759999999997</v>
      </c>
      <c r="N6860" s="598">
        <v>0.375</v>
      </c>
      <c r="O6860" s="2"/>
      <c r="P6860" s="867" t="s">
        <v>1842</v>
      </c>
    </row>
    <row r="6861" spans="1:18" ht="19.5" hidden="1" thickBot="1" x14ac:dyDescent="0.3">
      <c r="A6861" s="1022">
        <f>MAX(A6806:A6860)+1</f>
        <v>4278</v>
      </c>
      <c r="B6861" s="610" t="s">
        <v>1774</v>
      </c>
      <c r="C6861" s="480" t="s">
        <v>15</v>
      </c>
      <c r="D6861" s="481">
        <v>5.1420000000000003</v>
      </c>
      <c r="E6861" s="482">
        <v>3.6859999999999999</v>
      </c>
      <c r="F6861" s="483" t="s">
        <v>16</v>
      </c>
      <c r="G6861" s="1031" t="s">
        <v>1633</v>
      </c>
      <c r="H6861" s="483" t="s">
        <v>1795</v>
      </c>
      <c r="I6861" s="484" t="s">
        <v>1795</v>
      </c>
      <c r="J6861" s="485"/>
      <c r="K6861" s="483" t="str">
        <f t="shared" ref="K6861:K6924" si="206">RIGHT(I6861,5)</f>
        <v>08,26</v>
      </c>
      <c r="L6861" s="483" t="s">
        <v>28</v>
      </c>
      <c r="M6861" s="483">
        <v>5256.92</v>
      </c>
      <c r="N6861" s="486">
        <v>0.45833333333333331</v>
      </c>
      <c r="O6861" s="2"/>
      <c r="P6861" s="867" t="s">
        <v>1851</v>
      </c>
      <c r="R6861" s="895"/>
    </row>
    <row r="6862" spans="1:18" ht="19.5" hidden="1" thickBot="1" x14ac:dyDescent="0.3">
      <c r="A6862" s="963"/>
      <c r="B6862" s="769" t="s">
        <v>1774</v>
      </c>
      <c r="C6862" s="764" t="s">
        <v>24</v>
      </c>
      <c r="D6862" s="765">
        <v>11.551</v>
      </c>
      <c r="E6862" s="766">
        <f>9.613+0.134</f>
        <v>9.7469999999999999</v>
      </c>
      <c r="F6862" s="763" t="s">
        <v>16</v>
      </c>
      <c r="G6862" s="1032"/>
      <c r="H6862" s="763" t="s">
        <v>1795</v>
      </c>
      <c r="I6862" s="768" t="s">
        <v>1795</v>
      </c>
      <c r="J6862" s="779"/>
      <c r="K6862" s="763" t="str">
        <f t="shared" si="206"/>
        <v>08,26</v>
      </c>
      <c r="L6862" s="763" t="s">
        <v>28</v>
      </c>
      <c r="M6862" s="763">
        <v>11740.74</v>
      </c>
      <c r="N6862" s="770">
        <v>0.45833333333333331</v>
      </c>
      <c r="O6862" s="2"/>
      <c r="P6862" s="867" t="s">
        <v>1852</v>
      </c>
      <c r="Q6862" s="847" t="s">
        <v>1854</v>
      </c>
      <c r="R6862" s="895"/>
    </row>
    <row r="6863" spans="1:18" ht="19.5" hidden="1" thickBot="1" x14ac:dyDescent="0.3">
      <c r="A6863" s="1018"/>
      <c r="B6863" s="805" t="s">
        <v>1795</v>
      </c>
      <c r="C6863" s="806" t="s">
        <v>24</v>
      </c>
      <c r="D6863" s="807">
        <v>3.6</v>
      </c>
      <c r="E6863" s="807">
        <v>3.621</v>
      </c>
      <c r="F6863" s="808" t="s">
        <v>16</v>
      </c>
      <c r="G6863" s="1033"/>
      <c r="H6863" s="808" t="s">
        <v>1795</v>
      </c>
      <c r="I6863" s="808" t="s">
        <v>1795</v>
      </c>
      <c r="J6863" s="810"/>
      <c r="K6863" s="808" t="str">
        <f t="shared" si="206"/>
        <v>08,26</v>
      </c>
      <c r="L6863" s="808" t="s">
        <v>28</v>
      </c>
      <c r="M6863" s="808">
        <v>3615</v>
      </c>
      <c r="N6863" s="778">
        <v>0.45833333333333331</v>
      </c>
      <c r="O6863" s="2"/>
      <c r="P6863" s="867" t="s">
        <v>1853</v>
      </c>
      <c r="R6863" s="895"/>
    </row>
    <row r="6864" spans="1:18" ht="19.5" hidden="1" thickBot="1" x14ac:dyDescent="0.3">
      <c r="A6864" s="957">
        <f>MAX(A6808:A6863)+1</f>
        <v>4279</v>
      </c>
      <c r="B6864" s="563" t="s">
        <v>1774</v>
      </c>
      <c r="C6864" s="564" t="s">
        <v>23</v>
      </c>
      <c r="D6864" s="565">
        <v>12.664</v>
      </c>
      <c r="E6864" s="566">
        <v>10.241</v>
      </c>
      <c r="F6864" s="567" t="s">
        <v>16</v>
      </c>
      <c r="G6864" s="568"/>
      <c r="H6864" s="567" t="s">
        <v>1795</v>
      </c>
      <c r="I6864" s="569" t="s">
        <v>1796</v>
      </c>
      <c r="J6864" s="570"/>
      <c r="K6864" s="567" t="str">
        <f t="shared" si="206"/>
        <v>08,26</v>
      </c>
      <c r="L6864" s="567" t="s">
        <v>28</v>
      </c>
      <c r="M6864" s="567">
        <v>12834.22</v>
      </c>
      <c r="N6864" s="571">
        <v>0.5</v>
      </c>
      <c r="O6864" s="2"/>
      <c r="P6864" s="867" t="s">
        <v>1849</v>
      </c>
      <c r="R6864" s="895"/>
    </row>
    <row r="6865" spans="1:18" ht="19.5" hidden="1" thickBot="1" x14ac:dyDescent="0.3">
      <c r="A6865" s="961"/>
      <c r="B6865" s="636" t="s">
        <v>1774</v>
      </c>
      <c r="C6865" s="637" t="s">
        <v>480</v>
      </c>
      <c r="D6865" s="638">
        <v>4.7300000000000004</v>
      </c>
      <c r="E6865" s="639">
        <v>2.8839999999999999</v>
      </c>
      <c r="F6865" s="640" t="s">
        <v>16</v>
      </c>
      <c r="G6865" s="641"/>
      <c r="H6865" s="640" t="s">
        <v>1795</v>
      </c>
      <c r="I6865" s="642" t="s">
        <v>1796</v>
      </c>
      <c r="J6865" s="643"/>
      <c r="K6865" s="640" t="str">
        <f t="shared" si="206"/>
        <v>08,26</v>
      </c>
      <c r="L6865" s="640" t="s">
        <v>266</v>
      </c>
      <c r="M6865" s="640">
        <v>4831</v>
      </c>
      <c r="N6865" s="644">
        <v>0.5</v>
      </c>
      <c r="O6865" s="2"/>
      <c r="P6865" s="867" t="s">
        <v>1847</v>
      </c>
    </row>
    <row r="6866" spans="1:18" ht="19.5" hidden="1" thickBot="1" x14ac:dyDescent="0.3">
      <c r="A6866" s="954">
        <f>MAX(A6810:A6865)+1</f>
        <v>4280</v>
      </c>
      <c r="B6866" s="479" t="s">
        <v>1774</v>
      </c>
      <c r="C6866" s="480" t="s">
        <v>587</v>
      </c>
      <c r="D6866" s="481">
        <v>7.1289999999999996</v>
      </c>
      <c r="E6866" s="482">
        <v>7.1289999999999996</v>
      </c>
      <c r="F6866" s="483" t="s">
        <v>30</v>
      </c>
      <c r="G6866" s="549" t="s">
        <v>23</v>
      </c>
      <c r="H6866" s="483" t="s">
        <v>1795</v>
      </c>
      <c r="I6866" s="484" t="s">
        <v>1795</v>
      </c>
      <c r="J6866" s="485"/>
      <c r="K6866" s="483" t="str">
        <f t="shared" si="206"/>
        <v>08,26</v>
      </c>
      <c r="L6866" s="483" t="s">
        <v>28</v>
      </c>
      <c r="M6866" s="483">
        <v>7129.7199999999993</v>
      </c>
      <c r="N6866" s="486">
        <v>0.41666666666666669</v>
      </c>
      <c r="P6866" s="867" t="s">
        <v>1860</v>
      </c>
    </row>
    <row r="6867" spans="1:18" ht="19.5" hidden="1" thickBot="1" x14ac:dyDescent="0.3">
      <c r="A6867" s="956"/>
      <c r="B6867" s="645" t="s">
        <v>1774</v>
      </c>
      <c r="C6867" s="646" t="s">
        <v>23</v>
      </c>
      <c r="D6867" s="647">
        <v>6.4139999999999997</v>
      </c>
      <c r="E6867" s="648">
        <v>6.4139999999999997</v>
      </c>
      <c r="F6867" s="649" t="s">
        <v>30</v>
      </c>
      <c r="G6867" s="650"/>
      <c r="H6867" s="649" t="s">
        <v>1795</v>
      </c>
      <c r="I6867" s="651" t="s">
        <v>1795</v>
      </c>
      <c r="J6867" s="652"/>
      <c r="K6867" s="649" t="str">
        <f t="shared" si="206"/>
        <v>08,26</v>
      </c>
      <c r="L6867" s="649" t="s">
        <v>28</v>
      </c>
      <c r="M6867" s="649">
        <v>6414</v>
      </c>
      <c r="N6867" s="653">
        <v>0.41666666666666669</v>
      </c>
      <c r="P6867" s="867" t="s">
        <v>1861</v>
      </c>
    </row>
    <row r="6868" spans="1:18" ht="19.5" hidden="1" thickBot="1" x14ac:dyDescent="0.3">
      <c r="A6868" s="503">
        <f>MAX(A6812:A6867)+1</f>
        <v>4281</v>
      </c>
      <c r="B6868" s="504" t="s">
        <v>1774</v>
      </c>
      <c r="C6868" s="505" t="s">
        <v>587</v>
      </c>
      <c r="D6868" s="506">
        <v>10.672000000000001</v>
      </c>
      <c r="E6868" s="507">
        <v>10.672000000000001</v>
      </c>
      <c r="F6868" s="508" t="s">
        <v>30</v>
      </c>
      <c r="G6868" s="509" t="s">
        <v>47</v>
      </c>
      <c r="H6868" s="508" t="s">
        <v>1795</v>
      </c>
      <c r="I6868" s="510" t="s">
        <v>1795</v>
      </c>
      <c r="J6868" s="511"/>
      <c r="K6868" s="508" t="str">
        <f t="shared" si="206"/>
        <v>08,26</v>
      </c>
      <c r="L6868" s="508" t="s">
        <v>28</v>
      </c>
      <c r="M6868" s="508">
        <v>10672.2</v>
      </c>
      <c r="N6868" s="512">
        <v>0.45833333333333331</v>
      </c>
      <c r="P6868" s="867" t="s">
        <v>1843</v>
      </c>
    </row>
    <row r="6869" spans="1:18" ht="19.5" hidden="1" thickBot="1" x14ac:dyDescent="0.3">
      <c r="A6869" s="513">
        <f>MAX(A6813:A6868)+1</f>
        <v>4282</v>
      </c>
      <c r="B6869" s="573" t="s">
        <v>1774</v>
      </c>
      <c r="C6869" s="574" t="s">
        <v>47</v>
      </c>
      <c r="D6869" s="575">
        <v>12.324999999999999</v>
      </c>
      <c r="E6869" s="576">
        <v>12.324999999999999</v>
      </c>
      <c r="F6869" s="577" t="s">
        <v>30</v>
      </c>
      <c r="G6869" s="578"/>
      <c r="H6869" s="577" t="s">
        <v>1795</v>
      </c>
      <c r="I6869" s="579" t="s">
        <v>1795</v>
      </c>
      <c r="J6869" s="580"/>
      <c r="K6869" s="577" t="str">
        <f t="shared" si="206"/>
        <v>08,26</v>
      </c>
      <c r="L6869" s="577" t="s">
        <v>28</v>
      </c>
      <c r="M6869" s="577">
        <v>12325.52</v>
      </c>
      <c r="N6869" s="581">
        <v>0.5</v>
      </c>
      <c r="P6869" s="867" t="s">
        <v>1841</v>
      </c>
    </row>
    <row r="6870" spans="1:18" ht="19.5" hidden="1" thickBot="1" x14ac:dyDescent="0.3">
      <c r="A6870" s="959">
        <f>MAX(A6814:A6869)+1</f>
        <v>4283</v>
      </c>
      <c r="B6870" s="759" t="s">
        <v>1774</v>
      </c>
      <c r="C6870" s="532" t="s">
        <v>26</v>
      </c>
      <c r="D6870" s="533">
        <v>17.390999999999998</v>
      </c>
      <c r="E6870" s="534">
        <f>13.709+0.225+0.135</f>
        <v>14.068999999999999</v>
      </c>
      <c r="F6870" s="535" t="s">
        <v>16</v>
      </c>
      <c r="G6870" s="536"/>
      <c r="H6870" s="535" t="s">
        <v>1796</v>
      </c>
      <c r="I6870" s="537" t="s">
        <v>1796</v>
      </c>
      <c r="J6870" s="538"/>
      <c r="K6870" s="535" t="str">
        <f t="shared" si="206"/>
        <v>08,26</v>
      </c>
      <c r="L6870" s="535" t="s">
        <v>265</v>
      </c>
      <c r="M6870" s="535">
        <v>17583.84</v>
      </c>
      <c r="N6870" s="539">
        <v>0.375</v>
      </c>
      <c r="P6870" s="867" t="s">
        <v>1868</v>
      </c>
      <c r="Q6870" s="847" t="s">
        <v>1871</v>
      </c>
      <c r="R6870" s="833" t="s">
        <v>1890</v>
      </c>
    </row>
    <row r="6871" spans="1:18" ht="18.75" hidden="1" customHeight="1" x14ac:dyDescent="0.25">
      <c r="A6871" s="972"/>
      <c r="B6871" s="852" t="s">
        <v>1796</v>
      </c>
      <c r="C6871" s="837" t="s">
        <v>26</v>
      </c>
      <c r="D6871" s="838">
        <v>0.74199999999999999</v>
      </c>
      <c r="E6871" s="838">
        <v>0.753</v>
      </c>
      <c r="F6871" s="839" t="s">
        <v>16</v>
      </c>
      <c r="G6871" s="850"/>
      <c r="H6871" s="839" t="s">
        <v>1796</v>
      </c>
      <c r="I6871" s="839" t="s">
        <v>1796</v>
      </c>
      <c r="J6871" s="840"/>
      <c r="K6871" s="839" t="str">
        <f t="shared" si="206"/>
        <v>08,26</v>
      </c>
      <c r="L6871" s="839" t="s">
        <v>265</v>
      </c>
      <c r="M6871" s="839">
        <v>750</v>
      </c>
      <c r="N6871" s="598">
        <v>0.375</v>
      </c>
      <c r="P6871" s="867" t="s">
        <v>1869</v>
      </c>
    </row>
    <row r="6872" spans="1:18" ht="19.5" hidden="1" thickBot="1" x14ac:dyDescent="0.3">
      <c r="A6872" s="960"/>
      <c r="B6872" s="798" t="s">
        <v>1795</v>
      </c>
      <c r="C6872" s="799" t="s">
        <v>26</v>
      </c>
      <c r="D6872" s="800">
        <v>2.7</v>
      </c>
      <c r="E6872" s="800">
        <v>2.718</v>
      </c>
      <c r="F6872" s="801" t="s">
        <v>16</v>
      </c>
      <c r="G6872" s="802" t="s">
        <v>76</v>
      </c>
      <c r="H6872" s="801" t="s">
        <v>1796</v>
      </c>
      <c r="I6872" s="801" t="s">
        <v>1796</v>
      </c>
      <c r="J6872" s="803"/>
      <c r="K6872" s="801" t="str">
        <f t="shared" si="206"/>
        <v>08,26</v>
      </c>
      <c r="L6872" s="801" t="s">
        <v>265</v>
      </c>
      <c r="M6872" s="801">
        <v>2715</v>
      </c>
      <c r="N6872" s="804">
        <v>0.375</v>
      </c>
      <c r="P6872" s="867" t="s">
        <v>1870</v>
      </c>
    </row>
    <row r="6873" spans="1:18" ht="19.5" hidden="1" thickBot="1" x14ac:dyDescent="0.3">
      <c r="A6873" s="1022">
        <f>MAX(A6815:A6872)+1</f>
        <v>4284</v>
      </c>
      <c r="B6873" s="610" t="s">
        <v>1774</v>
      </c>
      <c r="C6873" s="480" t="s">
        <v>26</v>
      </c>
      <c r="D6873" s="481">
        <v>17.475000000000001</v>
      </c>
      <c r="E6873" s="482">
        <f>13.231+0.685</f>
        <v>13.916</v>
      </c>
      <c r="F6873" s="483" t="s">
        <v>16</v>
      </c>
      <c r="G6873" s="549"/>
      <c r="H6873" s="483" t="s">
        <v>1796</v>
      </c>
      <c r="I6873" s="484" t="s">
        <v>1796</v>
      </c>
      <c r="J6873" s="485"/>
      <c r="K6873" s="483" t="str">
        <f t="shared" si="206"/>
        <v>08,26</v>
      </c>
      <c r="L6873" s="483" t="s">
        <v>265</v>
      </c>
      <c r="M6873" s="483">
        <v>17665.38</v>
      </c>
      <c r="N6873" s="486">
        <v>0.41666666666666669</v>
      </c>
      <c r="P6873" s="867" t="s">
        <v>1879</v>
      </c>
      <c r="Q6873" s="847" t="s">
        <v>1882</v>
      </c>
    </row>
    <row r="6874" spans="1:18" ht="18.75" hidden="1" customHeight="1" x14ac:dyDescent="0.25">
      <c r="A6874" s="963"/>
      <c r="B6874" s="792" t="s">
        <v>1796</v>
      </c>
      <c r="C6874" s="793" t="s">
        <v>26</v>
      </c>
      <c r="D6874" s="794">
        <v>0.54</v>
      </c>
      <c r="E6874" s="794">
        <v>0.53900000000000003</v>
      </c>
      <c r="F6874" s="795" t="s">
        <v>16</v>
      </c>
      <c r="G6874" s="796"/>
      <c r="H6874" s="795" t="s">
        <v>1796</v>
      </c>
      <c r="I6874" s="795" t="s">
        <v>1796</v>
      </c>
      <c r="J6874" s="797"/>
      <c r="K6874" s="795" t="str">
        <f t="shared" si="206"/>
        <v>08,26</v>
      </c>
      <c r="L6874" s="795" t="s">
        <v>265</v>
      </c>
      <c r="M6874" s="795">
        <v>540</v>
      </c>
      <c r="N6874" s="502">
        <v>0.41666666666666669</v>
      </c>
      <c r="P6874" s="867" t="s">
        <v>1880</v>
      </c>
    </row>
    <row r="6875" spans="1:18" ht="19.5" hidden="1" thickBot="1" x14ac:dyDescent="0.3">
      <c r="A6875" s="1018"/>
      <c r="B6875" s="805" t="s">
        <v>1795</v>
      </c>
      <c r="C6875" s="806" t="s">
        <v>26</v>
      </c>
      <c r="D6875" s="807">
        <v>3.1</v>
      </c>
      <c r="E6875" s="807">
        <v>3.1070000000000002</v>
      </c>
      <c r="F6875" s="808" t="s">
        <v>16</v>
      </c>
      <c r="G6875" s="809" t="s">
        <v>76</v>
      </c>
      <c r="H6875" s="808" t="s">
        <v>1796</v>
      </c>
      <c r="I6875" s="808" t="s">
        <v>1796</v>
      </c>
      <c r="J6875" s="810"/>
      <c r="K6875" s="808" t="str">
        <f t="shared" si="206"/>
        <v>08,26</v>
      </c>
      <c r="L6875" s="808" t="s">
        <v>265</v>
      </c>
      <c r="M6875" s="808">
        <v>3105</v>
      </c>
      <c r="N6875" s="778">
        <v>0.41666666666666669</v>
      </c>
      <c r="P6875" s="867" t="s">
        <v>1881</v>
      </c>
    </row>
    <row r="6876" spans="1:18" ht="19.5" hidden="1" thickBot="1" x14ac:dyDescent="0.3">
      <c r="A6876" s="959">
        <f>MAX(A6816:A6875)+1</f>
        <v>4285</v>
      </c>
      <c r="B6876" s="760" t="s">
        <v>1774</v>
      </c>
      <c r="C6876" s="564" t="s">
        <v>23</v>
      </c>
      <c r="D6876" s="565">
        <v>16.715</v>
      </c>
      <c r="E6876" s="566">
        <f>16.503+0.139</f>
        <v>16.641999999999999</v>
      </c>
      <c r="F6876" s="567" t="s">
        <v>16</v>
      </c>
      <c r="G6876" s="973" t="s">
        <v>1633</v>
      </c>
      <c r="H6876" s="567" t="s">
        <v>1796</v>
      </c>
      <c r="I6876" s="569" t="s">
        <v>1796</v>
      </c>
      <c r="J6876" s="570"/>
      <c r="K6876" s="567" t="str">
        <f t="shared" si="206"/>
        <v>08,26</v>
      </c>
      <c r="L6876" s="567" t="s">
        <v>28</v>
      </c>
      <c r="M6876" s="567">
        <v>16782.48</v>
      </c>
      <c r="N6876" s="571">
        <v>0.45833333333333331</v>
      </c>
      <c r="P6876" s="867" t="s">
        <v>1886</v>
      </c>
      <c r="Q6876" s="847" t="s">
        <v>1888</v>
      </c>
      <c r="R6876" s="895"/>
    </row>
    <row r="6877" spans="1:18" ht="19.5" hidden="1" thickBot="1" x14ac:dyDescent="0.3">
      <c r="A6877" s="960"/>
      <c r="B6877" s="798" t="s">
        <v>1795</v>
      </c>
      <c r="C6877" s="799" t="s">
        <v>23</v>
      </c>
      <c r="D6877" s="800">
        <v>1</v>
      </c>
      <c r="E6877" s="800">
        <v>1.012</v>
      </c>
      <c r="F6877" s="801" t="s">
        <v>16</v>
      </c>
      <c r="G6877" s="973"/>
      <c r="H6877" s="801" t="s">
        <v>1796</v>
      </c>
      <c r="I6877" s="801" t="s">
        <v>1796</v>
      </c>
      <c r="J6877" s="803"/>
      <c r="K6877" s="801" t="str">
        <f t="shared" si="206"/>
        <v>08,26</v>
      </c>
      <c r="L6877" s="801" t="s">
        <v>28</v>
      </c>
      <c r="M6877" s="801">
        <v>1005</v>
      </c>
      <c r="N6877" s="804">
        <v>0.45833333333333331</v>
      </c>
      <c r="P6877" s="867" t="s">
        <v>1887</v>
      </c>
      <c r="R6877" s="895"/>
    </row>
    <row r="6878" spans="1:18" ht="19.5" hidden="1" thickBot="1" x14ac:dyDescent="0.3">
      <c r="A6878" s="954">
        <f>MAX(A6817:A6877)+1</f>
        <v>4286</v>
      </c>
      <c r="B6878" s="610" t="s">
        <v>1774</v>
      </c>
      <c r="C6878" s="480" t="s">
        <v>47</v>
      </c>
      <c r="D6878" s="481">
        <v>16.702999999999999</v>
      </c>
      <c r="E6878" s="482">
        <f>14.218+0.235</f>
        <v>14.452999999999999</v>
      </c>
      <c r="F6878" s="483" t="s">
        <v>16</v>
      </c>
      <c r="G6878" s="967" t="s">
        <v>1633</v>
      </c>
      <c r="H6878" s="483" t="s">
        <v>1796</v>
      </c>
      <c r="I6878" s="484" t="s">
        <v>1796</v>
      </c>
      <c r="J6878" s="485"/>
      <c r="K6878" s="483" t="str">
        <f t="shared" si="206"/>
        <v>08,26</v>
      </c>
      <c r="L6878" s="483" t="s">
        <v>28</v>
      </c>
      <c r="M6878" s="483">
        <v>16885.699999999997</v>
      </c>
      <c r="N6878" s="486">
        <v>0.5</v>
      </c>
      <c r="P6878" s="867" t="s">
        <v>1883</v>
      </c>
      <c r="Q6878" s="847" t="s">
        <v>1885</v>
      </c>
      <c r="R6878" s="895"/>
    </row>
    <row r="6879" spans="1:18" ht="19.5" hidden="1" thickBot="1" x14ac:dyDescent="0.3">
      <c r="A6879" s="956"/>
      <c r="B6879" s="805" t="s">
        <v>1795</v>
      </c>
      <c r="C6879" s="806" t="s">
        <v>47</v>
      </c>
      <c r="D6879" s="807">
        <v>2.6</v>
      </c>
      <c r="E6879" s="807">
        <v>2.621</v>
      </c>
      <c r="F6879" s="808" t="s">
        <v>16</v>
      </c>
      <c r="G6879" s="968"/>
      <c r="H6879" s="808" t="s">
        <v>1796</v>
      </c>
      <c r="I6879" s="808" t="s">
        <v>1796</v>
      </c>
      <c r="J6879" s="810"/>
      <c r="K6879" s="808" t="str">
        <f t="shared" si="206"/>
        <v>08,26</v>
      </c>
      <c r="L6879" s="808" t="s">
        <v>28</v>
      </c>
      <c r="M6879" s="808">
        <v>2610</v>
      </c>
      <c r="N6879" s="778">
        <v>0.5</v>
      </c>
      <c r="P6879" s="867" t="s">
        <v>1884</v>
      </c>
      <c r="R6879" s="895"/>
    </row>
    <row r="6880" spans="1:18" ht="19.5" hidden="1" thickBot="1" x14ac:dyDescent="0.3">
      <c r="A6880" s="503">
        <f>MAX(A6818:A6879)+1</f>
        <v>4287</v>
      </c>
      <c r="B6880" s="636" t="s">
        <v>1774</v>
      </c>
      <c r="C6880" s="637" t="s">
        <v>23</v>
      </c>
      <c r="D6880" s="638">
        <v>12.749000000000001</v>
      </c>
      <c r="E6880" s="639">
        <f>12.555+0.015</f>
        <v>12.57</v>
      </c>
      <c r="F6880" s="640" t="s">
        <v>30</v>
      </c>
      <c r="G6880" s="641"/>
      <c r="H6880" s="640" t="s">
        <v>1796</v>
      </c>
      <c r="I6880" s="642" t="s">
        <v>1796</v>
      </c>
      <c r="J6880" s="643"/>
      <c r="K6880" s="640" t="str">
        <f t="shared" si="206"/>
        <v>08,26</v>
      </c>
      <c r="L6880" s="640" t="s">
        <v>28</v>
      </c>
      <c r="M6880" s="640">
        <v>12749.48</v>
      </c>
      <c r="N6880" s="644">
        <v>0.375</v>
      </c>
      <c r="P6880" s="867" t="s">
        <v>1872</v>
      </c>
      <c r="Q6880" s="847" t="s">
        <v>1873</v>
      </c>
    </row>
    <row r="6881" spans="1:18" ht="19.5" hidden="1" thickBot="1" x14ac:dyDescent="0.3">
      <c r="A6881" s="954">
        <f>MAX(A6819:A6880)+1</f>
        <v>4288</v>
      </c>
      <c r="B6881" s="479" t="s">
        <v>1774</v>
      </c>
      <c r="C6881" s="480" t="s">
        <v>15</v>
      </c>
      <c r="D6881" s="481">
        <v>9.3079999999999998</v>
      </c>
      <c r="E6881" s="482">
        <f>9.226+0.015</f>
        <v>9.2410000000000014</v>
      </c>
      <c r="F6881" s="483" t="s">
        <v>30</v>
      </c>
      <c r="G6881" s="549"/>
      <c r="H6881" s="483" t="s">
        <v>1796</v>
      </c>
      <c r="I6881" s="484" t="s">
        <v>1796</v>
      </c>
      <c r="J6881" s="485"/>
      <c r="K6881" s="483" t="str">
        <f t="shared" si="206"/>
        <v>08,26</v>
      </c>
      <c r="L6881" s="483" t="s">
        <v>28</v>
      </c>
      <c r="M6881" s="483">
        <v>9308.8799999999992</v>
      </c>
      <c r="N6881" s="486">
        <v>0.41666666666666669</v>
      </c>
      <c r="P6881" s="867" t="s">
        <v>1865</v>
      </c>
      <c r="Q6881" s="847" t="s">
        <v>1867</v>
      </c>
    </row>
    <row r="6882" spans="1:18" ht="19.5" hidden="1" thickBot="1" x14ac:dyDescent="0.3">
      <c r="A6882" s="956"/>
      <c r="B6882" s="645" t="s">
        <v>1774</v>
      </c>
      <c r="C6882" s="646" t="s">
        <v>24</v>
      </c>
      <c r="D6882" s="647">
        <v>5.5679999999999996</v>
      </c>
      <c r="E6882" s="648">
        <v>5.5679999999999996</v>
      </c>
      <c r="F6882" s="649" t="s">
        <v>30</v>
      </c>
      <c r="G6882" s="650"/>
      <c r="H6882" s="649" t="s">
        <v>1796</v>
      </c>
      <c r="I6882" s="651" t="s">
        <v>1796</v>
      </c>
      <c r="J6882" s="652"/>
      <c r="K6882" s="649" t="str">
        <f t="shared" si="206"/>
        <v>08,26</v>
      </c>
      <c r="L6882" s="649" t="s">
        <v>28</v>
      </c>
      <c r="M6882" s="649">
        <v>5568.24</v>
      </c>
      <c r="N6882" s="653">
        <v>0.41666666666666669</v>
      </c>
      <c r="P6882" s="867" t="s">
        <v>1866</v>
      </c>
    </row>
    <row r="6883" spans="1:18" ht="19.5" hidden="1" thickBot="1" x14ac:dyDescent="0.3">
      <c r="A6883" s="922">
        <f>MAX(A6821:A6882)+1</f>
        <v>4289</v>
      </c>
      <c r="B6883" s="923" t="s">
        <v>1795</v>
      </c>
      <c r="C6883" s="924" t="s">
        <v>32</v>
      </c>
      <c r="D6883" s="925">
        <v>17.8</v>
      </c>
      <c r="E6883" s="926" t="s">
        <v>1496</v>
      </c>
      <c r="F6883" s="927" t="s">
        <v>16</v>
      </c>
      <c r="G6883" s="757"/>
      <c r="H6883" s="927" t="s">
        <v>1835</v>
      </c>
      <c r="I6883" s="928" t="s">
        <v>1496</v>
      </c>
      <c r="J6883" s="929"/>
      <c r="K6883" s="927" t="str">
        <f t="shared" si="206"/>
        <v>тмена</v>
      </c>
      <c r="L6883" s="927" t="s">
        <v>266</v>
      </c>
      <c r="M6883" s="927">
        <v>17807.399999999998</v>
      </c>
      <c r="N6883" s="930">
        <v>0.41666666666666669</v>
      </c>
      <c r="O6883" s="920"/>
      <c r="P6883" s="921" t="s">
        <v>1024</v>
      </c>
    </row>
    <row r="6884" spans="1:18" ht="19.5" hidden="1" thickBot="1" x14ac:dyDescent="0.3">
      <c r="A6884" s="513">
        <f>MAX(A6822:A6883)+1</f>
        <v>4290</v>
      </c>
      <c r="B6884" s="514" t="s">
        <v>1796</v>
      </c>
      <c r="C6884" s="515" t="s">
        <v>32</v>
      </c>
      <c r="D6884" s="516">
        <v>18.006</v>
      </c>
      <c r="E6884" s="517">
        <v>14.186</v>
      </c>
      <c r="F6884" s="518" t="s">
        <v>16</v>
      </c>
      <c r="G6884" s="519"/>
      <c r="H6884" s="518" t="s">
        <v>1864</v>
      </c>
      <c r="I6884" s="520" t="s">
        <v>1864</v>
      </c>
      <c r="J6884" s="521"/>
      <c r="K6884" s="518" t="str">
        <f t="shared" si="206"/>
        <v>08,26</v>
      </c>
      <c r="L6884" s="518" t="s">
        <v>266</v>
      </c>
      <c r="M6884" s="518">
        <v>18176.620000000003</v>
      </c>
      <c r="N6884" s="522">
        <v>0.41666666666666669</v>
      </c>
      <c r="O6884" s="897" t="s">
        <v>1874</v>
      </c>
      <c r="P6884" s="867" t="s">
        <v>1923</v>
      </c>
    </row>
    <row r="6885" spans="1:18" ht="19.5" hidden="1" thickBot="1" x14ac:dyDescent="0.3">
      <c r="A6885" s="503">
        <f>MAX(A6823:A6884)+1</f>
        <v>4291</v>
      </c>
      <c r="B6885" s="504" t="s">
        <v>1796</v>
      </c>
      <c r="C6885" s="505" t="s">
        <v>32</v>
      </c>
      <c r="D6885" s="506">
        <v>17.933</v>
      </c>
      <c r="E6885" s="507">
        <v>17.204999999999998</v>
      </c>
      <c r="F6885" s="508" t="s">
        <v>16</v>
      </c>
      <c r="G6885" s="509"/>
      <c r="H6885" s="508" t="s">
        <v>1864</v>
      </c>
      <c r="I6885" s="510" t="s">
        <v>1864</v>
      </c>
      <c r="J6885" s="511"/>
      <c r="K6885" s="508" t="str">
        <f t="shared" si="206"/>
        <v>08,26</v>
      </c>
      <c r="L6885" s="508" t="s">
        <v>266</v>
      </c>
      <c r="M6885" s="508">
        <v>18044.509999999998</v>
      </c>
      <c r="N6885" s="512">
        <v>0.45833333333333331</v>
      </c>
      <c r="O6885" s="897" t="s">
        <v>1875</v>
      </c>
      <c r="P6885" s="867" t="s">
        <v>1918</v>
      </c>
    </row>
    <row r="6886" spans="1:18" ht="19.5" hidden="1" thickBot="1" x14ac:dyDescent="0.3">
      <c r="A6886" s="513">
        <f>MAX(A6824:A6885)+1</f>
        <v>4292</v>
      </c>
      <c r="B6886" s="573" t="s">
        <v>1796</v>
      </c>
      <c r="C6886" s="574" t="s">
        <v>32</v>
      </c>
      <c r="D6886" s="575">
        <v>18</v>
      </c>
      <c r="E6886" s="576">
        <v>14.137</v>
      </c>
      <c r="F6886" s="577" t="s">
        <v>16</v>
      </c>
      <c r="G6886" s="578"/>
      <c r="H6886" s="577" t="s">
        <v>1864</v>
      </c>
      <c r="I6886" s="579" t="s">
        <v>1864</v>
      </c>
      <c r="J6886" s="580"/>
      <c r="K6886" s="577" t="str">
        <f t="shared" si="206"/>
        <v>08,26</v>
      </c>
      <c r="L6886" s="518" t="s">
        <v>266</v>
      </c>
      <c r="M6886" s="518">
        <v>18013.8</v>
      </c>
      <c r="N6886" s="522">
        <v>0.5</v>
      </c>
      <c r="O6886" s="897" t="s">
        <v>1876</v>
      </c>
      <c r="P6886" s="867" t="s">
        <v>1917</v>
      </c>
    </row>
    <row r="6887" spans="1:18" ht="19.5" hidden="1" thickBot="1" x14ac:dyDescent="0.3">
      <c r="A6887" s="959">
        <f t="shared" ref="A6887" si="207">MAX(A6828:A6886)+1</f>
        <v>4293</v>
      </c>
      <c r="B6887" s="759" t="s">
        <v>1796</v>
      </c>
      <c r="C6887" s="532" t="s">
        <v>848</v>
      </c>
      <c r="D6887" s="533">
        <v>17.988</v>
      </c>
      <c r="E6887" s="534">
        <v>15.236000000000001</v>
      </c>
      <c r="F6887" s="535" t="s">
        <v>16</v>
      </c>
      <c r="G6887" s="898"/>
      <c r="H6887" s="535" t="s">
        <v>1864</v>
      </c>
      <c r="I6887" s="537" t="s">
        <v>1864</v>
      </c>
      <c r="J6887" s="538"/>
      <c r="K6887" s="535" t="str">
        <f t="shared" si="206"/>
        <v>08,26</v>
      </c>
      <c r="L6887" s="567" t="s">
        <v>266</v>
      </c>
      <c r="M6887" s="567">
        <v>18081.12</v>
      </c>
      <c r="N6887" s="571">
        <v>0.54166666666666663</v>
      </c>
      <c r="O6887" s="897" t="s">
        <v>1877</v>
      </c>
      <c r="P6887" s="867" t="s">
        <v>1921</v>
      </c>
    </row>
    <row r="6888" spans="1:18" ht="19.5" hidden="1" thickBot="1" x14ac:dyDescent="0.3">
      <c r="A6888" s="960"/>
      <c r="B6888" s="785" t="s">
        <v>1864</v>
      </c>
      <c r="C6888" s="786" t="s">
        <v>848</v>
      </c>
      <c r="D6888" s="787">
        <v>2.5</v>
      </c>
      <c r="E6888" s="787">
        <v>2.5150000000000001</v>
      </c>
      <c r="F6888" s="788" t="s">
        <v>16</v>
      </c>
      <c r="G6888" s="901" t="s">
        <v>76</v>
      </c>
      <c r="H6888" s="788" t="s">
        <v>1864</v>
      </c>
      <c r="I6888" s="788" t="s">
        <v>1864</v>
      </c>
      <c r="J6888" s="790"/>
      <c r="K6888" s="788" t="str">
        <f t="shared" si="206"/>
        <v>08,26</v>
      </c>
      <c r="L6888" s="801" t="s">
        <v>266</v>
      </c>
      <c r="M6888" s="801">
        <v>2505</v>
      </c>
      <c r="N6888" s="804">
        <v>0.54166666666666663</v>
      </c>
      <c r="O6888" s="897" t="s">
        <v>1910</v>
      </c>
      <c r="P6888" s="867" t="s">
        <v>1922</v>
      </c>
    </row>
    <row r="6889" spans="1:18" ht="19.5" hidden="1" thickBot="1" x14ac:dyDescent="0.3">
      <c r="A6889" s="954">
        <f>MAX(A6829:A6887)+1</f>
        <v>4294</v>
      </c>
      <c r="B6889" s="610" t="s">
        <v>1796</v>
      </c>
      <c r="C6889" s="480" t="s">
        <v>848</v>
      </c>
      <c r="D6889" s="481">
        <v>18.004999999999999</v>
      </c>
      <c r="E6889" s="482">
        <v>15.128</v>
      </c>
      <c r="F6889" s="483" t="s">
        <v>16</v>
      </c>
      <c r="G6889" s="899"/>
      <c r="H6889" s="483" t="s">
        <v>1864</v>
      </c>
      <c r="I6889" s="484" t="s">
        <v>1892</v>
      </c>
      <c r="J6889" s="485"/>
      <c r="K6889" s="483" t="str">
        <f t="shared" si="206"/>
        <v>08,26</v>
      </c>
      <c r="L6889" s="483" t="s">
        <v>266</v>
      </c>
      <c r="M6889" s="483">
        <v>18120.239999999994</v>
      </c>
      <c r="N6889" s="486">
        <v>0.58333333333333337</v>
      </c>
      <c r="O6889" s="897" t="s">
        <v>1878</v>
      </c>
      <c r="P6889" s="867" t="s">
        <v>1954</v>
      </c>
    </row>
    <row r="6890" spans="1:18" ht="19.5" hidden="1" thickBot="1" x14ac:dyDescent="0.3">
      <c r="A6890" s="956"/>
      <c r="B6890" s="805" t="s">
        <v>1864</v>
      </c>
      <c r="C6890" s="806" t="s">
        <v>848</v>
      </c>
      <c r="D6890" s="807">
        <v>2.5</v>
      </c>
      <c r="E6890" s="807">
        <v>2.5150000000000001</v>
      </c>
      <c r="F6890" s="808" t="s">
        <v>16</v>
      </c>
      <c r="G6890" s="902" t="s">
        <v>76</v>
      </c>
      <c r="H6890" s="808" t="s">
        <v>1864</v>
      </c>
      <c r="I6890" s="808" t="s">
        <v>1892</v>
      </c>
      <c r="J6890" s="810"/>
      <c r="K6890" s="808" t="str">
        <f t="shared" si="206"/>
        <v>08,26</v>
      </c>
      <c r="L6890" s="808" t="s">
        <v>266</v>
      </c>
      <c r="M6890" s="808">
        <v>2505</v>
      </c>
      <c r="N6890" s="778">
        <v>0.58333333333333337</v>
      </c>
      <c r="O6890" s="897" t="s">
        <v>1911</v>
      </c>
      <c r="P6890" s="867" t="s">
        <v>1955</v>
      </c>
    </row>
    <row r="6891" spans="1:18" ht="19.5" hidden="1" thickBot="1" x14ac:dyDescent="0.3">
      <c r="A6891" s="957">
        <f>MAX(A6830:A6889)+1</f>
        <v>4295</v>
      </c>
      <c r="B6891" s="759" t="s">
        <v>1796</v>
      </c>
      <c r="C6891" s="532" t="s">
        <v>26</v>
      </c>
      <c r="D6891" s="533">
        <v>17.119</v>
      </c>
      <c r="E6891" s="534">
        <v>16.010999999999999</v>
      </c>
      <c r="F6891" s="535" t="s">
        <v>16</v>
      </c>
      <c r="G6891" s="536"/>
      <c r="H6891" s="535" t="s">
        <v>1864</v>
      </c>
      <c r="I6891" s="537" t="s">
        <v>1864</v>
      </c>
      <c r="J6891" s="538"/>
      <c r="K6891" s="535" t="str">
        <f t="shared" si="206"/>
        <v>08,26</v>
      </c>
      <c r="L6891" s="535" t="s">
        <v>265</v>
      </c>
      <c r="M6891" s="535">
        <v>17131.080000000002</v>
      </c>
      <c r="N6891" s="539">
        <v>0.625</v>
      </c>
      <c r="O6891" s="897" t="s">
        <v>1889</v>
      </c>
      <c r="P6891" s="867" t="s">
        <v>1919</v>
      </c>
    </row>
    <row r="6892" spans="1:18" ht="19.5" hidden="1" thickBot="1" x14ac:dyDescent="0.3">
      <c r="A6892" s="961"/>
      <c r="B6892" s="785" t="s">
        <v>1835</v>
      </c>
      <c r="C6892" s="786" t="s">
        <v>26</v>
      </c>
      <c r="D6892" s="787">
        <v>0.85</v>
      </c>
      <c r="E6892" s="787">
        <v>0.85799999999999998</v>
      </c>
      <c r="F6892" s="788" t="s">
        <v>16</v>
      </c>
      <c r="G6892" s="901" t="s">
        <v>76</v>
      </c>
      <c r="H6892" s="788" t="s">
        <v>1864</v>
      </c>
      <c r="I6892" s="788" t="s">
        <v>1864</v>
      </c>
      <c r="J6892" s="790"/>
      <c r="K6892" s="788" t="str">
        <f t="shared" si="206"/>
        <v>08,26</v>
      </c>
      <c r="L6892" s="788" t="s">
        <v>265</v>
      </c>
      <c r="M6892" s="788">
        <v>855</v>
      </c>
      <c r="N6892" s="784">
        <v>0.625</v>
      </c>
      <c r="O6892" s="897" t="s">
        <v>1899</v>
      </c>
      <c r="P6892" s="867" t="s">
        <v>1920</v>
      </c>
    </row>
    <row r="6893" spans="1:18" ht="19.5" hidden="1" thickBot="1" x14ac:dyDescent="0.3">
      <c r="A6893" s="954">
        <f>MAX(A6831:A6892)+1</f>
        <v>4296</v>
      </c>
      <c r="B6893" s="610" t="s">
        <v>1835</v>
      </c>
      <c r="C6893" s="480" t="s">
        <v>26</v>
      </c>
      <c r="D6893" s="481">
        <v>17.503</v>
      </c>
      <c r="E6893" s="482">
        <v>13.677</v>
      </c>
      <c r="F6893" s="483" t="s">
        <v>16</v>
      </c>
      <c r="G6893" s="899"/>
      <c r="H6893" s="483" t="s">
        <v>1891</v>
      </c>
      <c r="I6893" s="484" t="s">
        <v>1891</v>
      </c>
      <c r="J6893" s="485"/>
      <c r="K6893" s="483" t="str">
        <f t="shared" si="206"/>
        <v>08,26</v>
      </c>
      <c r="L6893" s="483" t="s">
        <v>265</v>
      </c>
      <c r="M6893" s="483">
        <v>17616.700000000004</v>
      </c>
      <c r="N6893" s="486">
        <v>0.375</v>
      </c>
      <c r="O6893" s="897" t="s">
        <v>1893</v>
      </c>
      <c r="P6893" s="867" t="s">
        <v>1957</v>
      </c>
    </row>
    <row r="6894" spans="1:18" ht="19.5" hidden="1" thickBot="1" x14ac:dyDescent="0.3">
      <c r="A6894" s="955"/>
      <c r="B6894" s="792" t="s">
        <v>1891</v>
      </c>
      <c r="C6894" s="793" t="s">
        <v>26</v>
      </c>
      <c r="D6894" s="794">
        <v>0.45</v>
      </c>
      <c r="E6894" s="794">
        <v>0.499</v>
      </c>
      <c r="F6894" s="795" t="s">
        <v>16</v>
      </c>
      <c r="G6894" s="903"/>
      <c r="H6894" s="795" t="s">
        <v>1891</v>
      </c>
      <c r="I6894" s="795" t="s">
        <v>1891</v>
      </c>
      <c r="J6894" s="797"/>
      <c r="K6894" s="795" t="str">
        <f t="shared" si="206"/>
        <v>08,26</v>
      </c>
      <c r="L6894" s="795" t="s">
        <v>265</v>
      </c>
      <c r="M6894" s="795">
        <v>450</v>
      </c>
      <c r="N6894" s="502">
        <v>0.375</v>
      </c>
      <c r="O6894" s="897" t="s">
        <v>1925</v>
      </c>
      <c r="P6894" s="867" t="s">
        <v>1959</v>
      </c>
    </row>
    <row r="6895" spans="1:18" ht="19.5" hidden="1" thickBot="1" x14ac:dyDescent="0.3">
      <c r="A6895" s="956"/>
      <c r="B6895" s="841" t="s">
        <v>1864</v>
      </c>
      <c r="C6895" s="842" t="s">
        <v>26</v>
      </c>
      <c r="D6895" s="843">
        <v>3.1</v>
      </c>
      <c r="E6895" s="843">
        <v>3.093</v>
      </c>
      <c r="F6895" s="844" t="s">
        <v>16</v>
      </c>
      <c r="G6895" s="904" t="s">
        <v>76</v>
      </c>
      <c r="H6895" s="844" t="s">
        <v>1891</v>
      </c>
      <c r="I6895" s="844" t="s">
        <v>1891</v>
      </c>
      <c r="J6895" s="845"/>
      <c r="K6895" s="844" t="str">
        <f t="shared" si="206"/>
        <v>08,26</v>
      </c>
      <c r="L6895" s="844" t="s">
        <v>265</v>
      </c>
      <c r="M6895" s="844">
        <v>3105</v>
      </c>
      <c r="N6895" s="846">
        <v>0.375</v>
      </c>
      <c r="O6895" s="897" t="s">
        <v>1924</v>
      </c>
      <c r="P6895" s="867" t="s">
        <v>1958</v>
      </c>
    </row>
    <row r="6896" spans="1:18" ht="19.5" hidden="1" thickBot="1" x14ac:dyDescent="0.3">
      <c r="A6896" s="959">
        <f>MAX(A6832:A6893)+1</f>
        <v>4297</v>
      </c>
      <c r="B6896" s="759" t="s">
        <v>1835</v>
      </c>
      <c r="C6896" s="532" t="s">
        <v>26</v>
      </c>
      <c r="D6896" s="533">
        <v>17.475999999999999</v>
      </c>
      <c r="E6896" s="534">
        <f>13.91+0.239+0.135</f>
        <v>14.284000000000001</v>
      </c>
      <c r="F6896" s="535" t="s">
        <v>16</v>
      </c>
      <c r="G6896" s="536"/>
      <c r="H6896" s="535" t="s">
        <v>1892</v>
      </c>
      <c r="I6896" s="537" t="s">
        <v>1892</v>
      </c>
      <c r="J6896" s="538"/>
      <c r="K6896" s="535" t="str">
        <f t="shared" si="206"/>
        <v>08,26</v>
      </c>
      <c r="L6896" s="535" t="s">
        <v>265</v>
      </c>
      <c r="M6896" s="535">
        <v>17627.53</v>
      </c>
      <c r="N6896" s="539">
        <v>0.375</v>
      </c>
      <c r="O6896" s="897" t="s">
        <v>1894</v>
      </c>
      <c r="P6896" s="867" t="s">
        <v>1965</v>
      </c>
      <c r="Q6896" s="847" t="s">
        <v>1968</v>
      </c>
      <c r="R6896" s="833" t="s">
        <v>1969</v>
      </c>
    </row>
    <row r="6897" spans="1:17" ht="19.5" hidden="1" thickBot="1" x14ac:dyDescent="0.3">
      <c r="A6897" s="972"/>
      <c r="B6897" s="852" t="s">
        <v>1891</v>
      </c>
      <c r="C6897" s="837" t="s">
        <v>26</v>
      </c>
      <c r="D6897" s="838">
        <v>0.95</v>
      </c>
      <c r="E6897" s="838">
        <v>0.97399999999999998</v>
      </c>
      <c r="F6897" s="839" t="s">
        <v>16</v>
      </c>
      <c r="G6897" s="850" t="s">
        <v>76</v>
      </c>
      <c r="H6897" s="839" t="s">
        <v>1892</v>
      </c>
      <c r="I6897" s="839" t="s">
        <v>1892</v>
      </c>
      <c r="J6897" s="840"/>
      <c r="K6897" s="839" t="str">
        <f t="shared" si="206"/>
        <v>08,26</v>
      </c>
      <c r="L6897" s="839" t="s">
        <v>265</v>
      </c>
      <c r="M6897" s="839">
        <v>960</v>
      </c>
      <c r="N6897" s="598">
        <v>0.375</v>
      </c>
      <c r="O6897" s="897" t="s">
        <v>1946</v>
      </c>
      <c r="P6897" s="867" t="s">
        <v>1966</v>
      </c>
    </row>
    <row r="6898" spans="1:17" ht="19.5" hidden="1" thickBot="1" x14ac:dyDescent="0.3">
      <c r="A6898" s="960"/>
      <c r="B6898" s="798" t="s">
        <v>1891</v>
      </c>
      <c r="C6898" s="799" t="s">
        <v>26</v>
      </c>
      <c r="D6898" s="800">
        <v>2.2999999999999998</v>
      </c>
      <c r="E6898" s="800">
        <v>2.3109999999999999</v>
      </c>
      <c r="F6898" s="801" t="s">
        <v>16</v>
      </c>
      <c r="G6898" s="802" t="s">
        <v>76</v>
      </c>
      <c r="H6898" s="801" t="s">
        <v>1892</v>
      </c>
      <c r="I6898" s="801" t="s">
        <v>1892</v>
      </c>
      <c r="J6898" s="803"/>
      <c r="K6898" s="801" t="str">
        <f t="shared" si="206"/>
        <v>08,26</v>
      </c>
      <c r="L6898" s="801" t="s">
        <v>265</v>
      </c>
      <c r="M6898" s="801">
        <v>2310</v>
      </c>
      <c r="N6898" s="804">
        <v>0.375</v>
      </c>
      <c r="O6898" s="897" t="s">
        <v>1943</v>
      </c>
      <c r="P6898" s="867" t="s">
        <v>1967</v>
      </c>
    </row>
    <row r="6899" spans="1:17" ht="19.5" hidden="1" thickBot="1" x14ac:dyDescent="0.3">
      <c r="A6899" s="1022">
        <f>MAX(A6833:A6898)+1</f>
        <v>4298</v>
      </c>
      <c r="B6899" s="610" t="s">
        <v>1835</v>
      </c>
      <c r="C6899" s="480" t="s">
        <v>26</v>
      </c>
      <c r="D6899" s="481">
        <v>17.457999999999998</v>
      </c>
      <c r="E6899" s="482">
        <f>14.103+0.103</f>
        <v>14.206</v>
      </c>
      <c r="F6899" s="483" t="s">
        <v>16</v>
      </c>
      <c r="G6899" s="549"/>
      <c r="H6899" s="483" t="s">
        <v>1892</v>
      </c>
      <c r="I6899" s="484" t="s">
        <v>1892</v>
      </c>
      <c r="J6899" s="485"/>
      <c r="K6899" s="483" t="str">
        <f t="shared" si="206"/>
        <v>08,26</v>
      </c>
      <c r="L6899" s="483" t="s">
        <v>265</v>
      </c>
      <c r="M6899" s="483">
        <v>17619.18</v>
      </c>
      <c r="N6899" s="486">
        <v>0.41666666666666669</v>
      </c>
      <c r="O6899" s="897" t="s">
        <v>1895</v>
      </c>
      <c r="P6899" s="867" t="s">
        <v>1970</v>
      </c>
      <c r="Q6899" s="847" t="s">
        <v>1973</v>
      </c>
    </row>
    <row r="6900" spans="1:17" ht="19.5" hidden="1" thickBot="1" x14ac:dyDescent="0.3">
      <c r="A6900" s="963"/>
      <c r="B6900" s="792" t="s">
        <v>1891</v>
      </c>
      <c r="C6900" s="793" t="s">
        <v>26</v>
      </c>
      <c r="D6900" s="794">
        <v>1.1000000000000001</v>
      </c>
      <c r="E6900" s="794">
        <v>1.113</v>
      </c>
      <c r="F6900" s="795" t="s">
        <v>16</v>
      </c>
      <c r="G6900" s="796" t="s">
        <v>76</v>
      </c>
      <c r="H6900" s="795" t="s">
        <v>1892</v>
      </c>
      <c r="I6900" s="795" t="s">
        <v>1892</v>
      </c>
      <c r="J6900" s="797"/>
      <c r="K6900" s="795" t="str">
        <f t="shared" si="206"/>
        <v>08,26</v>
      </c>
      <c r="L6900" s="795" t="s">
        <v>265</v>
      </c>
      <c r="M6900" s="795">
        <v>1110</v>
      </c>
      <c r="N6900" s="502">
        <v>0.41666666666666669</v>
      </c>
      <c r="O6900" s="897" t="s">
        <v>1947</v>
      </c>
      <c r="P6900" s="867" t="s">
        <v>1971</v>
      </c>
    </row>
    <row r="6901" spans="1:17" ht="19.5" hidden="1" thickBot="1" x14ac:dyDescent="0.3">
      <c r="A6901" s="1018"/>
      <c r="B6901" s="805" t="s">
        <v>1891</v>
      </c>
      <c r="C6901" s="806" t="s">
        <v>26</v>
      </c>
      <c r="D6901" s="807">
        <v>2.2000000000000002</v>
      </c>
      <c r="E6901" s="807">
        <v>2.2309999999999999</v>
      </c>
      <c r="F6901" s="808" t="s">
        <v>16</v>
      </c>
      <c r="G6901" s="809" t="s">
        <v>76</v>
      </c>
      <c r="H6901" s="808" t="s">
        <v>1892</v>
      </c>
      <c r="I6901" s="808" t="s">
        <v>1892</v>
      </c>
      <c r="J6901" s="810"/>
      <c r="K6901" s="808" t="str">
        <f t="shared" si="206"/>
        <v>08,26</v>
      </c>
      <c r="L6901" s="808" t="s">
        <v>265</v>
      </c>
      <c r="M6901" s="808">
        <v>2220</v>
      </c>
      <c r="N6901" s="778">
        <v>0.41666666666666669</v>
      </c>
      <c r="O6901" s="897" t="s">
        <v>1944</v>
      </c>
      <c r="P6901" s="867" t="s">
        <v>1972</v>
      </c>
    </row>
    <row r="6902" spans="1:17" ht="57" hidden="1" thickBot="1" x14ac:dyDescent="0.3">
      <c r="A6902" s="957">
        <f>MAX(A6834:A6901)+1</f>
        <v>4299</v>
      </c>
      <c r="B6902" s="563" t="s">
        <v>1835</v>
      </c>
      <c r="C6902" s="564" t="s">
        <v>587</v>
      </c>
      <c r="D6902" s="565">
        <v>0.51700000000000002</v>
      </c>
      <c r="E6902" s="566">
        <v>0.373</v>
      </c>
      <c r="F6902" s="567" t="s">
        <v>16</v>
      </c>
      <c r="G6902" s="568" t="s">
        <v>794</v>
      </c>
      <c r="H6902" s="567" t="s">
        <v>1892</v>
      </c>
      <c r="I6902" s="569" t="s">
        <v>1903</v>
      </c>
      <c r="J6902" s="570"/>
      <c r="K6902" s="567" t="str">
        <f t="shared" si="206"/>
        <v>08,26</v>
      </c>
      <c r="L6902" s="567" t="s">
        <v>28</v>
      </c>
      <c r="M6902" s="567">
        <v>517.43999999999994</v>
      </c>
      <c r="N6902" s="571">
        <v>0.45833333333333331</v>
      </c>
      <c r="O6902" s="897" t="s">
        <v>1897</v>
      </c>
      <c r="P6902" s="867" t="s">
        <v>1974</v>
      </c>
    </row>
    <row r="6903" spans="1:17" ht="19.5" hidden="1" thickBot="1" x14ac:dyDescent="0.3">
      <c r="A6903" s="958"/>
      <c r="B6903" s="563" t="s">
        <v>1835</v>
      </c>
      <c r="C6903" s="564" t="s">
        <v>587</v>
      </c>
      <c r="D6903" s="565">
        <v>10.718</v>
      </c>
      <c r="E6903" s="566">
        <v>9.2070000000000007</v>
      </c>
      <c r="F6903" s="567" t="s">
        <v>16</v>
      </c>
      <c r="G6903" s="568" t="s">
        <v>47</v>
      </c>
      <c r="H6903" s="567" t="s">
        <v>1892</v>
      </c>
      <c r="I6903" s="569" t="s">
        <v>1903</v>
      </c>
      <c r="J6903" s="570"/>
      <c r="K6903" s="567" t="str">
        <f t="shared" si="206"/>
        <v>08,26</v>
      </c>
      <c r="L6903" s="567" t="s">
        <v>28</v>
      </c>
      <c r="M6903" s="567">
        <v>10718.320000000002</v>
      </c>
      <c r="N6903" s="571">
        <v>0.45833333333333331</v>
      </c>
      <c r="O6903" s="897" t="s">
        <v>1898</v>
      </c>
      <c r="P6903" s="867" t="s">
        <v>1975</v>
      </c>
    </row>
    <row r="6904" spans="1:17" ht="19.5" hidden="1" thickBot="1" x14ac:dyDescent="0.3">
      <c r="A6904" s="958"/>
      <c r="B6904" s="563" t="s">
        <v>1835</v>
      </c>
      <c r="C6904" s="564" t="s">
        <v>47</v>
      </c>
      <c r="D6904" s="565">
        <v>6.5919999999999996</v>
      </c>
      <c r="E6904" s="566">
        <v>5.101</v>
      </c>
      <c r="F6904" s="567" t="s">
        <v>16</v>
      </c>
      <c r="G6904" s="568"/>
      <c r="H6904" s="567" t="s">
        <v>1892</v>
      </c>
      <c r="I6904" s="569" t="s">
        <v>1903</v>
      </c>
      <c r="J6904" s="570"/>
      <c r="K6904" s="567" t="str">
        <f t="shared" si="206"/>
        <v>08,26</v>
      </c>
      <c r="L6904" s="567" t="s">
        <v>28</v>
      </c>
      <c r="M6904" s="567">
        <v>6721.67</v>
      </c>
      <c r="N6904" s="571">
        <v>0.45833333333333331</v>
      </c>
      <c r="O6904" s="897" t="s">
        <v>1896</v>
      </c>
      <c r="P6904" s="867" t="s">
        <v>1976</v>
      </c>
    </row>
    <row r="6905" spans="1:17" ht="19.5" hidden="1" thickBot="1" x14ac:dyDescent="0.3">
      <c r="A6905" s="958"/>
      <c r="B6905" s="836" t="s">
        <v>1891</v>
      </c>
      <c r="C6905" s="837" t="s">
        <v>47</v>
      </c>
      <c r="D6905" s="838">
        <v>3</v>
      </c>
      <c r="E6905" s="838">
        <v>3.0089999999999999</v>
      </c>
      <c r="F6905" s="839" t="s">
        <v>16</v>
      </c>
      <c r="G6905" s="850" t="s">
        <v>76</v>
      </c>
      <c r="H6905" s="839" t="s">
        <v>1892</v>
      </c>
      <c r="I6905" s="839" t="s">
        <v>1903</v>
      </c>
      <c r="J6905" s="840"/>
      <c r="K6905" s="839" t="str">
        <f t="shared" si="206"/>
        <v>08,26</v>
      </c>
      <c r="L6905" s="839" t="s">
        <v>28</v>
      </c>
      <c r="M6905" s="839">
        <v>3005.04</v>
      </c>
      <c r="N6905" s="598">
        <v>0.45833333333333331</v>
      </c>
      <c r="O6905" s="897" t="s">
        <v>1942</v>
      </c>
      <c r="P6905" s="867" t="s">
        <v>1977</v>
      </c>
    </row>
    <row r="6906" spans="1:17" ht="19.5" hidden="1" thickBot="1" x14ac:dyDescent="0.3">
      <c r="A6906" s="513">
        <f>MAX(A6837:A6905)+1</f>
        <v>4300</v>
      </c>
      <c r="B6906" s="514" t="s">
        <v>1864</v>
      </c>
      <c r="C6906" s="515" t="s">
        <v>26</v>
      </c>
      <c r="D6906" s="516">
        <v>13.756</v>
      </c>
      <c r="E6906" s="517">
        <v>13.753</v>
      </c>
      <c r="F6906" s="518" t="s">
        <v>30</v>
      </c>
      <c r="G6906" s="519"/>
      <c r="H6906" s="518" t="s">
        <v>1892</v>
      </c>
      <c r="I6906" s="520" t="s">
        <v>1903</v>
      </c>
      <c r="J6906" s="521"/>
      <c r="K6906" s="518" t="str">
        <f t="shared" si="206"/>
        <v>08,26</v>
      </c>
      <c r="L6906" s="518" t="s">
        <v>265</v>
      </c>
      <c r="M6906" s="518">
        <v>13753.279999999999</v>
      </c>
      <c r="N6906" s="522">
        <v>0.375</v>
      </c>
      <c r="O6906" s="897" t="s">
        <v>1902</v>
      </c>
      <c r="P6906" s="867" t="s">
        <v>1956</v>
      </c>
    </row>
    <row r="6907" spans="1:17" ht="19.5" hidden="1" thickBot="1" x14ac:dyDescent="0.3">
      <c r="A6907" s="503">
        <f>MAX(A6838:A6906)+1</f>
        <v>4301</v>
      </c>
      <c r="B6907" s="504" t="s">
        <v>1864</v>
      </c>
      <c r="C6907" s="505" t="s">
        <v>913</v>
      </c>
      <c r="D6907" s="506">
        <v>11.68</v>
      </c>
      <c r="E6907" s="507">
        <v>10.739000000000001</v>
      </c>
      <c r="F6907" s="508" t="s">
        <v>30</v>
      </c>
      <c r="G6907" s="509"/>
      <c r="H6907" s="508" t="s">
        <v>1892</v>
      </c>
      <c r="I6907" s="510" t="s">
        <v>2049</v>
      </c>
      <c r="J6907" s="511"/>
      <c r="K6907" s="518" t="str">
        <f t="shared" si="206"/>
        <v>08,26</v>
      </c>
      <c r="L6907" s="508" t="s">
        <v>266</v>
      </c>
      <c r="M6907" s="508">
        <v>11680.56</v>
      </c>
      <c r="N6907" s="512">
        <v>0.41666666666666669</v>
      </c>
      <c r="O6907" s="897" t="s">
        <v>1901</v>
      </c>
      <c r="P6907" s="867" t="s">
        <v>2104</v>
      </c>
    </row>
    <row r="6908" spans="1:17" ht="19.5" hidden="1" thickBot="1" x14ac:dyDescent="0.3">
      <c r="A6908" s="954">
        <f>MAX(A6839:A6907)+1</f>
        <v>4302</v>
      </c>
      <c r="B6908" s="479" t="s">
        <v>1864</v>
      </c>
      <c r="C6908" s="480" t="s">
        <v>32</v>
      </c>
      <c r="D6908" s="481">
        <v>5.0579999999999998</v>
      </c>
      <c r="E6908" s="482">
        <v>5.0039999999999996</v>
      </c>
      <c r="F6908" s="483" t="s">
        <v>16</v>
      </c>
      <c r="G6908" s="549" t="s">
        <v>1702</v>
      </c>
      <c r="H6908" s="483" t="s">
        <v>1892</v>
      </c>
      <c r="I6908" s="484" t="s">
        <v>1903</v>
      </c>
      <c r="J6908" s="485"/>
      <c r="K6908" s="483" t="str">
        <f t="shared" si="206"/>
        <v>08,26</v>
      </c>
      <c r="L6908" s="483" t="s">
        <v>266</v>
      </c>
      <c r="M6908" s="483">
        <v>5061.3999999999996</v>
      </c>
      <c r="N6908" s="486">
        <v>0.5</v>
      </c>
      <c r="O6908" s="897" t="s">
        <v>1907</v>
      </c>
      <c r="P6908" s="867" t="s">
        <v>1978</v>
      </c>
      <c r="Q6908" s="900"/>
    </row>
    <row r="6909" spans="1:17" ht="19.5" hidden="1" thickBot="1" x14ac:dyDescent="0.3">
      <c r="A6909" s="955"/>
      <c r="B6909" s="523" t="s">
        <v>1864</v>
      </c>
      <c r="C6909" s="524" t="s">
        <v>41</v>
      </c>
      <c r="D6909" s="525">
        <v>6.1</v>
      </c>
      <c r="E6909" s="526">
        <v>6.0369999999999999</v>
      </c>
      <c r="F6909" s="527" t="s">
        <v>16</v>
      </c>
      <c r="G6909" s="561" t="s">
        <v>844</v>
      </c>
      <c r="H6909" s="527" t="s">
        <v>1892</v>
      </c>
      <c r="I6909" s="528" t="s">
        <v>1903</v>
      </c>
      <c r="J6909" s="529"/>
      <c r="K6909" s="527" t="str">
        <f t="shared" si="206"/>
        <v>08,26</v>
      </c>
      <c r="L6909" s="527" t="s">
        <v>266</v>
      </c>
      <c r="M6909" s="527">
        <v>6174.7400000000007</v>
      </c>
      <c r="N6909" s="530">
        <v>0.5</v>
      </c>
      <c r="O6909" s="897" t="s">
        <v>1904</v>
      </c>
      <c r="P6909" s="867" t="s">
        <v>1979</v>
      </c>
      <c r="Q6909" s="900"/>
    </row>
    <row r="6910" spans="1:17" ht="19.5" hidden="1" thickBot="1" x14ac:dyDescent="0.3">
      <c r="A6910" s="955"/>
      <c r="B6910" s="911" t="s">
        <v>1864</v>
      </c>
      <c r="C6910" s="912" t="s">
        <v>41</v>
      </c>
      <c r="D6910" s="913">
        <v>5</v>
      </c>
      <c r="E6910" s="914" t="s">
        <v>1496</v>
      </c>
      <c r="F6910" s="915" t="s">
        <v>16</v>
      </c>
      <c r="G6910" s="916" t="s">
        <v>845</v>
      </c>
      <c r="H6910" s="915" t="s">
        <v>1892</v>
      </c>
      <c r="I6910" s="917" t="s">
        <v>1496</v>
      </c>
      <c r="J6910" s="918"/>
      <c r="K6910" s="915" t="str">
        <f t="shared" si="206"/>
        <v>тмена</v>
      </c>
      <c r="L6910" s="915" t="s">
        <v>266</v>
      </c>
      <c r="M6910" s="915">
        <v>5007.5999999999995</v>
      </c>
      <c r="N6910" s="919">
        <v>0.5</v>
      </c>
      <c r="O6910" s="920" t="s">
        <v>1906</v>
      </c>
      <c r="P6910" s="921" t="s">
        <v>1024</v>
      </c>
      <c r="Q6910" s="900"/>
    </row>
    <row r="6911" spans="1:17" ht="19.5" hidden="1" thickBot="1" x14ac:dyDescent="0.3">
      <c r="A6911" s="956"/>
      <c r="B6911" s="645" t="s">
        <v>1864</v>
      </c>
      <c r="C6911" s="646" t="s">
        <v>981</v>
      </c>
      <c r="D6911" s="647">
        <v>7.0598000000000001</v>
      </c>
      <c r="E6911" s="648">
        <v>5.8010000000000002</v>
      </c>
      <c r="F6911" s="649" t="s">
        <v>16</v>
      </c>
      <c r="G6911" s="650"/>
      <c r="H6911" s="649" t="s">
        <v>1892</v>
      </c>
      <c r="I6911" s="651" t="s">
        <v>1903</v>
      </c>
      <c r="J6911" s="652"/>
      <c r="K6911" s="649" t="str">
        <f t="shared" si="206"/>
        <v>08,26</v>
      </c>
      <c r="L6911" s="649" t="s">
        <v>266</v>
      </c>
      <c r="M6911" s="649">
        <v>7059.08</v>
      </c>
      <c r="N6911" s="653">
        <v>0.5</v>
      </c>
      <c r="O6911" s="897" t="s">
        <v>1905</v>
      </c>
      <c r="P6911" s="867" t="s">
        <v>1980</v>
      </c>
      <c r="Q6911" s="900"/>
    </row>
    <row r="6912" spans="1:17" ht="38.25" hidden="1" thickBot="1" x14ac:dyDescent="0.3">
      <c r="A6912" s="1024">
        <f>MAX(A6843:A6911)+1</f>
        <v>4303</v>
      </c>
      <c r="B6912" s="750" t="s">
        <v>1864</v>
      </c>
      <c r="C6912" s="751" t="s">
        <v>23</v>
      </c>
      <c r="D6912" s="752">
        <v>5</v>
      </c>
      <c r="E6912" s="753" t="s">
        <v>1496</v>
      </c>
      <c r="F6912" s="754" t="s">
        <v>16</v>
      </c>
      <c r="G6912" s="931" t="s">
        <v>1900</v>
      </c>
      <c r="H6912" s="754" t="s">
        <v>1892</v>
      </c>
      <c r="I6912" s="932" t="s">
        <v>1496</v>
      </c>
      <c r="J6912" s="755"/>
      <c r="K6912" s="754" t="str">
        <f t="shared" si="206"/>
        <v>тмена</v>
      </c>
      <c r="L6912" s="754" t="s">
        <v>28</v>
      </c>
      <c r="M6912" s="754">
        <v>5007.5999999999995</v>
      </c>
      <c r="N6912" s="756">
        <v>0.58333333333333337</v>
      </c>
      <c r="O6912" s="920" t="s">
        <v>1908</v>
      </c>
      <c r="P6912" s="921" t="s">
        <v>1024</v>
      </c>
    </row>
    <row r="6913" spans="1:16" ht="38.25" hidden="1" thickBot="1" x14ac:dyDescent="0.3">
      <c r="A6913" s="1025"/>
      <c r="B6913" s="933" t="s">
        <v>1864</v>
      </c>
      <c r="C6913" s="934" t="s">
        <v>23</v>
      </c>
      <c r="D6913" s="935">
        <v>5</v>
      </c>
      <c r="E6913" s="936" t="s">
        <v>1496</v>
      </c>
      <c r="F6913" s="937" t="s">
        <v>16</v>
      </c>
      <c r="G6913" s="938" t="s">
        <v>1900</v>
      </c>
      <c r="H6913" s="937" t="s">
        <v>1892</v>
      </c>
      <c r="I6913" s="939" t="s">
        <v>1496</v>
      </c>
      <c r="J6913" s="940"/>
      <c r="K6913" s="937" t="str">
        <f t="shared" si="206"/>
        <v>тмена</v>
      </c>
      <c r="L6913" s="937" t="s">
        <v>28</v>
      </c>
      <c r="M6913" s="937">
        <v>5007.5999999999995</v>
      </c>
      <c r="N6913" s="941">
        <v>0.58333333333333337</v>
      </c>
      <c r="O6913" s="920" t="s">
        <v>1909</v>
      </c>
      <c r="P6913" s="921" t="s">
        <v>1024</v>
      </c>
    </row>
    <row r="6914" spans="1:16" ht="19.5" hidden="1" thickBot="1" x14ac:dyDescent="0.3">
      <c r="A6914" s="662">
        <f>MAX(A6845:A6913)+1</f>
        <v>4304</v>
      </c>
      <c r="B6914" s="663" t="s">
        <v>1864</v>
      </c>
      <c r="C6914" s="664" t="s">
        <v>32</v>
      </c>
      <c r="D6914" s="665">
        <v>17.8</v>
      </c>
      <c r="E6914" s="666" t="s">
        <v>1496</v>
      </c>
      <c r="F6914" s="667" t="s">
        <v>16</v>
      </c>
      <c r="G6914" s="668"/>
      <c r="H6914" s="667" t="s">
        <v>1892</v>
      </c>
      <c r="I6914" s="669" t="s">
        <v>1496</v>
      </c>
      <c r="J6914" s="670"/>
      <c r="K6914" s="667" t="str">
        <f t="shared" si="206"/>
        <v>тмена</v>
      </c>
      <c r="L6914" s="667" t="s">
        <v>266</v>
      </c>
      <c r="M6914" s="667">
        <v>17807.399999999998</v>
      </c>
      <c r="N6914" s="671">
        <v>0.54166666666666663</v>
      </c>
      <c r="O6914" s="920" t="s">
        <v>1912</v>
      </c>
      <c r="P6914" s="921" t="s">
        <v>1024</v>
      </c>
    </row>
    <row r="6915" spans="1:16" ht="19.5" hidden="1" thickBot="1" x14ac:dyDescent="0.3">
      <c r="A6915" s="957">
        <f>MAX(A6846:A6914)+1</f>
        <v>4305</v>
      </c>
      <c r="B6915" s="531" t="s">
        <v>1864</v>
      </c>
      <c r="C6915" s="532" t="s">
        <v>26</v>
      </c>
      <c r="D6915" s="533">
        <v>14.837</v>
      </c>
      <c r="E6915" s="534">
        <v>11.698</v>
      </c>
      <c r="F6915" s="535" t="s">
        <v>16</v>
      </c>
      <c r="G6915" s="536"/>
      <c r="H6915" s="535" t="s">
        <v>1903</v>
      </c>
      <c r="I6915" s="537" t="s">
        <v>1903</v>
      </c>
      <c r="J6915" s="538"/>
      <c r="K6915" s="535" t="str">
        <f t="shared" si="206"/>
        <v>08,26</v>
      </c>
      <c r="L6915" s="535" t="s">
        <v>265</v>
      </c>
      <c r="M6915" s="535">
        <v>14972.180000000002</v>
      </c>
      <c r="N6915" s="539">
        <v>0.375</v>
      </c>
      <c r="O6915" s="897" t="s">
        <v>1913</v>
      </c>
      <c r="P6915" s="867" t="s">
        <v>1960</v>
      </c>
    </row>
    <row r="6916" spans="1:16" ht="19.5" hidden="1" thickBot="1" x14ac:dyDescent="0.3">
      <c r="A6916" s="958"/>
      <c r="B6916" s="905" t="s">
        <v>1903</v>
      </c>
      <c r="C6916" s="906" t="s">
        <v>26</v>
      </c>
      <c r="D6916" s="907">
        <v>0.7</v>
      </c>
      <c r="E6916" s="907">
        <v>0.71899999999999997</v>
      </c>
      <c r="F6916" s="908" t="s">
        <v>16</v>
      </c>
      <c r="G6916" s="909" t="s">
        <v>76</v>
      </c>
      <c r="H6916" s="908" t="s">
        <v>1903</v>
      </c>
      <c r="I6916" s="908" t="s">
        <v>1903</v>
      </c>
      <c r="J6916" s="910"/>
      <c r="K6916" s="908" t="str">
        <f t="shared" si="206"/>
        <v>08,26</v>
      </c>
      <c r="L6916" s="908" t="s">
        <v>265</v>
      </c>
      <c r="M6916" s="908">
        <v>720</v>
      </c>
      <c r="N6916" s="571">
        <v>0.375</v>
      </c>
      <c r="O6916" s="897" t="s">
        <v>1949</v>
      </c>
      <c r="P6916" s="867" t="s">
        <v>1961</v>
      </c>
    </row>
    <row r="6917" spans="1:16" ht="19.5" hidden="1" thickBot="1" x14ac:dyDescent="0.3">
      <c r="A6917" s="958"/>
      <c r="B6917" s="905" t="s">
        <v>1903</v>
      </c>
      <c r="C6917" s="906" t="s">
        <v>26</v>
      </c>
      <c r="D6917" s="907">
        <v>3.1</v>
      </c>
      <c r="E6917" s="907">
        <v>2.7789999999999999</v>
      </c>
      <c r="F6917" s="908" t="s">
        <v>16</v>
      </c>
      <c r="G6917" s="909" t="s">
        <v>76</v>
      </c>
      <c r="H6917" s="908" t="s">
        <v>1903</v>
      </c>
      <c r="I6917" s="908" t="s">
        <v>1903</v>
      </c>
      <c r="J6917" s="910"/>
      <c r="K6917" s="908" t="str">
        <f t="shared" si="206"/>
        <v>08,26</v>
      </c>
      <c r="L6917" s="908" t="s">
        <v>265</v>
      </c>
      <c r="M6917" s="908">
        <v>3120</v>
      </c>
      <c r="N6917" s="571">
        <v>0.375</v>
      </c>
      <c r="O6917" s="897" t="s">
        <v>1950</v>
      </c>
      <c r="P6917" s="867" t="s">
        <v>1962</v>
      </c>
    </row>
    <row r="6918" spans="1:16" ht="19.5" hidden="1" thickBot="1" x14ac:dyDescent="0.3">
      <c r="A6918" s="958"/>
      <c r="B6918" s="563" t="s">
        <v>1864</v>
      </c>
      <c r="C6918" s="564" t="s">
        <v>952</v>
      </c>
      <c r="D6918" s="565">
        <v>2.3929999999999998</v>
      </c>
      <c r="E6918" s="566">
        <v>2.3180000000000001</v>
      </c>
      <c r="F6918" s="567" t="s">
        <v>16</v>
      </c>
      <c r="G6918" s="568" t="s">
        <v>844</v>
      </c>
      <c r="H6918" s="567" t="s">
        <v>1903</v>
      </c>
      <c r="I6918" s="569" t="s">
        <v>1903</v>
      </c>
      <c r="J6918" s="570"/>
      <c r="K6918" s="567" t="str">
        <f t="shared" si="206"/>
        <v>08,26</v>
      </c>
      <c r="L6918" s="567" t="s">
        <v>265</v>
      </c>
      <c r="M6918" s="567">
        <v>2490.54</v>
      </c>
      <c r="N6918" s="571">
        <v>0.375</v>
      </c>
      <c r="O6918" s="897" t="s">
        <v>1916</v>
      </c>
      <c r="P6918" s="867" t="s">
        <v>1963</v>
      </c>
    </row>
    <row r="6919" spans="1:16" ht="19.5" hidden="1" thickBot="1" x14ac:dyDescent="0.3">
      <c r="A6919" s="961"/>
      <c r="B6919" s="636" t="s">
        <v>1864</v>
      </c>
      <c r="C6919" s="637" t="s">
        <v>952</v>
      </c>
      <c r="D6919" s="656">
        <v>4.8000000000000001E-2</v>
      </c>
      <c r="E6919" s="639">
        <v>5.8000000000000003E-2</v>
      </c>
      <c r="F6919" s="640" t="s">
        <v>16</v>
      </c>
      <c r="G6919" s="641" t="s">
        <v>845</v>
      </c>
      <c r="H6919" s="640" t="s">
        <v>1903</v>
      </c>
      <c r="I6919" s="642" t="s">
        <v>1903</v>
      </c>
      <c r="J6919" s="643"/>
      <c r="K6919" s="640" t="str">
        <f t="shared" si="206"/>
        <v>08,26</v>
      </c>
      <c r="L6919" s="640" t="s">
        <v>265</v>
      </c>
      <c r="M6919" s="640">
        <v>57.12</v>
      </c>
      <c r="N6919" s="644">
        <v>0.375</v>
      </c>
      <c r="O6919" s="897" t="s">
        <v>1914</v>
      </c>
      <c r="P6919" s="867" t="s">
        <v>1964</v>
      </c>
    </row>
    <row r="6920" spans="1:16" ht="19.5" hidden="1" thickBot="1" x14ac:dyDescent="0.3">
      <c r="A6920" s="954">
        <f>MAX(A6849:A6919)+1</f>
        <v>4306</v>
      </c>
      <c r="B6920" s="610" t="s">
        <v>1864</v>
      </c>
      <c r="C6920" s="480" t="s">
        <v>23</v>
      </c>
      <c r="D6920" s="481">
        <v>17.588999999999999</v>
      </c>
      <c r="E6920" s="482">
        <v>15.727</v>
      </c>
      <c r="F6920" s="483" t="s">
        <v>16</v>
      </c>
      <c r="G6920" s="899"/>
      <c r="H6920" s="483" t="s">
        <v>1903</v>
      </c>
      <c r="I6920" s="484" t="s">
        <v>1903</v>
      </c>
      <c r="J6920" s="485"/>
      <c r="K6920" s="483" t="str">
        <f t="shared" si="206"/>
        <v>08,26</v>
      </c>
      <c r="L6920" s="483" t="s">
        <v>28</v>
      </c>
      <c r="M6920" s="483">
        <v>17697.579999999998</v>
      </c>
      <c r="N6920" s="486">
        <v>0.41666666666666669</v>
      </c>
      <c r="O6920" s="897" t="s">
        <v>1915</v>
      </c>
      <c r="P6920" s="867" t="s">
        <v>1981</v>
      </c>
    </row>
    <row r="6921" spans="1:16" ht="19.5" hidden="1" thickBot="1" x14ac:dyDescent="0.3">
      <c r="A6921" s="955"/>
      <c r="B6921" s="792" t="s">
        <v>1903</v>
      </c>
      <c r="C6921" s="793" t="s">
        <v>23</v>
      </c>
      <c r="D6921" s="794">
        <v>2</v>
      </c>
      <c r="E6921" s="794">
        <v>0.80700000000000005</v>
      </c>
      <c r="F6921" s="795" t="s">
        <v>16</v>
      </c>
      <c r="G6921" s="903" t="s">
        <v>76</v>
      </c>
      <c r="H6921" s="795" t="s">
        <v>1903</v>
      </c>
      <c r="I6921" s="795" t="s">
        <v>1903</v>
      </c>
      <c r="J6921" s="797"/>
      <c r="K6921" s="795" t="str">
        <f t="shared" si="206"/>
        <v>08,26</v>
      </c>
      <c r="L6921" s="795" t="s">
        <v>28</v>
      </c>
      <c r="M6921" s="795">
        <v>2011.7999999999997</v>
      </c>
      <c r="N6921" s="502">
        <v>0.41666666666666669</v>
      </c>
      <c r="O6921" s="897" t="s">
        <v>1953</v>
      </c>
      <c r="P6921" s="867" t="s">
        <v>1982</v>
      </c>
    </row>
    <row r="6922" spans="1:16" ht="19.5" hidden="1" thickBot="1" x14ac:dyDescent="0.3">
      <c r="A6922" s="956"/>
      <c r="B6922" s="805" t="s">
        <v>1892</v>
      </c>
      <c r="C6922" s="806" t="s">
        <v>23</v>
      </c>
      <c r="D6922" s="807">
        <v>1</v>
      </c>
      <c r="E6922" s="807">
        <v>1.0129999999999999</v>
      </c>
      <c r="F6922" s="808" t="s">
        <v>16</v>
      </c>
      <c r="G6922" s="902" t="s">
        <v>76</v>
      </c>
      <c r="H6922" s="808" t="s">
        <v>1903</v>
      </c>
      <c r="I6922" s="808" t="s">
        <v>1903</v>
      </c>
      <c r="J6922" s="810"/>
      <c r="K6922" s="808" t="str">
        <f t="shared" si="206"/>
        <v>08,26</v>
      </c>
      <c r="L6922" s="808" t="s">
        <v>28</v>
      </c>
      <c r="M6922" s="808">
        <v>1009.2</v>
      </c>
      <c r="N6922" s="778">
        <v>0.41666666666666669</v>
      </c>
      <c r="O6922" s="897" t="s">
        <v>1948</v>
      </c>
      <c r="P6922" s="867" t="s">
        <v>1983</v>
      </c>
    </row>
    <row r="6923" spans="1:16" ht="19.5" hidden="1" thickBot="1" x14ac:dyDescent="0.3">
      <c r="A6923" s="503">
        <f>MAX(A6850:A6920)+1</f>
        <v>4307</v>
      </c>
      <c r="B6923" s="504" t="s">
        <v>1891</v>
      </c>
      <c r="C6923" s="505" t="s">
        <v>26</v>
      </c>
      <c r="D6923" s="506">
        <v>14.951000000000001</v>
      </c>
      <c r="E6923" s="507">
        <v>14.951000000000001</v>
      </c>
      <c r="F6923" s="508" t="s">
        <v>30</v>
      </c>
      <c r="G6923" s="509"/>
      <c r="H6923" s="508" t="s">
        <v>1926</v>
      </c>
      <c r="I6923" s="510" t="s">
        <v>1928</v>
      </c>
      <c r="J6923" s="511"/>
      <c r="K6923" s="508" t="str">
        <f t="shared" si="206"/>
        <v>08,26</v>
      </c>
      <c r="L6923" s="508" t="s">
        <v>265</v>
      </c>
      <c r="M6923" s="508">
        <v>14951.8</v>
      </c>
      <c r="N6923" s="512">
        <v>0.375</v>
      </c>
      <c r="O6923" s="897" t="s">
        <v>1927</v>
      </c>
      <c r="P6923" s="867" t="s">
        <v>2014</v>
      </c>
    </row>
    <row r="6924" spans="1:16" ht="19.5" hidden="1" thickBot="1" x14ac:dyDescent="0.3">
      <c r="A6924" s="954">
        <f>MAX(A6851:A6923)+1</f>
        <v>4308</v>
      </c>
      <c r="B6924" s="610" t="s">
        <v>1891</v>
      </c>
      <c r="C6924" s="480" t="s">
        <v>26</v>
      </c>
      <c r="D6924" s="481">
        <v>17.448</v>
      </c>
      <c r="E6924" s="482">
        <v>13.516999999999999</v>
      </c>
      <c r="F6924" s="483" t="s">
        <v>16</v>
      </c>
      <c r="G6924" s="899"/>
      <c r="H6924" s="483" t="s">
        <v>1926</v>
      </c>
      <c r="I6924" s="484" t="s">
        <v>1926</v>
      </c>
      <c r="J6924" s="485"/>
      <c r="K6924" s="483" t="str">
        <f t="shared" si="206"/>
        <v>08,26</v>
      </c>
      <c r="L6924" s="483" t="s">
        <v>265</v>
      </c>
      <c r="M6924" s="483">
        <v>17579.580000000002</v>
      </c>
      <c r="N6924" s="486">
        <v>0.375</v>
      </c>
      <c r="O6924" s="897" t="s">
        <v>1929</v>
      </c>
      <c r="P6924" s="867" t="s">
        <v>1994</v>
      </c>
    </row>
    <row r="6925" spans="1:16" ht="19.5" hidden="1" thickBot="1" x14ac:dyDescent="0.3">
      <c r="A6925" s="956"/>
      <c r="B6925" s="805" t="s">
        <v>1903</v>
      </c>
      <c r="C6925" s="806" t="s">
        <v>26</v>
      </c>
      <c r="D6925" s="807">
        <v>3.85</v>
      </c>
      <c r="E6925" s="807">
        <v>3.8929999999999998</v>
      </c>
      <c r="F6925" s="808" t="s">
        <v>16</v>
      </c>
      <c r="G6925" s="902" t="s">
        <v>76</v>
      </c>
      <c r="H6925" s="808" t="s">
        <v>1926</v>
      </c>
      <c r="I6925" s="808" t="s">
        <v>1926</v>
      </c>
      <c r="J6925" s="810"/>
      <c r="K6925" s="808" t="str">
        <f t="shared" ref="K6925:K6988" si="208">RIGHT(I6925,5)</f>
        <v>08,26</v>
      </c>
      <c r="L6925" s="808" t="s">
        <v>265</v>
      </c>
      <c r="M6925" s="808">
        <v>3870</v>
      </c>
      <c r="N6925" s="778">
        <v>0.375</v>
      </c>
      <c r="O6925" s="897" t="s">
        <v>1951</v>
      </c>
      <c r="P6925" s="867" t="s">
        <v>1995</v>
      </c>
    </row>
    <row r="6926" spans="1:16" ht="19.5" hidden="1" thickBot="1" x14ac:dyDescent="0.3">
      <c r="A6926" s="959">
        <f>MAX(A6852:A6925)+1</f>
        <v>4309</v>
      </c>
      <c r="B6926" s="759" t="s">
        <v>1891</v>
      </c>
      <c r="C6926" s="532" t="s">
        <v>26</v>
      </c>
      <c r="D6926" s="533">
        <v>17.43</v>
      </c>
      <c r="E6926" s="534">
        <v>13.782999999999999</v>
      </c>
      <c r="F6926" s="535" t="s">
        <v>16</v>
      </c>
      <c r="G6926" s="898"/>
      <c r="H6926" s="535" t="s">
        <v>1926</v>
      </c>
      <c r="I6926" s="537" t="s">
        <v>1926</v>
      </c>
      <c r="J6926" s="538"/>
      <c r="K6926" s="535" t="str">
        <f t="shared" si="208"/>
        <v>08,26</v>
      </c>
      <c r="L6926" s="567" t="s">
        <v>265</v>
      </c>
      <c r="M6926" s="567">
        <v>17560.620000000003</v>
      </c>
      <c r="N6926" s="571">
        <v>0.41666666666666669</v>
      </c>
      <c r="O6926" s="897" t="s">
        <v>1933</v>
      </c>
      <c r="P6926" s="867" t="s">
        <v>1998</v>
      </c>
    </row>
    <row r="6927" spans="1:16" ht="19.5" hidden="1" thickBot="1" x14ac:dyDescent="0.3">
      <c r="A6927" s="960"/>
      <c r="B6927" s="798" t="s">
        <v>1903</v>
      </c>
      <c r="C6927" s="799" t="s">
        <v>26</v>
      </c>
      <c r="D6927" s="800">
        <v>3.7</v>
      </c>
      <c r="E6927" s="800">
        <v>3.738</v>
      </c>
      <c r="F6927" s="801" t="s">
        <v>16</v>
      </c>
      <c r="G6927" s="942" t="s">
        <v>76</v>
      </c>
      <c r="H6927" s="801" t="s">
        <v>1926</v>
      </c>
      <c r="I6927" s="801" t="s">
        <v>1926</v>
      </c>
      <c r="J6927" s="803"/>
      <c r="K6927" s="801" t="str">
        <f t="shared" si="208"/>
        <v>08,26</v>
      </c>
      <c r="L6927" s="801" t="s">
        <v>265</v>
      </c>
      <c r="M6927" s="801">
        <v>3720</v>
      </c>
      <c r="N6927" s="804">
        <v>0.41666666666666669</v>
      </c>
      <c r="O6927" s="897" t="s">
        <v>1952</v>
      </c>
      <c r="P6927" s="867" t="s">
        <v>1999</v>
      </c>
    </row>
    <row r="6928" spans="1:16" ht="19.5" hidden="1" thickBot="1" x14ac:dyDescent="0.3">
      <c r="A6928" s="954">
        <f>MAX(A6853:A6927)+1</f>
        <v>4310</v>
      </c>
      <c r="B6928" s="610" t="s">
        <v>1891</v>
      </c>
      <c r="C6928" s="480" t="s">
        <v>480</v>
      </c>
      <c r="D6928" s="481">
        <v>6.08</v>
      </c>
      <c r="E6928" s="482">
        <v>4.9889999999999999</v>
      </c>
      <c r="F6928" s="483" t="s">
        <v>16</v>
      </c>
      <c r="G6928" s="549"/>
      <c r="H6928" s="483" t="s">
        <v>1926</v>
      </c>
      <c r="I6928" s="484" t="s">
        <v>1926</v>
      </c>
      <c r="J6928" s="485"/>
      <c r="K6928" s="483" t="str">
        <f t="shared" si="208"/>
        <v>08,26</v>
      </c>
      <c r="L6928" s="483" t="s">
        <v>266</v>
      </c>
      <c r="M6928" s="483">
        <v>6141.4000000000015</v>
      </c>
      <c r="N6928" s="486">
        <v>0.45833333333333331</v>
      </c>
      <c r="O6928" s="897" t="s">
        <v>1937</v>
      </c>
      <c r="P6928" s="867" t="s">
        <v>2000</v>
      </c>
    </row>
    <row r="6929" spans="1:18" ht="19.5" hidden="1" thickBot="1" x14ac:dyDescent="0.3">
      <c r="A6929" s="955"/>
      <c r="B6929" s="769" t="s">
        <v>1891</v>
      </c>
      <c r="C6929" s="764" t="s">
        <v>913</v>
      </c>
      <c r="D6929" s="765">
        <v>2.2989999999999999</v>
      </c>
      <c r="E6929" s="766">
        <v>2.1219999999999999</v>
      </c>
      <c r="F6929" s="763" t="s">
        <v>16</v>
      </c>
      <c r="G6929" s="767"/>
      <c r="H6929" s="763" t="s">
        <v>1926</v>
      </c>
      <c r="I6929" s="768" t="s">
        <v>1926</v>
      </c>
      <c r="J6929" s="779"/>
      <c r="K6929" s="763" t="str">
        <f t="shared" si="208"/>
        <v>08,26</v>
      </c>
      <c r="L6929" s="763" t="s">
        <v>266</v>
      </c>
      <c r="M6929" s="763">
        <v>2316.8000000000002</v>
      </c>
      <c r="N6929" s="770">
        <v>0.45833333333333331</v>
      </c>
      <c r="O6929" s="897" t="s">
        <v>1936</v>
      </c>
      <c r="P6929" s="867" t="s">
        <v>2001</v>
      </c>
    </row>
    <row r="6930" spans="1:18" ht="19.5" hidden="1" thickBot="1" x14ac:dyDescent="0.3">
      <c r="A6930" s="955"/>
      <c r="B6930" s="769" t="s">
        <v>1891</v>
      </c>
      <c r="C6930" s="764" t="s">
        <v>23</v>
      </c>
      <c r="D6930" s="765">
        <v>9.0180000000000007</v>
      </c>
      <c r="E6930" s="766">
        <v>7.9450000000000003</v>
      </c>
      <c r="F6930" s="763" t="s">
        <v>16</v>
      </c>
      <c r="G6930" s="767"/>
      <c r="H6930" s="763" t="s">
        <v>1926</v>
      </c>
      <c r="I6930" s="768" t="s">
        <v>1926</v>
      </c>
      <c r="J6930" s="779"/>
      <c r="K6930" s="763" t="str">
        <f t="shared" si="208"/>
        <v>08,26</v>
      </c>
      <c r="L6930" s="763" t="s">
        <v>28</v>
      </c>
      <c r="M6930" s="763">
        <v>9080.2800000000007</v>
      </c>
      <c r="N6930" s="770">
        <v>0.45833333333333331</v>
      </c>
      <c r="O6930" s="897" t="s">
        <v>1935</v>
      </c>
      <c r="P6930" s="867" t="s">
        <v>2002</v>
      </c>
    </row>
    <row r="6931" spans="1:18" ht="19.5" hidden="1" thickBot="1" x14ac:dyDescent="0.3">
      <c r="A6931" s="956"/>
      <c r="B6931" s="841" t="s">
        <v>1926</v>
      </c>
      <c r="C6931" s="842" t="s">
        <v>23</v>
      </c>
      <c r="D6931" s="843">
        <v>2.48</v>
      </c>
      <c r="E6931" s="843">
        <v>2.5059999999999998</v>
      </c>
      <c r="F6931" s="844" t="s">
        <v>16</v>
      </c>
      <c r="G6931" s="851" t="s">
        <v>76</v>
      </c>
      <c r="H6931" s="844" t="s">
        <v>1926</v>
      </c>
      <c r="I6931" s="844" t="s">
        <v>1926</v>
      </c>
      <c r="J6931" s="845"/>
      <c r="K6931" s="844" t="str">
        <f t="shared" si="208"/>
        <v>08,26</v>
      </c>
      <c r="L6931" s="844" t="s">
        <v>28</v>
      </c>
      <c r="M6931" s="844">
        <v>2497.62</v>
      </c>
      <c r="N6931" s="846">
        <v>0.45833333333333331</v>
      </c>
      <c r="O6931" s="897" t="s">
        <v>1988</v>
      </c>
      <c r="P6931" s="867" t="s">
        <v>2003</v>
      </c>
    </row>
    <row r="6932" spans="1:18" ht="19.5" hidden="1" thickBot="1" x14ac:dyDescent="0.3">
      <c r="A6932" s="959">
        <f>MAX(A6856:A6931)+1</f>
        <v>4311</v>
      </c>
      <c r="B6932" s="759" t="s">
        <v>1891</v>
      </c>
      <c r="C6932" s="532" t="s">
        <v>23</v>
      </c>
      <c r="D6932" s="533">
        <v>17.013999999999999</v>
      </c>
      <c r="E6932" s="534"/>
      <c r="F6932" s="535" t="s">
        <v>16</v>
      </c>
      <c r="G6932" s="970" t="s">
        <v>1634</v>
      </c>
      <c r="H6932" s="535" t="s">
        <v>1926</v>
      </c>
      <c r="I6932" s="537" t="s">
        <v>1928</v>
      </c>
      <c r="J6932" s="538"/>
      <c r="K6932" s="535" t="str">
        <f t="shared" si="208"/>
        <v>08,26</v>
      </c>
      <c r="L6932" s="535" t="s">
        <v>28</v>
      </c>
      <c r="M6932" s="535">
        <v>17161.580000000002</v>
      </c>
      <c r="N6932" s="539">
        <v>0.5</v>
      </c>
      <c r="O6932" s="897" t="s">
        <v>1938</v>
      </c>
      <c r="P6932" s="867" t="s">
        <v>2027</v>
      </c>
    </row>
    <row r="6933" spans="1:18" ht="19.5" hidden="1" thickBot="1" x14ac:dyDescent="0.3">
      <c r="A6933" s="972"/>
      <c r="B6933" s="813" t="s">
        <v>1928</v>
      </c>
      <c r="C6933" s="814" t="s">
        <v>23</v>
      </c>
      <c r="D6933" s="815">
        <v>1</v>
      </c>
      <c r="E6933" s="815"/>
      <c r="F6933" s="816" t="s">
        <v>16</v>
      </c>
      <c r="G6933" s="973"/>
      <c r="H6933" s="816" t="s">
        <v>1926</v>
      </c>
      <c r="I6933" s="816" t="s">
        <v>1928</v>
      </c>
      <c r="J6933" s="818"/>
      <c r="K6933" s="816" t="str">
        <f t="shared" si="208"/>
        <v>08,26</v>
      </c>
      <c r="L6933" s="816" t="s">
        <v>28</v>
      </c>
      <c r="M6933" s="816">
        <v>1005</v>
      </c>
      <c r="N6933" s="811">
        <v>0.5</v>
      </c>
      <c r="O6933" s="897" t="s">
        <v>2004</v>
      </c>
      <c r="P6933" s="867" t="s">
        <v>2030</v>
      </c>
    </row>
    <row r="6934" spans="1:18" ht="19.5" hidden="1" thickBot="1" x14ac:dyDescent="0.3">
      <c r="A6934" s="972"/>
      <c r="B6934" s="813" t="s">
        <v>1928</v>
      </c>
      <c r="C6934" s="814" t="s">
        <v>23</v>
      </c>
      <c r="D6934" s="815">
        <v>0.56999999999999995</v>
      </c>
      <c r="E6934" s="815"/>
      <c r="F6934" s="816" t="s">
        <v>16</v>
      </c>
      <c r="G6934" s="973"/>
      <c r="H6934" s="816" t="s">
        <v>1926</v>
      </c>
      <c r="I6934" s="816" t="s">
        <v>1928</v>
      </c>
      <c r="J6934" s="818"/>
      <c r="K6934" s="816" t="str">
        <f t="shared" si="208"/>
        <v>08,26</v>
      </c>
      <c r="L6934" s="816" t="s">
        <v>28</v>
      </c>
      <c r="M6934" s="816">
        <v>570</v>
      </c>
      <c r="N6934" s="811">
        <v>0.5</v>
      </c>
      <c r="O6934" s="897" t="s">
        <v>2005</v>
      </c>
      <c r="P6934" s="867" t="s">
        <v>2029</v>
      </c>
    </row>
    <row r="6935" spans="1:18" ht="19.5" hidden="1" thickBot="1" x14ac:dyDescent="0.3">
      <c r="A6935" s="960"/>
      <c r="B6935" s="785" t="s">
        <v>1926</v>
      </c>
      <c r="C6935" s="786" t="s">
        <v>23</v>
      </c>
      <c r="D6935" s="787">
        <v>2.08</v>
      </c>
      <c r="E6935" s="787"/>
      <c r="F6935" s="788" t="s">
        <v>16</v>
      </c>
      <c r="G6935" s="971"/>
      <c r="H6935" s="788" t="s">
        <v>1926</v>
      </c>
      <c r="I6935" s="788" t="s">
        <v>1928</v>
      </c>
      <c r="J6935" s="790"/>
      <c r="K6935" s="788" t="str">
        <f t="shared" si="208"/>
        <v>08,26</v>
      </c>
      <c r="L6935" s="788" t="s">
        <v>28</v>
      </c>
      <c r="M6935" s="788">
        <v>2100</v>
      </c>
      <c r="N6935" s="784">
        <v>0.5</v>
      </c>
      <c r="O6935" s="897" t="s">
        <v>1987</v>
      </c>
      <c r="P6935" s="867" t="s">
        <v>2028</v>
      </c>
    </row>
    <row r="6936" spans="1:18" ht="19.5" hidden="1" thickBot="1" x14ac:dyDescent="0.3">
      <c r="A6936" s="954">
        <f>MAX(A6857:A6935)+1</f>
        <v>4312</v>
      </c>
      <c r="B6936" s="523" t="s">
        <v>1891</v>
      </c>
      <c r="C6936" s="524" t="s">
        <v>587</v>
      </c>
      <c r="D6936" s="525">
        <v>3.03</v>
      </c>
      <c r="E6936" s="526">
        <v>3.03</v>
      </c>
      <c r="F6936" s="527" t="s">
        <v>30</v>
      </c>
      <c r="G6936" s="561" t="s">
        <v>23</v>
      </c>
      <c r="H6936" s="527" t="s">
        <v>1926</v>
      </c>
      <c r="I6936" s="528" t="s">
        <v>1926</v>
      </c>
      <c r="J6936" s="529"/>
      <c r="K6936" s="527" t="str">
        <f t="shared" si="208"/>
        <v>08,26</v>
      </c>
      <c r="L6936" s="527" t="s">
        <v>28</v>
      </c>
      <c r="M6936" s="527">
        <v>3030.72</v>
      </c>
      <c r="N6936" s="530">
        <v>0.41666666666666669</v>
      </c>
      <c r="O6936" s="897" t="s">
        <v>1931</v>
      </c>
      <c r="P6936" s="867" t="s">
        <v>1996</v>
      </c>
    </row>
    <row r="6937" spans="1:18" ht="19.5" hidden="1" thickBot="1" x14ac:dyDescent="0.3">
      <c r="A6937" s="956"/>
      <c r="B6937" s="645" t="s">
        <v>1891</v>
      </c>
      <c r="C6937" s="646" t="s">
        <v>23</v>
      </c>
      <c r="D6937" s="647">
        <v>8.9640000000000004</v>
      </c>
      <c r="E6937" s="648">
        <v>8.9640000000000004</v>
      </c>
      <c r="F6937" s="649" t="s">
        <v>30</v>
      </c>
      <c r="G6937" s="650"/>
      <c r="H6937" s="649" t="s">
        <v>1926</v>
      </c>
      <c r="I6937" s="651" t="s">
        <v>1926</v>
      </c>
      <c r="J6937" s="652"/>
      <c r="K6937" s="649" t="str">
        <f t="shared" si="208"/>
        <v>08,26</v>
      </c>
      <c r="L6937" s="649" t="s">
        <v>28</v>
      </c>
      <c r="M6937" s="649">
        <v>8964.840000000002</v>
      </c>
      <c r="N6937" s="653">
        <v>0.41666666666666669</v>
      </c>
      <c r="O6937" s="897" t="s">
        <v>1930</v>
      </c>
      <c r="P6937" s="867" t="s">
        <v>1997</v>
      </c>
    </row>
    <row r="6938" spans="1:18" ht="19.5" hidden="1" thickBot="1" x14ac:dyDescent="0.3">
      <c r="A6938" s="503">
        <f>MAX(A6858:A6937)+1</f>
        <v>4313</v>
      </c>
      <c r="B6938" s="933" t="s">
        <v>1891</v>
      </c>
      <c r="C6938" s="934" t="s">
        <v>32</v>
      </c>
      <c r="D6938" s="935">
        <v>17.8</v>
      </c>
      <c r="E6938" s="936" t="s">
        <v>1496</v>
      </c>
      <c r="F6938" s="937" t="s">
        <v>16</v>
      </c>
      <c r="G6938" s="938"/>
      <c r="H6938" s="937" t="s">
        <v>1926</v>
      </c>
      <c r="I6938" s="939" t="s">
        <v>1496</v>
      </c>
      <c r="J6938" s="940"/>
      <c r="K6938" s="937" t="str">
        <f t="shared" si="208"/>
        <v>тмена</v>
      </c>
      <c r="L6938" s="937" t="s">
        <v>266</v>
      </c>
      <c r="M6938" s="937">
        <v>17807.399999999998</v>
      </c>
      <c r="N6938" s="941">
        <v>0.58333333333333337</v>
      </c>
      <c r="O6938" s="920" t="s">
        <v>1945</v>
      </c>
      <c r="P6938" s="921" t="s">
        <v>1024</v>
      </c>
    </row>
    <row r="6939" spans="1:18" ht="19.5" hidden="1" thickBot="1" x14ac:dyDescent="0.3">
      <c r="A6939" s="954">
        <f>MAX(A6859:A6938)+1</f>
        <v>4314</v>
      </c>
      <c r="B6939" s="610" t="s">
        <v>1891</v>
      </c>
      <c r="C6939" s="480" t="s">
        <v>26</v>
      </c>
      <c r="D6939" s="481">
        <v>17.48</v>
      </c>
      <c r="E6939" s="482">
        <v>14.175000000000001</v>
      </c>
      <c r="F6939" s="483" t="s">
        <v>16</v>
      </c>
      <c r="G6939" s="899"/>
      <c r="H6939" s="483" t="s">
        <v>1928</v>
      </c>
      <c r="I6939" s="484" t="s">
        <v>1928</v>
      </c>
      <c r="J6939" s="485"/>
      <c r="K6939" s="483" t="str">
        <f t="shared" si="208"/>
        <v>08,26</v>
      </c>
      <c r="L6939" s="483" t="s">
        <v>265</v>
      </c>
      <c r="M6939" s="483">
        <v>17644.68</v>
      </c>
      <c r="N6939" s="486">
        <v>0.375</v>
      </c>
      <c r="O6939" s="897" t="s">
        <v>1932</v>
      </c>
      <c r="P6939" s="867" t="s">
        <v>2020</v>
      </c>
    </row>
    <row r="6940" spans="1:18" ht="19.5" hidden="1" thickBot="1" x14ac:dyDescent="0.3">
      <c r="A6940" s="956"/>
      <c r="B6940" s="805" t="s">
        <v>1926</v>
      </c>
      <c r="C6940" s="806" t="s">
        <v>26</v>
      </c>
      <c r="D6940" s="807">
        <v>3.52</v>
      </c>
      <c r="E6940" s="807">
        <v>3.585</v>
      </c>
      <c r="F6940" s="808" t="s">
        <v>16</v>
      </c>
      <c r="G6940" s="902" t="s">
        <v>76</v>
      </c>
      <c r="H6940" s="808" t="s">
        <v>1928</v>
      </c>
      <c r="I6940" s="808" t="s">
        <v>1928</v>
      </c>
      <c r="J6940" s="810"/>
      <c r="K6940" s="808" t="str">
        <f t="shared" si="208"/>
        <v>08,26</v>
      </c>
      <c r="L6940" s="808" t="s">
        <v>265</v>
      </c>
      <c r="M6940" s="808">
        <v>3555</v>
      </c>
      <c r="N6940" s="778">
        <v>0.375</v>
      </c>
      <c r="O6940" s="897" t="s">
        <v>1992</v>
      </c>
      <c r="P6940" s="867" t="s">
        <v>2021</v>
      </c>
    </row>
    <row r="6941" spans="1:18" ht="19.5" hidden="1" thickBot="1" x14ac:dyDescent="0.3">
      <c r="A6941" s="959">
        <f>MAX(A6860:A6939)+1</f>
        <v>4315</v>
      </c>
      <c r="B6941" s="759" t="s">
        <v>1891</v>
      </c>
      <c r="C6941" s="532" t="s">
        <v>26</v>
      </c>
      <c r="D6941" s="533">
        <v>17.454999999999998</v>
      </c>
      <c r="E6941" s="534">
        <v>14.146000000000001</v>
      </c>
      <c r="F6941" s="535" t="s">
        <v>16</v>
      </c>
      <c r="G6941" s="898"/>
      <c r="H6941" s="535" t="s">
        <v>1928</v>
      </c>
      <c r="I6941" s="537" t="s">
        <v>1928</v>
      </c>
      <c r="J6941" s="538"/>
      <c r="K6941" s="535" t="str">
        <f t="shared" si="208"/>
        <v>08,26</v>
      </c>
      <c r="L6941" s="567" t="s">
        <v>265</v>
      </c>
      <c r="M6941" s="567">
        <v>17646.919999999998</v>
      </c>
      <c r="N6941" s="571">
        <v>0.41666666666666669</v>
      </c>
      <c r="O6941" s="897" t="s">
        <v>1934</v>
      </c>
      <c r="P6941" s="867" t="s">
        <v>2018</v>
      </c>
    </row>
    <row r="6942" spans="1:18" ht="19.5" hidden="1" thickBot="1" x14ac:dyDescent="0.3">
      <c r="A6942" s="960"/>
      <c r="B6942" s="798" t="s">
        <v>1926</v>
      </c>
      <c r="C6942" s="799" t="s">
        <v>26</v>
      </c>
      <c r="D6942" s="800">
        <v>3.5</v>
      </c>
      <c r="E6942" s="800">
        <v>3.5590000000000002</v>
      </c>
      <c r="F6942" s="801" t="s">
        <v>16</v>
      </c>
      <c r="G6942" s="942" t="s">
        <v>76</v>
      </c>
      <c r="H6942" s="801" t="s">
        <v>1928</v>
      </c>
      <c r="I6942" s="801" t="s">
        <v>1928</v>
      </c>
      <c r="J6942" s="803"/>
      <c r="K6942" s="801" t="str">
        <f t="shared" si="208"/>
        <v>08,26</v>
      </c>
      <c r="L6942" s="801" t="s">
        <v>265</v>
      </c>
      <c r="M6942" s="801">
        <v>3540</v>
      </c>
      <c r="N6942" s="804">
        <v>0.41666666666666669</v>
      </c>
      <c r="O6942" s="897" t="s">
        <v>1993</v>
      </c>
      <c r="P6942" s="867" t="s">
        <v>2019</v>
      </c>
    </row>
    <row r="6943" spans="1:18" ht="19.5" hidden="1" thickBot="1" x14ac:dyDescent="0.3">
      <c r="A6943" s="1022">
        <f>MAX(A6861:A6941)+1</f>
        <v>4316</v>
      </c>
      <c r="B6943" s="610" t="s">
        <v>1891</v>
      </c>
      <c r="C6943" s="480" t="s">
        <v>15</v>
      </c>
      <c r="D6943" s="481">
        <v>6.5579999999999998</v>
      </c>
      <c r="E6943" s="482">
        <v>5.5830000000000002</v>
      </c>
      <c r="F6943" s="483" t="s">
        <v>16</v>
      </c>
      <c r="G6943" s="1031" t="s">
        <v>1724</v>
      </c>
      <c r="H6943" s="483" t="s">
        <v>1928</v>
      </c>
      <c r="I6943" s="484" t="s">
        <v>1984</v>
      </c>
      <c r="J6943" s="485"/>
      <c r="K6943" s="483" t="str">
        <f t="shared" si="208"/>
        <v>08,26</v>
      </c>
      <c r="L6943" s="483" t="s">
        <v>28</v>
      </c>
      <c r="M6943" s="483">
        <v>6694.68</v>
      </c>
      <c r="N6943" s="486">
        <v>0.45833333333333331</v>
      </c>
      <c r="O6943" s="897" t="s">
        <v>1939</v>
      </c>
      <c r="P6943" s="867" t="s">
        <v>2022</v>
      </c>
      <c r="R6943" s="943"/>
    </row>
    <row r="6944" spans="1:18" ht="19.5" hidden="1" thickBot="1" x14ac:dyDescent="0.3">
      <c r="A6944" s="963"/>
      <c r="B6944" s="769" t="s">
        <v>1891</v>
      </c>
      <c r="C6944" s="764" t="s">
        <v>24</v>
      </c>
      <c r="D6944" s="765">
        <v>9.4920000000000009</v>
      </c>
      <c r="E6944" s="766">
        <v>7.3079999999999998</v>
      </c>
      <c r="F6944" s="763" t="s">
        <v>16</v>
      </c>
      <c r="G6944" s="1032"/>
      <c r="H6944" s="763" t="s">
        <v>1928</v>
      </c>
      <c r="I6944" s="768" t="s">
        <v>1984</v>
      </c>
      <c r="J6944" s="779"/>
      <c r="K6944" s="763" t="str">
        <f t="shared" si="208"/>
        <v>08,26</v>
      </c>
      <c r="L6944" s="763" t="s">
        <v>28</v>
      </c>
      <c r="M6944" s="763">
        <v>9667.34</v>
      </c>
      <c r="N6944" s="770">
        <v>0.45833333333333331</v>
      </c>
      <c r="O6944" s="897" t="s">
        <v>1941</v>
      </c>
      <c r="P6944" s="867" t="s">
        <v>2023</v>
      </c>
    </row>
    <row r="6945" spans="1:18" ht="19.5" hidden="1" thickBot="1" x14ac:dyDescent="0.3">
      <c r="A6945" s="963"/>
      <c r="B6945" s="841" t="s">
        <v>1928</v>
      </c>
      <c r="C6945" s="842" t="s">
        <v>15</v>
      </c>
      <c r="D6945" s="843">
        <v>1.5</v>
      </c>
      <c r="E6945" s="843">
        <v>1.512</v>
      </c>
      <c r="F6945" s="844" t="s">
        <v>16</v>
      </c>
      <c r="G6945" s="1034"/>
      <c r="H6945" s="844" t="s">
        <v>1928</v>
      </c>
      <c r="I6945" s="844" t="s">
        <v>1984</v>
      </c>
      <c r="J6945" s="845"/>
      <c r="K6945" s="844" t="str">
        <f t="shared" si="208"/>
        <v>08,26</v>
      </c>
      <c r="L6945" s="844" t="s">
        <v>28</v>
      </c>
      <c r="M6945" s="844">
        <v>1515</v>
      </c>
      <c r="N6945" s="770">
        <v>0.45833333333333331</v>
      </c>
      <c r="O6945" s="897" t="s">
        <v>2013</v>
      </c>
      <c r="P6945" s="867" t="s">
        <v>2024</v>
      </c>
    </row>
    <row r="6946" spans="1:18" ht="19.5" hidden="1" thickBot="1" x14ac:dyDescent="0.3">
      <c r="A6946" s="963"/>
      <c r="B6946" s="841" t="s">
        <v>1928</v>
      </c>
      <c r="C6946" s="842" t="s">
        <v>24</v>
      </c>
      <c r="D6946" s="843">
        <v>1.3</v>
      </c>
      <c r="E6946" s="843">
        <v>1.3069999999999999</v>
      </c>
      <c r="F6946" s="844" t="s">
        <v>16</v>
      </c>
      <c r="G6946" s="1034"/>
      <c r="H6946" s="844" t="s">
        <v>1928</v>
      </c>
      <c r="I6946" s="844" t="s">
        <v>1984</v>
      </c>
      <c r="J6946" s="845"/>
      <c r="K6946" s="844" t="str">
        <f t="shared" si="208"/>
        <v>08,26</v>
      </c>
      <c r="L6946" s="844" t="s">
        <v>28</v>
      </c>
      <c r="M6946" s="844">
        <v>1305</v>
      </c>
      <c r="N6946" s="770">
        <v>0.45833333333333331</v>
      </c>
      <c r="O6946" s="897" t="s">
        <v>2011</v>
      </c>
      <c r="P6946" s="867" t="s">
        <v>2025</v>
      </c>
    </row>
    <row r="6947" spans="1:18" ht="19.5" hidden="1" thickBot="1" x14ac:dyDescent="0.3">
      <c r="A6947" s="1018"/>
      <c r="B6947" s="805" t="s">
        <v>1926</v>
      </c>
      <c r="C6947" s="806" t="s">
        <v>24</v>
      </c>
      <c r="D6947" s="807">
        <v>0.48</v>
      </c>
      <c r="E6947" s="807">
        <v>0.46700000000000003</v>
      </c>
      <c r="F6947" s="808" t="s">
        <v>16</v>
      </c>
      <c r="G6947" s="1033"/>
      <c r="H6947" s="808" t="s">
        <v>1928</v>
      </c>
      <c r="I6947" s="808" t="s">
        <v>1984</v>
      </c>
      <c r="J6947" s="810"/>
      <c r="K6947" s="808" t="str">
        <f t="shared" si="208"/>
        <v>08,26</v>
      </c>
      <c r="L6947" s="808" t="s">
        <v>28</v>
      </c>
      <c r="M6947" s="808">
        <v>486</v>
      </c>
      <c r="N6947" s="778">
        <v>0.45833333333333331</v>
      </c>
      <c r="O6947" s="897" t="s">
        <v>1990</v>
      </c>
      <c r="P6947" s="867" t="s">
        <v>2026</v>
      </c>
    </row>
    <row r="6948" spans="1:18" ht="19.5" hidden="1" thickBot="1" x14ac:dyDescent="0.3">
      <c r="A6948" s="959">
        <f>MAX(A6863:A6947)+1</f>
        <v>4317</v>
      </c>
      <c r="B6948" s="760" t="s">
        <v>1891</v>
      </c>
      <c r="C6948" s="564" t="s">
        <v>47</v>
      </c>
      <c r="D6948" s="565">
        <v>16.506</v>
      </c>
      <c r="E6948" s="566">
        <v>13.561</v>
      </c>
      <c r="F6948" s="567" t="s">
        <v>16</v>
      </c>
      <c r="G6948" s="973" t="s">
        <v>1633</v>
      </c>
      <c r="H6948" s="567" t="s">
        <v>1928</v>
      </c>
      <c r="I6948" s="569" t="s">
        <v>1928</v>
      </c>
      <c r="J6948" s="570"/>
      <c r="K6948" s="567" t="str">
        <f t="shared" si="208"/>
        <v>08,26</v>
      </c>
      <c r="L6948" s="567" t="s">
        <v>28</v>
      </c>
      <c r="M6948" s="567">
        <v>16702.310000000001</v>
      </c>
      <c r="N6948" s="571">
        <v>0.5</v>
      </c>
      <c r="O6948" s="897" t="s">
        <v>1940</v>
      </c>
      <c r="P6948" s="867" t="s">
        <v>2015</v>
      </c>
      <c r="R6948" s="943"/>
    </row>
    <row r="6949" spans="1:18" ht="19.5" hidden="1" thickBot="1" x14ac:dyDescent="0.3">
      <c r="A6949" s="972"/>
      <c r="B6949" s="852" t="s">
        <v>1928</v>
      </c>
      <c r="C6949" s="837" t="s">
        <v>47</v>
      </c>
      <c r="D6949" s="838">
        <v>2.1</v>
      </c>
      <c r="E6949" s="838">
        <v>2.0990000000000002</v>
      </c>
      <c r="F6949" s="839" t="s">
        <v>16</v>
      </c>
      <c r="G6949" s="973"/>
      <c r="H6949" s="839" t="s">
        <v>1928</v>
      </c>
      <c r="I6949" s="839" t="s">
        <v>1928</v>
      </c>
      <c r="J6949" s="840"/>
      <c r="K6949" s="839" t="str">
        <f t="shared" si="208"/>
        <v>08,26</v>
      </c>
      <c r="L6949" s="839" t="s">
        <v>28</v>
      </c>
      <c r="M6949" s="839">
        <v>2100</v>
      </c>
      <c r="N6949" s="598">
        <v>0.5</v>
      </c>
      <c r="O6949" s="897" t="s">
        <v>2012</v>
      </c>
      <c r="P6949" s="867" t="s">
        <v>2016</v>
      </c>
      <c r="R6949" s="943"/>
    </row>
    <row r="6950" spans="1:18" ht="19.5" hidden="1" thickBot="1" x14ac:dyDescent="0.3">
      <c r="A6950" s="960"/>
      <c r="B6950" s="785" t="s">
        <v>1926</v>
      </c>
      <c r="C6950" s="786" t="s">
        <v>47</v>
      </c>
      <c r="D6950" s="787">
        <v>1.05</v>
      </c>
      <c r="E6950" s="787">
        <v>1.052</v>
      </c>
      <c r="F6950" s="788" t="s">
        <v>16</v>
      </c>
      <c r="G6950" s="971"/>
      <c r="H6950" s="788" t="s">
        <v>1928</v>
      </c>
      <c r="I6950" s="788" t="s">
        <v>1928</v>
      </c>
      <c r="J6950" s="790"/>
      <c r="K6950" s="788" t="str">
        <f t="shared" si="208"/>
        <v>08,26</v>
      </c>
      <c r="L6950" s="788" t="s">
        <v>28</v>
      </c>
      <c r="M6950" s="788">
        <v>1053</v>
      </c>
      <c r="N6950" s="784">
        <v>0.5</v>
      </c>
      <c r="O6950" s="897" t="s">
        <v>1989</v>
      </c>
      <c r="P6950" s="867" t="s">
        <v>2017</v>
      </c>
    </row>
    <row r="6951" spans="1:18" ht="19.5" hidden="1" thickBot="1" x14ac:dyDescent="0.3">
      <c r="A6951" s="954">
        <f>MAX(A6864:A6948)+1</f>
        <v>4318</v>
      </c>
      <c r="B6951" s="479" t="s">
        <v>1926</v>
      </c>
      <c r="C6951" s="480" t="s">
        <v>55</v>
      </c>
      <c r="D6951" s="481">
        <v>2.66</v>
      </c>
      <c r="E6951" s="482">
        <v>1.94</v>
      </c>
      <c r="F6951" s="483" t="s">
        <v>16</v>
      </c>
      <c r="G6951" s="549" t="s">
        <v>844</v>
      </c>
      <c r="H6951" s="483" t="s">
        <v>1984</v>
      </c>
      <c r="I6951" s="484" t="s">
        <v>2006</v>
      </c>
      <c r="J6951" s="485"/>
      <c r="K6951" s="483" t="str">
        <f t="shared" si="208"/>
        <v>08,26</v>
      </c>
      <c r="L6951" s="483" t="s">
        <v>266</v>
      </c>
      <c r="M6951" s="483">
        <v>2721.37</v>
      </c>
      <c r="N6951" s="486">
        <v>0.5</v>
      </c>
      <c r="O6951" s="897" t="s">
        <v>1985</v>
      </c>
      <c r="P6951" s="867" t="s">
        <v>2047</v>
      </c>
    </row>
    <row r="6952" spans="1:18" ht="19.5" hidden="1" thickBot="1" x14ac:dyDescent="0.3">
      <c r="A6952" s="956"/>
      <c r="B6952" s="645" t="s">
        <v>1926</v>
      </c>
      <c r="C6952" s="646" t="s">
        <v>55</v>
      </c>
      <c r="D6952" s="647">
        <v>13.019</v>
      </c>
      <c r="E6952" s="648">
        <v>6.6310000000000002</v>
      </c>
      <c r="F6952" s="649" t="s">
        <v>16</v>
      </c>
      <c r="G6952" s="650" t="s">
        <v>845</v>
      </c>
      <c r="H6952" s="649" t="s">
        <v>1984</v>
      </c>
      <c r="I6952" s="651" t="s">
        <v>2006</v>
      </c>
      <c r="J6952" s="652"/>
      <c r="K6952" s="649" t="str">
        <f t="shared" si="208"/>
        <v>08,26</v>
      </c>
      <c r="L6952" s="649" t="s">
        <v>266</v>
      </c>
      <c r="M6952" s="649">
        <v>13142.089999999997</v>
      </c>
      <c r="N6952" s="653">
        <v>0.5</v>
      </c>
      <c r="O6952" s="897" t="s">
        <v>1986</v>
      </c>
      <c r="P6952" s="867" t="s">
        <v>2048</v>
      </c>
    </row>
    <row r="6953" spans="1:18" ht="19.5" hidden="1" thickBot="1" x14ac:dyDescent="0.3">
      <c r="A6953" s="551">
        <f t="shared" ref="A6953:A6958" si="209">MAX(A6866:A6952)+1</f>
        <v>4319</v>
      </c>
      <c r="B6953" s="552" t="s">
        <v>1926</v>
      </c>
      <c r="C6953" s="553" t="s">
        <v>47</v>
      </c>
      <c r="D6953" s="554">
        <v>13.087999999999999</v>
      </c>
      <c r="E6953" s="555">
        <v>13.073</v>
      </c>
      <c r="F6953" s="556" t="s">
        <v>30</v>
      </c>
      <c r="G6953" s="557"/>
      <c r="H6953" s="556" t="s">
        <v>1984</v>
      </c>
      <c r="I6953" s="558" t="s">
        <v>2049</v>
      </c>
      <c r="J6953" s="559"/>
      <c r="K6953" s="556" t="str">
        <f t="shared" si="208"/>
        <v>08,26</v>
      </c>
      <c r="L6953" s="556" t="s">
        <v>28</v>
      </c>
      <c r="M6953" s="556">
        <v>13088.68</v>
      </c>
      <c r="N6953" s="560">
        <v>0.41666666666666669</v>
      </c>
      <c r="O6953" s="897" t="s">
        <v>1991</v>
      </c>
      <c r="P6953" s="867" t="s">
        <v>2112</v>
      </c>
    </row>
    <row r="6954" spans="1:18" ht="19.5" hidden="1" thickBot="1" x14ac:dyDescent="0.3">
      <c r="A6954" s="513">
        <f t="shared" si="209"/>
        <v>4320</v>
      </c>
      <c r="B6954" s="514" t="s">
        <v>1928</v>
      </c>
      <c r="C6954" s="515" t="s">
        <v>32</v>
      </c>
      <c r="D6954" s="516">
        <v>17.887</v>
      </c>
      <c r="E6954" s="517">
        <v>15.691000000000001</v>
      </c>
      <c r="F6954" s="518" t="s">
        <v>16</v>
      </c>
      <c r="G6954" s="519"/>
      <c r="H6954" s="518" t="s">
        <v>2006</v>
      </c>
      <c r="I6954" s="520" t="s">
        <v>2006</v>
      </c>
      <c r="J6954" s="521"/>
      <c r="K6954" s="518" t="str">
        <f t="shared" si="208"/>
        <v>08,26</v>
      </c>
      <c r="L6954" s="518" t="s">
        <v>266</v>
      </c>
      <c r="M6954" s="518">
        <v>18069.04</v>
      </c>
      <c r="N6954" s="522">
        <v>0.41666666666666669</v>
      </c>
      <c r="O6954" s="897" t="s">
        <v>2009</v>
      </c>
      <c r="P6954" s="867" t="s">
        <v>2056</v>
      </c>
    </row>
    <row r="6955" spans="1:18" ht="19.5" hidden="1" thickBot="1" x14ac:dyDescent="0.3">
      <c r="A6955" s="503">
        <f t="shared" si="209"/>
        <v>4321</v>
      </c>
      <c r="B6955" s="504" t="s">
        <v>1928</v>
      </c>
      <c r="C6955" s="505" t="s">
        <v>32</v>
      </c>
      <c r="D6955" s="506">
        <v>17.949000000000002</v>
      </c>
      <c r="E6955" s="507">
        <v>17.603000000000002</v>
      </c>
      <c r="F6955" s="508" t="s">
        <v>16</v>
      </c>
      <c r="G6955" s="509"/>
      <c r="H6955" s="508" t="s">
        <v>2006</v>
      </c>
      <c r="I6955" s="510" t="s">
        <v>2031</v>
      </c>
      <c r="J6955" s="511"/>
      <c r="K6955" s="508" t="str">
        <f t="shared" si="208"/>
        <v>08,26</v>
      </c>
      <c r="L6955" s="508" t="s">
        <v>266</v>
      </c>
      <c r="M6955" s="508">
        <v>18036.810000000001</v>
      </c>
      <c r="N6955" s="512">
        <v>0.45833333333333331</v>
      </c>
      <c r="O6955" s="897" t="s">
        <v>2007</v>
      </c>
      <c r="P6955" s="867" t="s">
        <v>2058</v>
      </c>
    </row>
    <row r="6956" spans="1:18" ht="19.5" hidden="1" thickBot="1" x14ac:dyDescent="0.3">
      <c r="A6956" s="513">
        <f t="shared" si="209"/>
        <v>4322</v>
      </c>
      <c r="B6956" s="663" t="s">
        <v>1928</v>
      </c>
      <c r="C6956" s="664" t="s">
        <v>32</v>
      </c>
      <c r="D6956" s="665">
        <v>17.5</v>
      </c>
      <c r="E6956" s="666" t="s">
        <v>1496</v>
      </c>
      <c r="F6956" s="667" t="s">
        <v>16</v>
      </c>
      <c r="G6956" s="668"/>
      <c r="H6956" s="667" t="s">
        <v>2006</v>
      </c>
      <c r="I6956" s="669" t="s">
        <v>1496</v>
      </c>
      <c r="J6956" s="670"/>
      <c r="K6956" s="667" t="str">
        <f t="shared" si="208"/>
        <v>тмена</v>
      </c>
      <c r="L6956" s="667" t="s">
        <v>266</v>
      </c>
      <c r="M6956" s="667">
        <v>17503.2</v>
      </c>
      <c r="N6956" s="671">
        <v>0.5</v>
      </c>
      <c r="O6956" s="920" t="s">
        <v>2008</v>
      </c>
      <c r="P6956" s="921" t="s">
        <v>1024</v>
      </c>
    </row>
    <row r="6957" spans="1:18" ht="19.5" hidden="1" thickBot="1" x14ac:dyDescent="0.3">
      <c r="A6957" s="551">
        <f t="shared" si="209"/>
        <v>4323</v>
      </c>
      <c r="B6957" s="552" t="s">
        <v>1928</v>
      </c>
      <c r="C6957" s="553" t="s">
        <v>848</v>
      </c>
      <c r="D6957" s="554">
        <v>18.02</v>
      </c>
      <c r="E6957" s="555">
        <v>15.821999999999999</v>
      </c>
      <c r="F6957" s="556" t="s">
        <v>16</v>
      </c>
      <c r="G6957" s="557"/>
      <c r="H6957" s="556" t="s">
        <v>2006</v>
      </c>
      <c r="I6957" s="558" t="s">
        <v>2031</v>
      </c>
      <c r="J6957" s="559"/>
      <c r="K6957" s="556" t="str">
        <f t="shared" si="208"/>
        <v>08,26</v>
      </c>
      <c r="L6957" s="556" t="s">
        <v>266</v>
      </c>
      <c r="M6957" s="556">
        <v>18177.039999999997</v>
      </c>
      <c r="N6957" s="560">
        <v>0.54166666666666663</v>
      </c>
      <c r="O6957" s="897" t="s">
        <v>2010</v>
      </c>
      <c r="P6957" s="867" t="s">
        <v>2057</v>
      </c>
    </row>
    <row r="6958" spans="1:18" ht="19.5" hidden="1" thickBot="1" x14ac:dyDescent="0.3">
      <c r="A6958" s="954">
        <f t="shared" si="209"/>
        <v>4324</v>
      </c>
      <c r="B6958" s="610" t="s">
        <v>1984</v>
      </c>
      <c r="C6958" s="480" t="s">
        <v>26</v>
      </c>
      <c r="D6958" s="481">
        <v>17</v>
      </c>
      <c r="E6958" s="482">
        <v>12.427</v>
      </c>
      <c r="F6958" s="483" t="s">
        <v>16</v>
      </c>
      <c r="G6958" s="899"/>
      <c r="H6958" s="483" t="s">
        <v>2031</v>
      </c>
      <c r="I6958" s="484" t="s">
        <v>2031</v>
      </c>
      <c r="J6958" s="485"/>
      <c r="K6958" s="483" t="str">
        <f t="shared" si="208"/>
        <v>08,26</v>
      </c>
      <c r="L6958" s="483" t="s">
        <v>265</v>
      </c>
      <c r="M6958" s="483">
        <v>17009.400000000001</v>
      </c>
      <c r="N6958" s="486">
        <v>0.375</v>
      </c>
      <c r="O6958" s="897" t="s">
        <v>2032</v>
      </c>
      <c r="P6958" s="867" t="s">
        <v>2089</v>
      </c>
    </row>
    <row r="6959" spans="1:18" ht="19.5" hidden="1" thickBot="1" x14ac:dyDescent="0.3">
      <c r="A6959" s="955"/>
      <c r="B6959" s="792" t="s">
        <v>2031</v>
      </c>
      <c r="C6959" s="793" t="s">
        <v>26</v>
      </c>
      <c r="D6959" s="794">
        <v>2.38</v>
      </c>
      <c r="E6959" s="794">
        <v>2.3860000000000001</v>
      </c>
      <c r="F6959" s="795" t="s">
        <v>16</v>
      </c>
      <c r="G6959" s="903" t="s">
        <v>76</v>
      </c>
      <c r="H6959" s="795" t="s">
        <v>2031</v>
      </c>
      <c r="I6959" s="795" t="s">
        <v>2031</v>
      </c>
      <c r="J6959" s="797"/>
      <c r="K6959" s="795" t="str">
        <f t="shared" si="208"/>
        <v>08,26</v>
      </c>
      <c r="L6959" s="795" t="s">
        <v>265</v>
      </c>
      <c r="M6959" s="795">
        <v>2385</v>
      </c>
      <c r="N6959" s="502">
        <v>0.375</v>
      </c>
      <c r="O6959" s="897" t="s">
        <v>2080</v>
      </c>
      <c r="P6959" s="867" t="s">
        <v>2090</v>
      </c>
    </row>
    <row r="6960" spans="1:18" ht="19.5" hidden="1" thickBot="1" x14ac:dyDescent="0.3">
      <c r="A6960" s="956"/>
      <c r="B6960" s="805" t="s">
        <v>2031</v>
      </c>
      <c r="C6960" s="806" t="s">
        <v>26</v>
      </c>
      <c r="D6960" s="807">
        <v>2.4</v>
      </c>
      <c r="E6960" s="807">
        <v>2.4060000000000001</v>
      </c>
      <c r="F6960" s="808" t="s">
        <v>16</v>
      </c>
      <c r="G6960" s="902" t="s">
        <v>76</v>
      </c>
      <c r="H6960" s="808" t="s">
        <v>2031</v>
      </c>
      <c r="I6960" s="808" t="s">
        <v>2031</v>
      </c>
      <c r="J6960" s="810"/>
      <c r="K6960" s="808" t="str">
        <f t="shared" si="208"/>
        <v>08,26</v>
      </c>
      <c r="L6960" s="808" t="s">
        <v>265</v>
      </c>
      <c r="M6960" s="808">
        <v>2400</v>
      </c>
      <c r="N6960" s="778">
        <v>0.375</v>
      </c>
      <c r="O6960" s="897" t="s">
        <v>2059</v>
      </c>
      <c r="P6960" s="867" t="s">
        <v>2091</v>
      </c>
    </row>
    <row r="6961" spans="1:16" ht="19.5" hidden="1" thickBot="1" x14ac:dyDescent="0.3">
      <c r="A6961" s="959">
        <f>MAX(A6872:A6960)+1</f>
        <v>4325</v>
      </c>
      <c r="B6961" s="759" t="s">
        <v>1984</v>
      </c>
      <c r="C6961" s="532" t="s">
        <v>26</v>
      </c>
      <c r="D6961" s="533">
        <v>17.47</v>
      </c>
      <c r="E6961" s="534">
        <v>12.959</v>
      </c>
      <c r="F6961" s="535" t="s">
        <v>16</v>
      </c>
      <c r="G6961" s="898"/>
      <c r="H6961" s="535" t="s">
        <v>2031</v>
      </c>
      <c r="I6961" s="537" t="s">
        <v>2031</v>
      </c>
      <c r="J6961" s="538"/>
      <c r="K6961" s="535" t="str">
        <f t="shared" si="208"/>
        <v>08,26</v>
      </c>
      <c r="L6961" s="567" t="s">
        <v>265</v>
      </c>
      <c r="M6961" s="567">
        <v>17628.839999999997</v>
      </c>
      <c r="N6961" s="571">
        <v>0.41666666666666669</v>
      </c>
      <c r="O6961" s="897" t="s">
        <v>2033</v>
      </c>
      <c r="P6961" s="867" t="s">
        <v>2060</v>
      </c>
    </row>
    <row r="6962" spans="1:16" ht="19.5" hidden="1" thickBot="1" x14ac:dyDescent="0.3">
      <c r="A6962" s="960"/>
      <c r="B6962" s="798" t="s">
        <v>2006</v>
      </c>
      <c r="C6962" s="799" t="s">
        <v>26</v>
      </c>
      <c r="D6962" s="800">
        <v>4.5999999999999996</v>
      </c>
      <c r="E6962" s="800">
        <v>4.6369999999999996</v>
      </c>
      <c r="F6962" s="801" t="s">
        <v>16</v>
      </c>
      <c r="G6962" s="942" t="s">
        <v>76</v>
      </c>
      <c r="H6962" s="801" t="s">
        <v>2031</v>
      </c>
      <c r="I6962" s="801" t="s">
        <v>2031</v>
      </c>
      <c r="J6962" s="803"/>
      <c r="K6962" s="801" t="str">
        <f t="shared" si="208"/>
        <v>08,26</v>
      </c>
      <c r="L6962" s="801" t="s">
        <v>265</v>
      </c>
      <c r="M6962" s="801">
        <v>4620</v>
      </c>
      <c r="N6962" s="804">
        <v>0.41666666666666669</v>
      </c>
      <c r="O6962" s="897" t="s">
        <v>2055</v>
      </c>
      <c r="P6962" s="867" t="s">
        <v>2061</v>
      </c>
    </row>
    <row r="6963" spans="1:16" ht="19.5" hidden="1" thickBot="1" x14ac:dyDescent="0.3">
      <c r="A6963" s="954">
        <f>MAX(A6873:A6962)+1</f>
        <v>4326</v>
      </c>
      <c r="B6963" s="479" t="s">
        <v>1984</v>
      </c>
      <c r="C6963" s="480" t="s">
        <v>981</v>
      </c>
      <c r="D6963" s="481">
        <v>4.726</v>
      </c>
      <c r="E6963" s="482">
        <v>4.2030000000000003</v>
      </c>
      <c r="F6963" s="483" t="s">
        <v>16</v>
      </c>
      <c r="G6963" s="549" t="s">
        <v>844</v>
      </c>
      <c r="H6963" s="483" t="s">
        <v>2031</v>
      </c>
      <c r="I6963" s="484" t="s">
        <v>2049</v>
      </c>
      <c r="J6963" s="485"/>
      <c r="K6963" s="483" t="str">
        <f t="shared" si="208"/>
        <v>08,26</v>
      </c>
      <c r="L6963" s="483" t="s">
        <v>266</v>
      </c>
      <c r="M6963" s="483">
        <v>4727.74</v>
      </c>
      <c r="N6963" s="486">
        <v>0.45833333333333331</v>
      </c>
      <c r="O6963" s="897" t="s">
        <v>2036</v>
      </c>
      <c r="P6963" s="867" t="s">
        <v>2092</v>
      </c>
    </row>
    <row r="6964" spans="1:16" ht="19.5" hidden="1" thickBot="1" x14ac:dyDescent="0.3">
      <c r="A6964" s="955"/>
      <c r="B6964" s="911" t="s">
        <v>1984</v>
      </c>
      <c r="C6964" s="912" t="s">
        <v>981</v>
      </c>
      <c r="D6964" s="913">
        <v>2</v>
      </c>
      <c r="E6964" s="914" t="s">
        <v>1496</v>
      </c>
      <c r="F6964" s="915" t="s">
        <v>16</v>
      </c>
      <c r="G6964" s="916" t="s">
        <v>845</v>
      </c>
      <c r="H6964" s="915" t="s">
        <v>2031</v>
      </c>
      <c r="I6964" s="917" t="s">
        <v>1496</v>
      </c>
      <c r="J6964" s="918"/>
      <c r="K6964" s="915" t="str">
        <f t="shared" si="208"/>
        <v>тмена</v>
      </c>
      <c r="L6964" s="915" t="s">
        <v>266</v>
      </c>
      <c r="M6964" s="915">
        <v>2004.6</v>
      </c>
      <c r="N6964" s="919">
        <v>0.45833333333333331</v>
      </c>
      <c r="O6964" s="920" t="s">
        <v>2035</v>
      </c>
      <c r="P6964" s="921" t="s">
        <v>1024</v>
      </c>
    </row>
    <row r="6965" spans="1:16" ht="19.5" hidden="1" thickBot="1" x14ac:dyDescent="0.3">
      <c r="A6965" s="955"/>
      <c r="B6965" s="523" t="s">
        <v>1984</v>
      </c>
      <c r="C6965" s="524" t="s">
        <v>41</v>
      </c>
      <c r="D6965" s="525">
        <v>4.5149999999999997</v>
      </c>
      <c r="E6965" s="526">
        <v>2.3849999999999998</v>
      </c>
      <c r="F6965" s="527" t="s">
        <v>16</v>
      </c>
      <c r="G6965" s="561" t="s">
        <v>844</v>
      </c>
      <c r="H6965" s="527" t="s">
        <v>2031</v>
      </c>
      <c r="I6965" s="528" t="s">
        <v>2049</v>
      </c>
      <c r="J6965" s="529"/>
      <c r="K6965" s="527" t="str">
        <f t="shared" si="208"/>
        <v>08,26</v>
      </c>
      <c r="L6965" s="527" t="s">
        <v>266</v>
      </c>
      <c r="M6965" s="527">
        <v>4606.380000000001</v>
      </c>
      <c r="N6965" s="530">
        <v>0.45833333333333331</v>
      </c>
      <c r="O6965" s="897" t="s">
        <v>2039</v>
      </c>
      <c r="P6965" s="867" t="s">
        <v>2118</v>
      </c>
    </row>
    <row r="6966" spans="1:16" ht="19.5" hidden="1" thickBot="1" x14ac:dyDescent="0.3">
      <c r="A6966" s="955"/>
      <c r="B6966" s="911" t="s">
        <v>1984</v>
      </c>
      <c r="C6966" s="912" t="s">
        <v>41</v>
      </c>
      <c r="D6966" s="913">
        <v>5</v>
      </c>
      <c r="E6966" s="914" t="s">
        <v>1496</v>
      </c>
      <c r="F6966" s="915" t="s">
        <v>16</v>
      </c>
      <c r="G6966" s="916" t="s">
        <v>845</v>
      </c>
      <c r="H6966" s="915" t="s">
        <v>2031</v>
      </c>
      <c r="I6966" s="917" t="s">
        <v>1496</v>
      </c>
      <c r="J6966" s="918"/>
      <c r="K6966" s="915" t="str">
        <f t="shared" si="208"/>
        <v>тмена</v>
      </c>
      <c r="L6966" s="915" t="s">
        <v>266</v>
      </c>
      <c r="M6966" s="915">
        <v>5007.5999999999995</v>
      </c>
      <c r="N6966" s="919">
        <v>0.45833333333333331</v>
      </c>
      <c r="O6966" s="920" t="s">
        <v>2037</v>
      </c>
      <c r="P6966" s="921" t="s">
        <v>1024</v>
      </c>
    </row>
    <row r="6967" spans="1:16" ht="19.5" hidden="1" thickBot="1" x14ac:dyDescent="0.3">
      <c r="A6967" s="956"/>
      <c r="B6967" s="645" t="s">
        <v>1984</v>
      </c>
      <c r="C6967" s="646" t="s">
        <v>32</v>
      </c>
      <c r="D6967" s="647">
        <v>3.9649999999999999</v>
      </c>
      <c r="E6967" s="648">
        <v>4.4029999999999996</v>
      </c>
      <c r="F6967" s="649" t="s">
        <v>16</v>
      </c>
      <c r="G6967" s="650" t="s">
        <v>1702</v>
      </c>
      <c r="H6967" s="649" t="s">
        <v>2031</v>
      </c>
      <c r="I6967" s="651" t="s">
        <v>2049</v>
      </c>
      <c r="J6967" s="652"/>
      <c r="K6967" s="649" t="str">
        <f t="shared" si="208"/>
        <v>08,26</v>
      </c>
      <c r="L6967" s="649" t="s">
        <v>266</v>
      </c>
      <c r="M6967" s="649">
        <v>3968.3</v>
      </c>
      <c r="N6967" s="653">
        <v>0.45833333333333331</v>
      </c>
      <c r="O6967" s="897" t="s">
        <v>2038</v>
      </c>
      <c r="P6967" s="867" t="s">
        <v>2119</v>
      </c>
    </row>
    <row r="6968" spans="1:16" ht="19.5" hidden="1" thickBot="1" x14ac:dyDescent="0.3">
      <c r="A6968" s="959">
        <f>MAX(A6878:A6967)+1</f>
        <v>4327</v>
      </c>
      <c r="B6968" s="759" t="s">
        <v>1984</v>
      </c>
      <c r="C6968" s="532" t="s">
        <v>26</v>
      </c>
      <c r="D6968" s="533">
        <v>17.405000000000001</v>
      </c>
      <c r="E6968" s="534">
        <v>12.760999999999999</v>
      </c>
      <c r="F6968" s="535" t="s">
        <v>16</v>
      </c>
      <c r="G6968" s="898"/>
      <c r="H6968" s="535" t="s">
        <v>2034</v>
      </c>
      <c r="I6968" s="537" t="s">
        <v>2034</v>
      </c>
      <c r="J6968" s="538"/>
      <c r="K6968" s="535" t="str">
        <f t="shared" si="208"/>
        <v>08,26</v>
      </c>
      <c r="L6968" s="567" t="s">
        <v>265</v>
      </c>
      <c r="M6968" s="567">
        <v>17570.419999999998</v>
      </c>
      <c r="N6968" s="571">
        <v>0.375</v>
      </c>
      <c r="O6968" s="897" t="s">
        <v>2040</v>
      </c>
      <c r="P6968" s="867" t="s">
        <v>2093</v>
      </c>
    </row>
    <row r="6969" spans="1:16" ht="19.5" hidden="1" thickBot="1" x14ac:dyDescent="0.3">
      <c r="A6969" s="960"/>
      <c r="B6969" s="798" t="s">
        <v>2031</v>
      </c>
      <c r="C6969" s="799" t="s">
        <v>26</v>
      </c>
      <c r="D6969" s="800">
        <v>4.4000000000000004</v>
      </c>
      <c r="E6969" s="800">
        <v>4.423</v>
      </c>
      <c r="F6969" s="801" t="s">
        <v>16</v>
      </c>
      <c r="G6969" s="942" t="s">
        <v>76</v>
      </c>
      <c r="H6969" s="801" t="s">
        <v>2034</v>
      </c>
      <c r="I6969" s="801" t="s">
        <v>2034</v>
      </c>
      <c r="J6969" s="803"/>
      <c r="K6969" s="801" t="str">
        <f t="shared" si="208"/>
        <v>08,26</v>
      </c>
      <c r="L6969" s="801" t="s">
        <v>265</v>
      </c>
      <c r="M6969" s="801">
        <v>4422.6000000000004</v>
      </c>
      <c r="N6969" s="804">
        <v>0.375</v>
      </c>
      <c r="O6969" s="897" t="s">
        <v>2081</v>
      </c>
      <c r="P6969" s="867" t="s">
        <v>2094</v>
      </c>
    </row>
    <row r="6970" spans="1:16" ht="19.5" hidden="1" thickBot="1" x14ac:dyDescent="0.3">
      <c r="A6970" s="954">
        <f>MAX(A6879:A6969)+1</f>
        <v>4328</v>
      </c>
      <c r="B6970" s="479" t="s">
        <v>1984</v>
      </c>
      <c r="C6970" s="480" t="s">
        <v>15</v>
      </c>
      <c r="D6970" s="481">
        <v>4.8869999999999996</v>
      </c>
      <c r="E6970" s="482">
        <v>2.452</v>
      </c>
      <c r="F6970" s="483" t="s">
        <v>16</v>
      </c>
      <c r="G6970" s="549"/>
      <c r="H6970" s="483" t="s">
        <v>2034</v>
      </c>
      <c r="I6970" s="484" t="s">
        <v>2049</v>
      </c>
      <c r="J6970" s="485"/>
      <c r="K6970" s="483" t="str">
        <f t="shared" si="208"/>
        <v>08,26</v>
      </c>
      <c r="L6970" s="483" t="s">
        <v>28</v>
      </c>
      <c r="M6970" s="483">
        <v>5035.8899999999994</v>
      </c>
      <c r="N6970" s="486">
        <v>0.41666666666666669</v>
      </c>
      <c r="O6970" s="897" t="s">
        <v>2041</v>
      </c>
      <c r="P6970" s="867" t="s">
        <v>2105</v>
      </c>
    </row>
    <row r="6971" spans="1:16" ht="19.5" hidden="1" thickBot="1" x14ac:dyDescent="0.3">
      <c r="A6971" s="955"/>
      <c r="B6971" s="523" t="s">
        <v>1984</v>
      </c>
      <c r="C6971" s="524" t="s">
        <v>24</v>
      </c>
      <c r="D6971" s="525">
        <v>3.7</v>
      </c>
      <c r="E6971" s="526">
        <v>2.4820000000000002</v>
      </c>
      <c r="F6971" s="527" t="s">
        <v>16</v>
      </c>
      <c r="G6971" s="561"/>
      <c r="H6971" s="527" t="s">
        <v>2034</v>
      </c>
      <c r="I6971" s="528" t="s">
        <v>2049</v>
      </c>
      <c r="J6971" s="529"/>
      <c r="K6971" s="527" t="str">
        <f t="shared" si="208"/>
        <v>08,26</v>
      </c>
      <c r="L6971" s="527" t="s">
        <v>28</v>
      </c>
      <c r="M6971" s="527">
        <v>3810.32</v>
      </c>
      <c r="N6971" s="530">
        <v>0.41666666666666669</v>
      </c>
      <c r="O6971" s="897" t="s">
        <v>2043</v>
      </c>
      <c r="P6971" s="867" t="s">
        <v>2106</v>
      </c>
    </row>
    <row r="6972" spans="1:16" ht="19.5" hidden="1" thickBot="1" x14ac:dyDescent="0.3">
      <c r="A6972" s="955"/>
      <c r="B6972" s="523" t="s">
        <v>1984</v>
      </c>
      <c r="C6972" s="524" t="s">
        <v>764</v>
      </c>
      <c r="D6972" s="525">
        <v>9.1</v>
      </c>
      <c r="E6972" s="526">
        <v>8.8829999999999991</v>
      </c>
      <c r="F6972" s="527" t="s">
        <v>16</v>
      </c>
      <c r="G6972" s="561"/>
      <c r="H6972" s="527" t="s">
        <v>2034</v>
      </c>
      <c r="I6972" s="528" t="s">
        <v>2049</v>
      </c>
      <c r="J6972" s="529"/>
      <c r="K6972" s="527" t="str">
        <f t="shared" si="208"/>
        <v>08,26</v>
      </c>
      <c r="L6972" s="527" t="s">
        <v>28</v>
      </c>
      <c r="M6972" s="527">
        <v>9153.0000000000018</v>
      </c>
      <c r="N6972" s="530">
        <v>0.41666666666666669</v>
      </c>
      <c r="O6972" s="897" t="s">
        <v>2042</v>
      </c>
      <c r="P6972" s="867" t="s">
        <v>2107</v>
      </c>
    </row>
    <row r="6973" spans="1:16" ht="19.5" hidden="1" thickBot="1" x14ac:dyDescent="0.3">
      <c r="A6973" s="955"/>
      <c r="B6973" s="945" t="s">
        <v>2034</v>
      </c>
      <c r="C6973" s="946" t="s">
        <v>15</v>
      </c>
      <c r="D6973" s="947">
        <v>1.26</v>
      </c>
      <c r="E6973" s="947">
        <v>1.3</v>
      </c>
      <c r="F6973" s="948" t="s">
        <v>16</v>
      </c>
      <c r="G6973" s="949" t="s">
        <v>76</v>
      </c>
      <c r="H6973" s="948" t="s">
        <v>2034</v>
      </c>
      <c r="I6973" s="948" t="s">
        <v>2049</v>
      </c>
      <c r="J6973" s="950"/>
      <c r="K6973" s="948" t="str">
        <f t="shared" si="208"/>
        <v>08,26</v>
      </c>
      <c r="L6973" s="948" t="s">
        <v>28</v>
      </c>
      <c r="M6973" s="948">
        <v>1292.28</v>
      </c>
      <c r="N6973" s="530">
        <v>0.41666666666666669</v>
      </c>
      <c r="O6973" s="897" t="s">
        <v>2083</v>
      </c>
      <c r="P6973" s="867" t="s">
        <v>2108</v>
      </c>
    </row>
    <row r="6974" spans="1:16" ht="19.5" hidden="1" thickBot="1" x14ac:dyDescent="0.3">
      <c r="A6974" s="956"/>
      <c r="B6974" s="859" t="s">
        <v>2034</v>
      </c>
      <c r="C6974" s="854" t="s">
        <v>24</v>
      </c>
      <c r="D6974" s="855">
        <v>2.34</v>
      </c>
      <c r="E6974" s="855">
        <v>2.3690000000000002</v>
      </c>
      <c r="F6974" s="856" t="s">
        <v>16</v>
      </c>
      <c r="G6974" s="857" t="s">
        <v>76</v>
      </c>
      <c r="H6974" s="856" t="s">
        <v>2034</v>
      </c>
      <c r="I6974" s="856" t="s">
        <v>2049</v>
      </c>
      <c r="J6974" s="858"/>
      <c r="K6974" s="856" t="str">
        <f t="shared" si="208"/>
        <v>08,26</v>
      </c>
      <c r="L6974" s="856" t="s">
        <v>28</v>
      </c>
      <c r="M6974" s="856">
        <v>2369.1600000000003</v>
      </c>
      <c r="N6974" s="653">
        <v>0.41666666666666669</v>
      </c>
      <c r="O6974" s="897" t="s">
        <v>2082</v>
      </c>
      <c r="P6974" s="867" t="s">
        <v>2109</v>
      </c>
    </row>
    <row r="6975" spans="1:16" ht="57" hidden="1" thickBot="1" x14ac:dyDescent="0.3">
      <c r="A6975" s="957">
        <f>MAX(A6882:A6974)+1</f>
        <v>4329</v>
      </c>
      <c r="B6975" s="531" t="s">
        <v>1984</v>
      </c>
      <c r="C6975" s="532" t="s">
        <v>587</v>
      </c>
      <c r="D6975" s="533">
        <v>0.59299999999999997</v>
      </c>
      <c r="E6975" s="534">
        <v>0.45100000000000001</v>
      </c>
      <c r="F6975" s="535" t="s">
        <v>16</v>
      </c>
      <c r="G6975" s="536" t="s">
        <v>794</v>
      </c>
      <c r="H6975" s="535" t="s">
        <v>2034</v>
      </c>
      <c r="I6975" s="537" t="s">
        <v>2034</v>
      </c>
      <c r="J6975" s="538"/>
      <c r="K6975" s="535" t="str">
        <f t="shared" si="208"/>
        <v>08,26</v>
      </c>
      <c r="L6975" s="535" t="s">
        <v>28</v>
      </c>
      <c r="M6975" s="535">
        <v>593.28</v>
      </c>
      <c r="N6975" s="539">
        <v>0.45833333333333331</v>
      </c>
      <c r="O6975" s="897" t="s">
        <v>2045</v>
      </c>
      <c r="P6975" s="867" t="s">
        <v>2100</v>
      </c>
    </row>
    <row r="6976" spans="1:16" ht="19.5" hidden="1" thickBot="1" x14ac:dyDescent="0.3">
      <c r="A6976" s="958"/>
      <c r="B6976" s="563" t="s">
        <v>1984</v>
      </c>
      <c r="C6976" s="564" t="s">
        <v>587</v>
      </c>
      <c r="D6976" s="565">
        <v>8.36</v>
      </c>
      <c r="E6976" s="566">
        <v>6.992</v>
      </c>
      <c r="F6976" s="567" t="s">
        <v>16</v>
      </c>
      <c r="G6976" s="568" t="s">
        <v>47</v>
      </c>
      <c r="H6976" s="567" t="s">
        <v>2034</v>
      </c>
      <c r="I6976" s="569" t="s">
        <v>2034</v>
      </c>
      <c r="J6976" s="570"/>
      <c r="K6976" s="567" t="str">
        <f t="shared" si="208"/>
        <v>08,26</v>
      </c>
      <c r="L6976" s="567" t="s">
        <v>28</v>
      </c>
      <c r="M6976" s="567">
        <v>8360.8799999999992</v>
      </c>
      <c r="N6976" s="571">
        <v>0.45833333333333331</v>
      </c>
      <c r="O6976" s="897" t="s">
        <v>2046</v>
      </c>
      <c r="P6976" s="867" t="s">
        <v>2101</v>
      </c>
    </row>
    <row r="6977" spans="1:16" ht="19.5" hidden="1" thickBot="1" x14ac:dyDescent="0.3">
      <c r="A6977" s="958"/>
      <c r="B6977" s="563" t="s">
        <v>1984</v>
      </c>
      <c r="C6977" s="564" t="s">
        <v>47</v>
      </c>
      <c r="D6977" s="565">
        <v>8.7309999999999999</v>
      </c>
      <c r="E6977" s="566">
        <v>5.6429999999999998</v>
      </c>
      <c r="F6977" s="567" t="s">
        <v>16</v>
      </c>
      <c r="G6977" s="568"/>
      <c r="H6977" s="567" t="s">
        <v>2034</v>
      </c>
      <c r="I6977" s="569" t="s">
        <v>2034</v>
      </c>
      <c r="J6977" s="570"/>
      <c r="K6977" s="567" t="str">
        <f t="shared" si="208"/>
        <v>08,26</v>
      </c>
      <c r="L6977" s="567" t="s">
        <v>28</v>
      </c>
      <c r="M6977" s="567">
        <v>8891.89</v>
      </c>
      <c r="N6977" s="571">
        <v>0.45833333333333331</v>
      </c>
      <c r="O6977" s="897" t="s">
        <v>2044</v>
      </c>
      <c r="P6977" s="867" t="s">
        <v>2102</v>
      </c>
    </row>
    <row r="6978" spans="1:16" ht="19.5" hidden="1" thickBot="1" x14ac:dyDescent="0.3">
      <c r="A6978" s="958"/>
      <c r="B6978" s="836" t="s">
        <v>2034</v>
      </c>
      <c r="C6978" s="837" t="s">
        <v>47</v>
      </c>
      <c r="D6978" s="838">
        <v>2.85</v>
      </c>
      <c r="E6978" s="838">
        <v>2.8980000000000001</v>
      </c>
      <c r="F6978" s="839" t="s">
        <v>16</v>
      </c>
      <c r="G6978" s="850" t="s">
        <v>76</v>
      </c>
      <c r="H6978" s="839" t="s">
        <v>2034</v>
      </c>
      <c r="I6978" s="839" t="s">
        <v>2034</v>
      </c>
      <c r="J6978" s="840"/>
      <c r="K6978" s="839" t="str">
        <f t="shared" si="208"/>
        <v>08,26</v>
      </c>
      <c r="L6978" s="839" t="s">
        <v>28</v>
      </c>
      <c r="M6978" s="839">
        <v>2878.02</v>
      </c>
      <c r="N6978" s="598">
        <v>0.45833333333333331</v>
      </c>
      <c r="O6978" s="897" t="s">
        <v>2085</v>
      </c>
      <c r="P6978" s="867" t="s">
        <v>2103</v>
      </c>
    </row>
    <row r="6979" spans="1:16" ht="19.5" hidden="1" thickBot="1" x14ac:dyDescent="0.3">
      <c r="A6979" s="513">
        <f>MAX(A6885:A6978)+1</f>
        <v>4330</v>
      </c>
      <c r="B6979" s="514" t="s">
        <v>2006</v>
      </c>
      <c r="C6979" s="515" t="s">
        <v>26</v>
      </c>
      <c r="D6979" s="516">
        <v>14.669</v>
      </c>
      <c r="E6979" s="517">
        <v>14.669</v>
      </c>
      <c r="F6979" s="518" t="s">
        <v>30</v>
      </c>
      <c r="G6979" s="519"/>
      <c r="H6979" s="518" t="s">
        <v>2034</v>
      </c>
      <c r="I6979" s="520" t="s">
        <v>2034</v>
      </c>
      <c r="J6979" s="521"/>
      <c r="K6979" s="518" t="str">
        <f t="shared" si="208"/>
        <v>08,26</v>
      </c>
      <c r="L6979" s="518" t="s">
        <v>265</v>
      </c>
      <c r="M6979" s="518">
        <v>14669.72</v>
      </c>
      <c r="N6979" s="522">
        <v>0.375</v>
      </c>
      <c r="O6979" s="897" t="s">
        <v>2050</v>
      </c>
      <c r="P6979" s="867" t="s">
        <v>2095</v>
      </c>
    </row>
    <row r="6980" spans="1:16" ht="19.5" hidden="1" thickBot="1" x14ac:dyDescent="0.3">
      <c r="A6980" s="662">
        <f>MAX(A6886:A6979)+1</f>
        <v>4331</v>
      </c>
      <c r="B6980" s="663" t="s">
        <v>2006</v>
      </c>
      <c r="C6980" s="664" t="s">
        <v>32</v>
      </c>
      <c r="D6980" s="665">
        <v>17.5</v>
      </c>
      <c r="E6980" s="666" t="s">
        <v>1496</v>
      </c>
      <c r="F6980" s="667" t="s">
        <v>16</v>
      </c>
      <c r="G6980" s="668"/>
      <c r="H6980" s="667" t="s">
        <v>2034</v>
      </c>
      <c r="I6980" s="669" t="s">
        <v>1496</v>
      </c>
      <c r="J6980" s="670"/>
      <c r="K6980" s="667" t="str">
        <f t="shared" si="208"/>
        <v>тмена</v>
      </c>
      <c r="L6980" s="667" t="s">
        <v>266</v>
      </c>
      <c r="M6980" s="667">
        <v>17503.2</v>
      </c>
      <c r="N6980" s="671">
        <v>0.5</v>
      </c>
      <c r="O6980" s="920" t="s">
        <v>2052</v>
      </c>
      <c r="P6980" s="921" t="s">
        <v>1024</v>
      </c>
    </row>
    <row r="6981" spans="1:16" ht="19.5" hidden="1" thickBot="1" x14ac:dyDescent="0.3">
      <c r="A6981" s="954">
        <f>MAX(A6887:A6980)+1</f>
        <v>4332</v>
      </c>
      <c r="B6981" s="479" t="s">
        <v>2006</v>
      </c>
      <c r="C6981" s="480" t="s">
        <v>26</v>
      </c>
      <c r="D6981" s="481">
        <v>15.587</v>
      </c>
      <c r="E6981" s="482">
        <v>10.817</v>
      </c>
      <c r="F6981" s="483" t="s">
        <v>16</v>
      </c>
      <c r="G6981" s="549"/>
      <c r="H6981" s="483" t="s">
        <v>2049</v>
      </c>
      <c r="I6981" s="484" t="s">
        <v>2049</v>
      </c>
      <c r="J6981" s="485"/>
      <c r="K6981" s="483" t="str">
        <f t="shared" si="208"/>
        <v>08,26</v>
      </c>
      <c r="L6981" s="483" t="s">
        <v>265</v>
      </c>
      <c r="M6981" s="483">
        <v>15744.24</v>
      </c>
      <c r="N6981" s="486">
        <v>0.375</v>
      </c>
      <c r="O6981" s="897" t="s">
        <v>2053</v>
      </c>
      <c r="P6981" s="867" t="s">
        <v>2097</v>
      </c>
    </row>
    <row r="6982" spans="1:16" ht="19.5" hidden="1" thickBot="1" x14ac:dyDescent="0.3">
      <c r="A6982" s="955"/>
      <c r="B6982" s="523" t="s">
        <v>2006</v>
      </c>
      <c r="C6982" s="524" t="s">
        <v>952</v>
      </c>
      <c r="D6982" s="525">
        <v>1.8919999999999999</v>
      </c>
      <c r="E6982" s="526">
        <v>1.464</v>
      </c>
      <c r="F6982" s="527" t="s">
        <v>16</v>
      </c>
      <c r="G6982" s="561"/>
      <c r="H6982" s="527" t="s">
        <v>2049</v>
      </c>
      <c r="I6982" s="528" t="s">
        <v>2049</v>
      </c>
      <c r="J6982" s="529"/>
      <c r="K6982" s="527" t="str">
        <f t="shared" si="208"/>
        <v>08,26</v>
      </c>
      <c r="L6982" s="527" t="s">
        <v>265</v>
      </c>
      <c r="M6982" s="527">
        <v>1968.0600000000002</v>
      </c>
      <c r="N6982" s="530">
        <v>0.375</v>
      </c>
      <c r="O6982" s="897" t="s">
        <v>2051</v>
      </c>
      <c r="P6982" s="867" t="s">
        <v>2096</v>
      </c>
    </row>
    <row r="6983" spans="1:16" ht="19.5" hidden="1" thickBot="1" x14ac:dyDescent="0.3">
      <c r="A6983" s="955"/>
      <c r="B6983" s="945" t="s">
        <v>2049</v>
      </c>
      <c r="C6983" s="946" t="s">
        <v>26</v>
      </c>
      <c r="D6983" s="947">
        <v>1.85</v>
      </c>
      <c r="E6983" s="947">
        <v>1.869</v>
      </c>
      <c r="F6983" s="948" t="s">
        <v>16</v>
      </c>
      <c r="G6983" s="949" t="s">
        <v>76</v>
      </c>
      <c r="H6983" s="948" t="s">
        <v>2049</v>
      </c>
      <c r="I6983" s="948" t="s">
        <v>2049</v>
      </c>
      <c r="J6983" s="950"/>
      <c r="K6983" s="948" t="str">
        <f t="shared" si="208"/>
        <v>08,26</v>
      </c>
      <c r="L6983" s="948" t="s">
        <v>265</v>
      </c>
      <c r="M6983" s="948">
        <v>1860</v>
      </c>
      <c r="N6983" s="530">
        <v>0.375</v>
      </c>
      <c r="O6983" s="897" t="s">
        <v>2088</v>
      </c>
      <c r="P6983" s="867" t="s">
        <v>2098</v>
      </c>
    </row>
    <row r="6984" spans="1:16" ht="19.5" hidden="1" thickBot="1" x14ac:dyDescent="0.3">
      <c r="A6984" s="956"/>
      <c r="B6984" s="859" t="s">
        <v>2034</v>
      </c>
      <c r="C6984" s="854" t="s">
        <v>26</v>
      </c>
      <c r="D6984" s="855">
        <v>3.6</v>
      </c>
      <c r="E6984" s="855">
        <v>3.62</v>
      </c>
      <c r="F6984" s="856" t="s">
        <v>16</v>
      </c>
      <c r="G6984" s="857" t="s">
        <v>76</v>
      </c>
      <c r="H6984" s="856" t="s">
        <v>2049</v>
      </c>
      <c r="I6984" s="856" t="s">
        <v>2049</v>
      </c>
      <c r="J6984" s="858"/>
      <c r="K6984" s="856" t="str">
        <f t="shared" si="208"/>
        <v>08,26</v>
      </c>
      <c r="L6984" s="856" t="s">
        <v>265</v>
      </c>
      <c r="M6984" s="856">
        <v>3615.3</v>
      </c>
      <c r="N6984" s="653">
        <v>0.375</v>
      </c>
      <c r="O6984" s="897" t="s">
        <v>2086</v>
      </c>
      <c r="P6984" s="867" t="s">
        <v>2099</v>
      </c>
    </row>
    <row r="6985" spans="1:16" ht="19.5" hidden="1" thickBot="1" x14ac:dyDescent="0.3">
      <c r="A6985" s="959">
        <f>MAX(A6889:A6984)+1</f>
        <v>4333</v>
      </c>
      <c r="B6985" s="759" t="s">
        <v>2006</v>
      </c>
      <c r="C6985" s="532" t="s">
        <v>23</v>
      </c>
      <c r="D6985" s="533">
        <v>17.716999999999999</v>
      </c>
      <c r="E6985" s="534">
        <v>16.302</v>
      </c>
      <c r="F6985" s="535" t="s">
        <v>16</v>
      </c>
      <c r="G6985" s="898"/>
      <c r="H6985" s="535" t="s">
        <v>2049</v>
      </c>
      <c r="I6985" s="537" t="s">
        <v>2067</v>
      </c>
      <c r="J6985" s="538"/>
      <c r="K6985" s="535" t="str">
        <f t="shared" si="208"/>
        <v>08,26</v>
      </c>
      <c r="L6985" s="567" t="s">
        <v>28</v>
      </c>
      <c r="M6985" s="567">
        <v>17859.079999999998</v>
      </c>
      <c r="N6985" s="571">
        <v>0.41666666666666669</v>
      </c>
      <c r="O6985" s="897" t="s">
        <v>2054</v>
      </c>
      <c r="P6985" s="867" t="s">
        <v>2110</v>
      </c>
    </row>
    <row r="6986" spans="1:16" ht="19.5" hidden="1" thickBot="1" x14ac:dyDescent="0.3">
      <c r="A6986" s="960"/>
      <c r="B6986" s="798" t="s">
        <v>2049</v>
      </c>
      <c r="C6986" s="799" t="s">
        <v>23</v>
      </c>
      <c r="D6986" s="800">
        <v>1.48</v>
      </c>
      <c r="E6986" s="800">
        <v>1.5149999999999999</v>
      </c>
      <c r="F6986" s="801" t="s">
        <v>16</v>
      </c>
      <c r="G6986" s="942" t="s">
        <v>76</v>
      </c>
      <c r="H6986" s="801" t="s">
        <v>2049</v>
      </c>
      <c r="I6986" s="801" t="s">
        <v>2067</v>
      </c>
      <c r="J6986" s="803"/>
      <c r="K6986" s="801" t="str">
        <f t="shared" si="208"/>
        <v>08,26</v>
      </c>
      <c r="L6986" s="801" t="s">
        <v>28</v>
      </c>
      <c r="M6986" s="801">
        <v>1497.6</v>
      </c>
      <c r="N6986" s="804">
        <v>0.41666666666666669</v>
      </c>
      <c r="O6986" s="897" t="s">
        <v>2087</v>
      </c>
      <c r="P6986" s="867" t="s">
        <v>2111</v>
      </c>
    </row>
    <row r="6987" spans="1:16" ht="19.5" hidden="1" thickBot="1" x14ac:dyDescent="0.3">
      <c r="A6987" s="954">
        <f>MAX(A6890:A6986)+1</f>
        <v>4334</v>
      </c>
      <c r="B6987" s="479" t="s">
        <v>2031</v>
      </c>
      <c r="C6987" s="480" t="s">
        <v>667</v>
      </c>
      <c r="D6987" s="481">
        <v>3.2759999999999998</v>
      </c>
      <c r="E6987" s="482">
        <v>3.2759999999999998</v>
      </c>
      <c r="F6987" s="483" t="s">
        <v>30</v>
      </c>
      <c r="G6987" s="549"/>
      <c r="H6987" s="483" t="s">
        <v>2049</v>
      </c>
      <c r="I6987" s="484" t="s">
        <v>2067</v>
      </c>
      <c r="J6987" s="485"/>
      <c r="K6987" s="483" t="str">
        <f t="shared" si="208"/>
        <v>08,26</v>
      </c>
      <c r="L6987" s="483" t="s">
        <v>28</v>
      </c>
      <c r="M6987" s="483">
        <v>3276.3599999999997</v>
      </c>
      <c r="N6987" s="486">
        <v>0.41666666666666669</v>
      </c>
      <c r="O6987" s="897" t="s">
        <v>2063</v>
      </c>
      <c r="P6987" s="867" t="s">
        <v>2131</v>
      </c>
    </row>
    <row r="6988" spans="1:16" ht="19.5" hidden="1" thickBot="1" x14ac:dyDescent="0.3">
      <c r="A6988" s="956"/>
      <c r="B6988" s="645" t="s">
        <v>2031</v>
      </c>
      <c r="C6988" s="646" t="s">
        <v>764</v>
      </c>
      <c r="D6988" s="647">
        <v>6.9630000000000001</v>
      </c>
      <c r="E6988" s="648">
        <v>6.9630000000000001</v>
      </c>
      <c r="F6988" s="649" t="s">
        <v>30</v>
      </c>
      <c r="G6988" s="650"/>
      <c r="H6988" s="649" t="s">
        <v>2049</v>
      </c>
      <c r="I6988" s="651" t="s">
        <v>2067</v>
      </c>
      <c r="J6988" s="652"/>
      <c r="K6988" s="649" t="str">
        <f t="shared" si="208"/>
        <v>08,26</v>
      </c>
      <c r="L6988" s="649" t="s">
        <v>28</v>
      </c>
      <c r="M6988" s="649">
        <v>6962.9999999999991</v>
      </c>
      <c r="N6988" s="653">
        <v>0.41666666666666669</v>
      </c>
      <c r="O6988" s="897" t="s">
        <v>2062</v>
      </c>
      <c r="P6988" s="867" t="s">
        <v>2132</v>
      </c>
    </row>
    <row r="6989" spans="1:16" x14ac:dyDescent="0.25">
      <c r="A6989" s="957">
        <f>MAX(A6892:A6988)+1</f>
        <v>4335</v>
      </c>
      <c r="B6989" s="531" t="s">
        <v>2031</v>
      </c>
      <c r="C6989" s="532" t="s">
        <v>840</v>
      </c>
      <c r="D6989" s="533">
        <v>9.0020000000000007</v>
      </c>
      <c r="E6989" s="534">
        <v>8.0809999999999995</v>
      </c>
      <c r="F6989" s="535" t="s">
        <v>16</v>
      </c>
      <c r="G6989" s="536" t="s">
        <v>844</v>
      </c>
      <c r="H6989" s="535" t="s">
        <v>2049</v>
      </c>
      <c r="I6989" s="537" t="s">
        <v>2068</v>
      </c>
      <c r="J6989" s="538"/>
      <c r="K6989" s="531"/>
      <c r="L6989" s="535" t="s">
        <v>266</v>
      </c>
      <c r="M6989" s="535">
        <v>9082.1999999999989</v>
      </c>
      <c r="N6989" s="539">
        <v>0.45833333333333331</v>
      </c>
      <c r="O6989" s="897" t="s">
        <v>2065</v>
      </c>
      <c r="P6989" s="867" t="s">
        <v>2138</v>
      </c>
    </row>
    <row r="6990" spans="1:16" x14ac:dyDescent="0.25">
      <c r="A6990" s="958"/>
      <c r="B6990" s="911" t="s">
        <v>2031</v>
      </c>
      <c r="C6990" s="912" t="s">
        <v>840</v>
      </c>
      <c r="D6990" s="913">
        <v>5</v>
      </c>
      <c r="E6990" s="914" t="s">
        <v>1496</v>
      </c>
      <c r="F6990" s="915" t="s">
        <v>16</v>
      </c>
      <c r="G6990" s="916" t="s">
        <v>845</v>
      </c>
      <c r="H6990" s="915" t="s">
        <v>2049</v>
      </c>
      <c r="I6990" s="917" t="s">
        <v>1496</v>
      </c>
      <c r="J6990" s="918"/>
      <c r="K6990" s="911"/>
      <c r="L6990" s="915" t="s">
        <v>266</v>
      </c>
      <c r="M6990" s="915">
        <v>5004</v>
      </c>
      <c r="N6990" s="919">
        <v>0.45833333333333331</v>
      </c>
      <c r="O6990" s="920" t="s">
        <v>2066</v>
      </c>
      <c r="P6990" s="921" t="s">
        <v>1024</v>
      </c>
    </row>
    <row r="6991" spans="1:16" ht="19.5" thickBot="1" x14ac:dyDescent="0.3">
      <c r="A6991" s="961"/>
      <c r="B6991" s="636" t="s">
        <v>2031</v>
      </c>
      <c r="C6991" s="637" t="s">
        <v>480</v>
      </c>
      <c r="D6991" s="638">
        <v>8.84</v>
      </c>
      <c r="E6991" s="639">
        <v>6.0350000000000001</v>
      </c>
      <c r="F6991" s="640" t="s">
        <v>16</v>
      </c>
      <c r="G6991" s="641"/>
      <c r="H6991" s="640" t="s">
        <v>2049</v>
      </c>
      <c r="I6991" s="642" t="s">
        <v>2068</v>
      </c>
      <c r="J6991" s="643"/>
      <c r="K6991" s="636"/>
      <c r="L6991" s="640" t="s">
        <v>266</v>
      </c>
      <c r="M6991" s="640">
        <v>8964.15</v>
      </c>
      <c r="N6991" s="644">
        <v>0.45833333333333331</v>
      </c>
      <c r="O6991" s="897" t="s">
        <v>2064</v>
      </c>
      <c r="P6991" s="867" t="s">
        <v>2139</v>
      </c>
    </row>
    <row r="6992" spans="1:16" x14ac:dyDescent="0.25">
      <c r="A6992" s="954">
        <f>MAX(A6895:A6991)+1</f>
        <v>4336</v>
      </c>
      <c r="B6992" s="479" t="s">
        <v>2031</v>
      </c>
      <c r="C6992" s="480" t="s">
        <v>26</v>
      </c>
      <c r="D6992" s="481">
        <v>11.048999999999999</v>
      </c>
      <c r="E6992" s="482">
        <v>8.7330000000000005</v>
      </c>
      <c r="F6992" s="483" t="s">
        <v>16</v>
      </c>
      <c r="G6992" s="549"/>
      <c r="H6992" s="483" t="s">
        <v>2067</v>
      </c>
      <c r="I6992" s="484" t="s">
        <v>2067</v>
      </c>
      <c r="J6992" s="485"/>
      <c r="K6992" s="479"/>
      <c r="L6992" s="483" t="s">
        <v>265</v>
      </c>
      <c r="M6992" s="483">
        <v>11215.979999999998</v>
      </c>
      <c r="N6992" s="486">
        <v>0.375</v>
      </c>
      <c r="O6992" s="897" t="s">
        <v>2070</v>
      </c>
      <c r="P6992" s="867" t="s">
        <v>2140</v>
      </c>
    </row>
    <row r="6993" spans="1:18" x14ac:dyDescent="0.25">
      <c r="A6993" s="955"/>
      <c r="B6993" s="523" t="s">
        <v>2031</v>
      </c>
      <c r="C6993" s="524" t="s">
        <v>1358</v>
      </c>
      <c r="D6993" s="525">
        <v>4.5359999999999996</v>
      </c>
      <c r="E6993" s="526">
        <v>3.8250000000000002</v>
      </c>
      <c r="F6993" s="527" t="s">
        <v>16</v>
      </c>
      <c r="G6993" s="561" t="s">
        <v>844</v>
      </c>
      <c r="H6993" s="527" t="s">
        <v>2067</v>
      </c>
      <c r="I6993" s="528" t="s">
        <v>2067</v>
      </c>
      <c r="J6993" s="529"/>
      <c r="K6993" s="523"/>
      <c r="L6993" s="527" t="s">
        <v>265</v>
      </c>
      <c r="M6993" s="527">
        <v>4649.4599999999991</v>
      </c>
      <c r="N6993" s="530">
        <v>0.375</v>
      </c>
      <c r="O6993" s="897" t="s">
        <v>2071</v>
      </c>
      <c r="P6993" s="867" t="s">
        <v>2141</v>
      </c>
    </row>
    <row r="6994" spans="1:18" x14ac:dyDescent="0.25">
      <c r="A6994" s="955"/>
      <c r="B6994" s="523" t="s">
        <v>2031</v>
      </c>
      <c r="C6994" s="524" t="s">
        <v>1358</v>
      </c>
      <c r="D6994" s="525">
        <v>1.764</v>
      </c>
      <c r="E6994" s="526">
        <v>1.3819999999999999</v>
      </c>
      <c r="F6994" s="527" t="s">
        <v>16</v>
      </c>
      <c r="G6994" s="561" t="s">
        <v>845</v>
      </c>
      <c r="H6994" s="527" t="s">
        <v>2067</v>
      </c>
      <c r="I6994" s="528" t="s">
        <v>2067</v>
      </c>
      <c r="J6994" s="529"/>
      <c r="K6994" s="523"/>
      <c r="L6994" s="527" t="s">
        <v>265</v>
      </c>
      <c r="M6994" s="527">
        <v>1850.04</v>
      </c>
      <c r="N6994" s="530">
        <v>0.375</v>
      </c>
      <c r="O6994" s="897" t="s">
        <v>2072</v>
      </c>
      <c r="P6994" s="834" t="s">
        <v>2142</v>
      </c>
    </row>
    <row r="6995" spans="1:18" ht="19.5" thickBot="1" x14ac:dyDescent="0.3">
      <c r="A6995" s="956"/>
      <c r="B6995" s="859" t="s">
        <v>2049</v>
      </c>
      <c r="C6995" s="854" t="s">
        <v>26</v>
      </c>
      <c r="D6995" s="855">
        <v>3.75</v>
      </c>
      <c r="E6995" s="855">
        <v>3.782</v>
      </c>
      <c r="F6995" s="856" t="s">
        <v>16</v>
      </c>
      <c r="G6995" s="857" t="s">
        <v>76</v>
      </c>
      <c r="H6995" s="856" t="s">
        <v>2067</v>
      </c>
      <c r="I6995" s="856" t="s">
        <v>2067</v>
      </c>
      <c r="J6995" s="858"/>
      <c r="K6995" s="859"/>
      <c r="L6995" s="856" t="s">
        <v>265</v>
      </c>
      <c r="M6995" s="856">
        <v>3750</v>
      </c>
      <c r="N6995" s="653">
        <v>0.375</v>
      </c>
      <c r="O6995" s="897" t="s">
        <v>2128</v>
      </c>
      <c r="P6995" s="867" t="s">
        <v>2143</v>
      </c>
    </row>
    <row r="6996" spans="1:18" x14ac:dyDescent="0.25">
      <c r="A6996" s="959">
        <f>MAX(A6898:A6995)+1</f>
        <v>4337</v>
      </c>
      <c r="B6996" s="759" t="s">
        <v>2031</v>
      </c>
      <c r="C6996" s="532" t="s">
        <v>26</v>
      </c>
      <c r="D6996" s="533">
        <v>17.388000000000002</v>
      </c>
      <c r="E6996" s="534">
        <v>13.606999999999999</v>
      </c>
      <c r="F6996" s="535" t="s">
        <v>16</v>
      </c>
      <c r="G6996" s="898"/>
      <c r="H6996" s="535" t="s">
        <v>2067</v>
      </c>
      <c r="I6996" s="537" t="s">
        <v>2067</v>
      </c>
      <c r="J6996" s="538"/>
      <c r="K6996" s="563"/>
      <c r="L6996" s="567" t="s">
        <v>265</v>
      </c>
      <c r="M6996" s="567">
        <v>17547.560000000001</v>
      </c>
      <c r="N6996" s="571">
        <v>0.41666666666666669</v>
      </c>
      <c r="O6996" s="897" t="s">
        <v>2079</v>
      </c>
      <c r="P6996" s="867" t="s">
        <v>2135</v>
      </c>
    </row>
    <row r="6997" spans="1:18" x14ac:dyDescent="0.25">
      <c r="A6997" s="972"/>
      <c r="B6997" s="852" t="s">
        <v>2067</v>
      </c>
      <c r="C6997" s="837" t="s">
        <v>26</v>
      </c>
      <c r="D6997" s="838">
        <v>1.9</v>
      </c>
      <c r="E6997" s="838">
        <v>1.9119999999999999</v>
      </c>
      <c r="F6997" s="839" t="s">
        <v>16</v>
      </c>
      <c r="G6997" s="951" t="s">
        <v>76</v>
      </c>
      <c r="H6997" s="839" t="s">
        <v>2067</v>
      </c>
      <c r="I6997" s="839" t="s">
        <v>2067</v>
      </c>
      <c r="J6997" s="840"/>
      <c r="K6997" s="836"/>
      <c r="L6997" s="839" t="s">
        <v>265</v>
      </c>
      <c r="M6997" s="839">
        <v>1905</v>
      </c>
      <c r="N6997" s="598">
        <v>0.41666666666666669</v>
      </c>
      <c r="O6997" s="897" t="s">
        <v>2115</v>
      </c>
      <c r="P6997" s="867" t="s">
        <v>2136</v>
      </c>
    </row>
    <row r="6998" spans="1:18" ht="19.5" thickBot="1" x14ac:dyDescent="0.3">
      <c r="A6998" s="960"/>
      <c r="B6998" s="798" t="s">
        <v>2049</v>
      </c>
      <c r="C6998" s="799" t="s">
        <v>26</v>
      </c>
      <c r="D6998" s="800">
        <v>1.85</v>
      </c>
      <c r="E6998" s="800">
        <v>1.8680000000000001</v>
      </c>
      <c r="F6998" s="801" t="s">
        <v>16</v>
      </c>
      <c r="G6998" s="942" t="s">
        <v>76</v>
      </c>
      <c r="H6998" s="801" t="s">
        <v>2067</v>
      </c>
      <c r="I6998" s="801" t="s">
        <v>2067</v>
      </c>
      <c r="J6998" s="803"/>
      <c r="K6998" s="848"/>
      <c r="L6998" s="801" t="s">
        <v>265</v>
      </c>
      <c r="M6998" s="801">
        <v>1860</v>
      </c>
      <c r="N6998" s="804">
        <v>0.41666666666666669</v>
      </c>
      <c r="O6998" s="897" t="s">
        <v>2114</v>
      </c>
      <c r="P6998" s="867" t="s">
        <v>2137</v>
      </c>
    </row>
    <row r="6999" spans="1:18" ht="18.75" customHeight="1" x14ac:dyDescent="0.25">
      <c r="A6999" s="1022">
        <f>MAX(A6899:A6998)+1</f>
        <v>4338</v>
      </c>
      <c r="B6999" s="610" t="s">
        <v>2031</v>
      </c>
      <c r="C6999" s="480" t="s">
        <v>15</v>
      </c>
      <c r="D6999" s="481">
        <v>8.4060000000000006</v>
      </c>
      <c r="E6999" s="482">
        <v>6.5730000000000004</v>
      </c>
      <c r="F6999" s="483" t="s">
        <v>16</v>
      </c>
      <c r="G6999" s="967" t="s">
        <v>1633</v>
      </c>
      <c r="H6999" s="483" t="s">
        <v>2067</v>
      </c>
      <c r="I6999" s="484" t="s">
        <v>2068</v>
      </c>
      <c r="J6999" s="485"/>
      <c r="K6999" s="479"/>
      <c r="L6999" s="483" t="s">
        <v>28</v>
      </c>
      <c r="M6999" s="483">
        <v>8593.130000000001</v>
      </c>
      <c r="N6999" s="486">
        <v>0.45833333333333331</v>
      </c>
      <c r="O6999" s="897" t="s">
        <v>2073</v>
      </c>
      <c r="P6999" s="867" t="s">
        <v>2154</v>
      </c>
      <c r="R6999" s="943"/>
    </row>
    <row r="7000" spans="1:18" x14ac:dyDescent="0.25">
      <c r="A7000" s="963"/>
      <c r="B7000" s="769" t="s">
        <v>2031</v>
      </c>
      <c r="C7000" s="764" t="s">
        <v>24</v>
      </c>
      <c r="D7000" s="765">
        <v>8.3030000000000008</v>
      </c>
      <c r="E7000" s="766">
        <v>5.9240000000000004</v>
      </c>
      <c r="F7000" s="763" t="s">
        <v>16</v>
      </c>
      <c r="G7000" s="969"/>
      <c r="H7000" s="763" t="s">
        <v>2067</v>
      </c>
      <c r="I7000" s="768" t="s">
        <v>2068</v>
      </c>
      <c r="J7000" s="779"/>
      <c r="K7000" s="791"/>
      <c r="L7000" s="763" t="s">
        <v>28</v>
      </c>
      <c r="M7000" s="763">
        <v>8484.9500000000007</v>
      </c>
      <c r="N7000" s="770">
        <v>0.45833333333333331</v>
      </c>
      <c r="O7000" s="897" t="s">
        <v>2074</v>
      </c>
      <c r="P7000" s="867" t="s">
        <v>2155</v>
      </c>
    </row>
    <row r="7001" spans="1:18" ht="18.75" customHeight="1" x14ac:dyDescent="0.25">
      <c r="A7001" s="963"/>
      <c r="B7001" s="864" t="s">
        <v>2067</v>
      </c>
      <c r="C7001" s="861" t="s">
        <v>15</v>
      </c>
      <c r="D7001" s="862">
        <v>1.7</v>
      </c>
      <c r="E7001" s="862">
        <v>1.716</v>
      </c>
      <c r="F7001" s="860" t="s">
        <v>16</v>
      </c>
      <c r="G7001" s="969"/>
      <c r="H7001" s="860" t="s">
        <v>2067</v>
      </c>
      <c r="I7001" s="860" t="s">
        <v>2068</v>
      </c>
      <c r="J7001" s="865"/>
      <c r="K7001" s="952"/>
      <c r="L7001" s="860" t="s">
        <v>28</v>
      </c>
      <c r="M7001" s="860">
        <v>1718.64</v>
      </c>
      <c r="N7001" s="770">
        <v>0.45833333333333331</v>
      </c>
      <c r="O7001" s="897" t="s">
        <v>2120</v>
      </c>
      <c r="P7001" s="867" t="s">
        <v>2156</v>
      </c>
    </row>
    <row r="7002" spans="1:18" ht="18.75" customHeight="1" x14ac:dyDescent="0.25">
      <c r="A7002" s="963"/>
      <c r="B7002" s="841" t="s">
        <v>2068</v>
      </c>
      <c r="C7002" s="842" t="s">
        <v>24</v>
      </c>
      <c r="D7002" s="843">
        <v>0.7</v>
      </c>
      <c r="E7002" s="843">
        <v>0.70299999999999996</v>
      </c>
      <c r="F7002" s="844" t="s">
        <v>16</v>
      </c>
      <c r="G7002" s="969"/>
      <c r="H7002" s="844" t="s">
        <v>2067</v>
      </c>
      <c r="I7002" s="844" t="s">
        <v>2068</v>
      </c>
      <c r="J7002" s="845"/>
      <c r="K7002" s="886"/>
      <c r="L7002" s="844" t="s">
        <v>28</v>
      </c>
      <c r="M7002" s="844">
        <v>705</v>
      </c>
      <c r="N7002" s="846">
        <v>0.45833333333333331</v>
      </c>
      <c r="O7002" s="897" t="s">
        <v>2147</v>
      </c>
      <c r="P7002" s="867" t="s">
        <v>2157</v>
      </c>
    </row>
    <row r="7003" spans="1:18" ht="19.5" thickBot="1" x14ac:dyDescent="0.3">
      <c r="A7003" s="1018"/>
      <c r="B7003" s="805" t="s">
        <v>2067</v>
      </c>
      <c r="C7003" s="806" t="s">
        <v>24</v>
      </c>
      <c r="D7003" s="807">
        <v>2.1</v>
      </c>
      <c r="E7003" s="807">
        <v>2.12</v>
      </c>
      <c r="F7003" s="808" t="s">
        <v>16</v>
      </c>
      <c r="G7003" s="968"/>
      <c r="H7003" s="808" t="s">
        <v>2067</v>
      </c>
      <c r="I7003" s="808" t="s">
        <v>2068</v>
      </c>
      <c r="J7003" s="810"/>
      <c r="K7003" s="887"/>
      <c r="L7003" s="808" t="s">
        <v>28</v>
      </c>
      <c r="M7003" s="808">
        <v>2115</v>
      </c>
      <c r="N7003" s="778">
        <v>0.45833333333333331</v>
      </c>
      <c r="O7003" s="897" t="s">
        <v>2125</v>
      </c>
      <c r="P7003" s="867" t="s">
        <v>2158</v>
      </c>
    </row>
    <row r="7004" spans="1:18" x14ac:dyDescent="0.25">
      <c r="A7004" s="959">
        <f>MAX(A6901:A7003)+1</f>
        <v>4339</v>
      </c>
      <c r="B7004" s="759" t="s">
        <v>2031</v>
      </c>
      <c r="C7004" s="532" t="s">
        <v>47</v>
      </c>
      <c r="D7004" s="533">
        <v>17.602</v>
      </c>
      <c r="E7004" s="534">
        <v>14.334</v>
      </c>
      <c r="F7004" s="535" t="s">
        <v>16</v>
      </c>
      <c r="G7004" s="898"/>
      <c r="H7004" s="535" t="s">
        <v>2067</v>
      </c>
      <c r="I7004" s="537" t="s">
        <v>2067</v>
      </c>
      <c r="J7004" s="538"/>
      <c r="K7004" s="563"/>
      <c r="L7004" s="567" t="s">
        <v>28</v>
      </c>
      <c r="M7004" s="567">
        <v>17819.179999999997</v>
      </c>
      <c r="N7004" s="571">
        <v>0.5</v>
      </c>
      <c r="O7004" s="897" t="s">
        <v>2075</v>
      </c>
      <c r="P7004" s="867" t="s">
        <v>2145</v>
      </c>
    </row>
    <row r="7005" spans="1:18" ht="19.5" thickBot="1" x14ac:dyDescent="0.3">
      <c r="A7005" s="960"/>
      <c r="B7005" s="798" t="s">
        <v>2067</v>
      </c>
      <c r="C7005" s="799" t="s">
        <v>47</v>
      </c>
      <c r="D7005" s="800">
        <v>3.2</v>
      </c>
      <c r="E7005" s="800">
        <v>3.2610000000000001</v>
      </c>
      <c r="F7005" s="801" t="s">
        <v>16</v>
      </c>
      <c r="G7005" s="942" t="s">
        <v>76</v>
      </c>
      <c r="H7005" s="801" t="s">
        <v>2067</v>
      </c>
      <c r="I7005" s="801" t="s">
        <v>2067</v>
      </c>
      <c r="J7005" s="803"/>
      <c r="K7005" s="848"/>
      <c r="L7005" s="801" t="s">
        <v>28</v>
      </c>
      <c r="M7005" s="801">
        <v>3215.04</v>
      </c>
      <c r="N7005" s="804">
        <v>0.5</v>
      </c>
      <c r="O7005" s="897" t="s">
        <v>2123</v>
      </c>
      <c r="P7005" s="867" t="s">
        <v>2146</v>
      </c>
    </row>
    <row r="7006" spans="1:18" x14ac:dyDescent="0.25">
      <c r="A7006" s="954">
        <f>MAX(A6902:A7005)+1</f>
        <v>4340</v>
      </c>
      <c r="B7006" s="610" t="s">
        <v>2031</v>
      </c>
      <c r="C7006" s="480" t="s">
        <v>23</v>
      </c>
      <c r="D7006" s="481">
        <v>17.59</v>
      </c>
      <c r="E7006" s="482">
        <v>16.478000000000002</v>
      </c>
      <c r="F7006" s="483" t="s">
        <v>16</v>
      </c>
      <c r="G7006" s="899"/>
      <c r="H7006" s="483" t="s">
        <v>2067</v>
      </c>
      <c r="I7006" s="484" t="s">
        <v>2067</v>
      </c>
      <c r="J7006" s="485"/>
      <c r="K7006" s="479"/>
      <c r="L7006" s="483" t="s">
        <v>28</v>
      </c>
      <c r="M7006" s="483">
        <v>17754.54</v>
      </c>
      <c r="N7006" s="486">
        <v>0.54166666666666663</v>
      </c>
      <c r="O7006" s="897" t="s">
        <v>2076</v>
      </c>
      <c r="P7006" s="867" t="s">
        <v>2133</v>
      </c>
    </row>
    <row r="7007" spans="1:18" ht="19.5" thickBot="1" x14ac:dyDescent="0.3">
      <c r="A7007" s="956"/>
      <c r="B7007" s="805" t="s">
        <v>2067</v>
      </c>
      <c r="C7007" s="806" t="s">
        <v>23</v>
      </c>
      <c r="D7007" s="807">
        <v>1.25</v>
      </c>
      <c r="E7007" s="807">
        <v>1.266</v>
      </c>
      <c r="F7007" s="808" t="s">
        <v>16</v>
      </c>
      <c r="G7007" s="902"/>
      <c r="H7007" s="808" t="s">
        <v>2067</v>
      </c>
      <c r="I7007" s="808" t="s">
        <v>2067</v>
      </c>
      <c r="J7007" s="810"/>
      <c r="K7007" s="887"/>
      <c r="L7007" s="808" t="s">
        <v>28</v>
      </c>
      <c r="M7007" s="808">
        <v>1264.08</v>
      </c>
      <c r="N7007" s="778">
        <v>0.54166666666666663</v>
      </c>
      <c r="O7007" s="897" t="s">
        <v>2124</v>
      </c>
      <c r="P7007" s="867" t="s">
        <v>2134</v>
      </c>
    </row>
    <row r="7008" spans="1:18" ht="19.5" thickBot="1" x14ac:dyDescent="0.3">
      <c r="A7008" s="503">
        <f>MAX(A6903:A7006)+1</f>
        <v>4341</v>
      </c>
      <c r="B7008" s="504" t="s">
        <v>2031</v>
      </c>
      <c r="C7008" s="505" t="s">
        <v>26</v>
      </c>
      <c r="D7008" s="506">
        <v>14.385999999999999</v>
      </c>
      <c r="E7008" s="507">
        <v>14.385999999999999</v>
      </c>
      <c r="F7008" s="508" t="s">
        <v>30</v>
      </c>
      <c r="G7008" s="509"/>
      <c r="H7008" s="508" t="s">
        <v>2067</v>
      </c>
      <c r="I7008" s="510" t="s">
        <v>2067</v>
      </c>
      <c r="J7008" s="511"/>
      <c r="K7008" s="504"/>
      <c r="L7008" s="508" t="s">
        <v>265</v>
      </c>
      <c r="M7008" s="508">
        <v>14386.36</v>
      </c>
      <c r="N7008" s="512">
        <v>0.375</v>
      </c>
      <c r="O7008" s="897" t="s">
        <v>2069</v>
      </c>
      <c r="P7008" s="867" t="s">
        <v>2127</v>
      </c>
    </row>
    <row r="7009" spans="1:16" ht="19.5" thickBot="1" x14ac:dyDescent="0.3">
      <c r="A7009" s="513">
        <f>MAX(A6904:A7008)+1</f>
        <v>4342</v>
      </c>
      <c r="B7009" s="514" t="s">
        <v>2031</v>
      </c>
      <c r="C7009" s="515" t="s">
        <v>587</v>
      </c>
      <c r="D7009" s="516">
        <v>10.834</v>
      </c>
      <c r="E7009" s="517"/>
      <c r="F7009" s="518" t="s">
        <v>30</v>
      </c>
      <c r="G7009" s="519" t="s">
        <v>23</v>
      </c>
      <c r="H7009" s="518" t="s">
        <v>2067</v>
      </c>
      <c r="I7009" s="520"/>
      <c r="J7009" s="521"/>
      <c r="K7009" s="514"/>
      <c r="L7009" s="518" t="s">
        <v>28</v>
      </c>
      <c r="M7009" s="518">
        <v>10834.2</v>
      </c>
      <c r="N7009" s="522">
        <v>0.41666666666666669</v>
      </c>
      <c r="O7009" s="897" t="s">
        <v>2113</v>
      </c>
    </row>
    <row r="7010" spans="1:16" ht="19.5" thickBot="1" x14ac:dyDescent="0.3">
      <c r="A7010" s="503">
        <f>MAX(A6902:A7009)+1</f>
        <v>4343</v>
      </c>
      <c r="B7010" s="504" t="s">
        <v>2034</v>
      </c>
      <c r="C7010" s="505" t="s">
        <v>1382</v>
      </c>
      <c r="D7010" s="506">
        <v>17.96</v>
      </c>
      <c r="E7010" s="507">
        <v>17.73</v>
      </c>
      <c r="F7010" s="508" t="s">
        <v>16</v>
      </c>
      <c r="G7010" s="509"/>
      <c r="H7010" s="508" t="s">
        <v>2067</v>
      </c>
      <c r="I7010" s="510" t="s">
        <v>2067</v>
      </c>
      <c r="J7010" s="511"/>
      <c r="K7010" s="504"/>
      <c r="L7010" s="508" t="s">
        <v>266</v>
      </c>
      <c r="M7010" s="508">
        <v>18116.34</v>
      </c>
      <c r="N7010" s="512">
        <v>0.58333333333333337</v>
      </c>
      <c r="O7010" s="897" t="s">
        <v>2084</v>
      </c>
      <c r="P7010" s="867" t="s">
        <v>2144</v>
      </c>
    </row>
    <row r="7011" spans="1:16" x14ac:dyDescent="0.25">
      <c r="A7011" s="954">
        <f>MAX(A6903:A7010)+1</f>
        <v>4344</v>
      </c>
      <c r="B7011" s="610" t="s">
        <v>2031</v>
      </c>
      <c r="C7011" s="480" t="s">
        <v>26</v>
      </c>
      <c r="D7011" s="481">
        <v>17.321999999999999</v>
      </c>
      <c r="E7011" s="482">
        <v>13.848000000000001</v>
      </c>
      <c r="F7011" s="483" t="s">
        <v>16</v>
      </c>
      <c r="G7011" s="899"/>
      <c r="H7011" s="483" t="s">
        <v>2068</v>
      </c>
      <c r="I7011" s="484" t="s">
        <v>2116</v>
      </c>
      <c r="J7011" s="485"/>
      <c r="K7011" s="479"/>
      <c r="L7011" s="483" t="s">
        <v>265</v>
      </c>
      <c r="M7011" s="483">
        <v>17508.819999999992</v>
      </c>
      <c r="N7011" s="486">
        <v>0.375</v>
      </c>
      <c r="O7011" s="897" t="s">
        <v>2077</v>
      </c>
      <c r="P7011" s="867" t="s">
        <v>2171</v>
      </c>
    </row>
    <row r="7012" spans="1:16" x14ac:dyDescent="0.25">
      <c r="A7012" s="955"/>
      <c r="B7012" s="792" t="s">
        <v>2067</v>
      </c>
      <c r="C7012" s="793" t="s">
        <v>26</v>
      </c>
      <c r="D7012" s="794">
        <v>1.7</v>
      </c>
      <c r="E7012" s="794">
        <v>1.7230000000000001</v>
      </c>
      <c r="F7012" s="795" t="s">
        <v>16</v>
      </c>
      <c r="G7012" s="903" t="s">
        <v>76</v>
      </c>
      <c r="H7012" s="795" t="s">
        <v>2068</v>
      </c>
      <c r="I7012" s="795" t="s">
        <v>2116</v>
      </c>
      <c r="J7012" s="797"/>
      <c r="K7012" s="944"/>
      <c r="L7012" s="795" t="s">
        <v>265</v>
      </c>
      <c r="M7012" s="795">
        <v>1712.6</v>
      </c>
      <c r="N7012" s="502">
        <v>0.375</v>
      </c>
      <c r="O7012" s="897" t="s">
        <v>2130</v>
      </c>
      <c r="P7012" s="867" t="s">
        <v>2172</v>
      </c>
    </row>
    <row r="7013" spans="1:16" ht="19.5" thickBot="1" x14ac:dyDescent="0.3">
      <c r="A7013" s="956"/>
      <c r="B7013" s="841" t="s">
        <v>2067</v>
      </c>
      <c r="C7013" s="842" t="s">
        <v>26</v>
      </c>
      <c r="D7013" s="843">
        <v>3.7</v>
      </c>
      <c r="E7013" s="843">
        <v>2.0129999999999999</v>
      </c>
      <c r="F7013" s="844" t="s">
        <v>16</v>
      </c>
      <c r="G7013" s="904" t="s">
        <v>76</v>
      </c>
      <c r="H7013" s="844" t="s">
        <v>2068</v>
      </c>
      <c r="I7013" s="844" t="s">
        <v>2116</v>
      </c>
      <c r="J7013" s="845"/>
      <c r="K7013" s="886"/>
      <c r="L7013" s="844" t="s">
        <v>265</v>
      </c>
      <c r="M7013" s="844">
        <v>3705</v>
      </c>
      <c r="N7013" s="846">
        <v>0.375</v>
      </c>
      <c r="O7013" s="897" t="s">
        <v>2129</v>
      </c>
      <c r="P7013" s="867" t="s">
        <v>2173</v>
      </c>
    </row>
    <row r="7014" spans="1:16" x14ac:dyDescent="0.25">
      <c r="A7014" s="959">
        <f>MAX(A6904:A7013)+1</f>
        <v>4345</v>
      </c>
      <c r="B7014" s="759" t="s">
        <v>2031</v>
      </c>
      <c r="C7014" s="532" t="s">
        <v>23</v>
      </c>
      <c r="D7014" s="533">
        <v>17.219000000000001</v>
      </c>
      <c r="E7014" s="534">
        <v>16.494</v>
      </c>
      <c r="F7014" s="535" t="s">
        <v>16</v>
      </c>
      <c r="G7014" s="970" t="s">
        <v>1634</v>
      </c>
      <c r="H7014" s="535" t="s">
        <v>2068</v>
      </c>
      <c r="I7014" s="537" t="s">
        <v>2068</v>
      </c>
      <c r="J7014" s="538"/>
      <c r="K7014" s="531"/>
      <c r="L7014" s="535" t="s">
        <v>28</v>
      </c>
      <c r="M7014" s="535">
        <v>17310.52</v>
      </c>
      <c r="N7014" s="539">
        <v>0.41666666666666669</v>
      </c>
      <c r="O7014" s="897" t="s">
        <v>2078</v>
      </c>
      <c r="P7014" s="867" t="s">
        <v>2160</v>
      </c>
    </row>
    <row r="7015" spans="1:16" ht="19.5" thickBot="1" x14ac:dyDescent="0.3">
      <c r="A7015" s="960"/>
      <c r="B7015" s="785" t="s">
        <v>2068</v>
      </c>
      <c r="C7015" s="786" t="s">
        <v>23</v>
      </c>
      <c r="D7015" s="787">
        <v>0.84</v>
      </c>
      <c r="E7015" s="787">
        <v>0.84</v>
      </c>
      <c r="F7015" s="788" t="s">
        <v>16</v>
      </c>
      <c r="G7015" s="971"/>
      <c r="H7015" s="873" t="s">
        <v>2068</v>
      </c>
      <c r="I7015" s="788" t="s">
        <v>2068</v>
      </c>
      <c r="J7015" s="790"/>
      <c r="K7015" s="877"/>
      <c r="L7015" s="788" t="s">
        <v>28</v>
      </c>
      <c r="M7015" s="788">
        <v>843.60000000000014</v>
      </c>
      <c r="N7015" s="784">
        <v>0.41666666666666669</v>
      </c>
      <c r="O7015" s="897" t="s">
        <v>2150</v>
      </c>
      <c r="P7015" s="867" t="s">
        <v>2161</v>
      </c>
    </row>
    <row r="7016" spans="1:16" ht="19.5" thickBot="1" x14ac:dyDescent="0.3">
      <c r="A7016" s="513">
        <f>MAX(A6905:A7015)+1</f>
        <v>4346</v>
      </c>
      <c r="B7016" s="495" t="s">
        <v>2067</v>
      </c>
      <c r="C7016" s="496" t="s">
        <v>26</v>
      </c>
      <c r="D7016" s="497">
        <v>14.736000000000001</v>
      </c>
      <c r="E7016" s="498">
        <v>14.736000000000001</v>
      </c>
      <c r="F7016" s="499" t="s">
        <v>30</v>
      </c>
      <c r="G7016" s="562"/>
      <c r="H7016" s="499" t="s">
        <v>2116</v>
      </c>
      <c r="I7016" s="500" t="s">
        <v>2148</v>
      </c>
      <c r="J7016" s="501"/>
      <c r="K7016" s="495"/>
      <c r="L7016" s="499" t="s">
        <v>265</v>
      </c>
      <c r="M7016" s="499">
        <v>14736.039999999999</v>
      </c>
      <c r="N7016" s="502">
        <v>0.375</v>
      </c>
      <c r="O7016" s="897" t="s">
        <v>2117</v>
      </c>
      <c r="P7016" s="867" t="s">
        <v>2194</v>
      </c>
    </row>
    <row r="7017" spans="1:16" x14ac:dyDescent="0.25">
      <c r="A7017" s="959">
        <f>MAX(A6906:A7016)+1</f>
        <v>4347</v>
      </c>
      <c r="B7017" s="759" t="s">
        <v>2067</v>
      </c>
      <c r="C7017" s="532" t="s">
        <v>320</v>
      </c>
      <c r="D7017" s="533">
        <v>1.159</v>
      </c>
      <c r="E7017" s="534">
        <v>1.159</v>
      </c>
      <c r="F7017" s="535" t="s">
        <v>30</v>
      </c>
      <c r="G7017" s="536"/>
      <c r="H7017" s="535" t="s">
        <v>2116</v>
      </c>
      <c r="I7017" s="537" t="s">
        <v>2116</v>
      </c>
      <c r="J7017" s="538"/>
      <c r="K7017" s="531"/>
      <c r="L7017" s="535" t="s">
        <v>266</v>
      </c>
      <c r="M7017" s="535">
        <v>1159.2</v>
      </c>
      <c r="N7017" s="539">
        <v>0.41666666666666669</v>
      </c>
      <c r="O7017" s="897" t="s">
        <v>2122</v>
      </c>
      <c r="P7017" s="867" t="s">
        <v>2174</v>
      </c>
    </row>
    <row r="7018" spans="1:16" x14ac:dyDescent="0.25">
      <c r="A7018" s="972"/>
      <c r="B7018" s="824" t="s">
        <v>2067</v>
      </c>
      <c r="C7018" s="820" t="s">
        <v>47</v>
      </c>
      <c r="D7018" s="821">
        <v>0.10199999999999999</v>
      </c>
      <c r="E7018" s="822">
        <v>0.10199999999999999</v>
      </c>
      <c r="F7018" s="819" t="s">
        <v>30</v>
      </c>
      <c r="G7018" s="823"/>
      <c r="H7018" s="819" t="s">
        <v>2116</v>
      </c>
      <c r="I7018" s="782" t="s">
        <v>2116</v>
      </c>
      <c r="J7018" s="825"/>
      <c r="K7018" s="849"/>
      <c r="L7018" s="819" t="s">
        <v>28</v>
      </c>
      <c r="M7018" s="819">
        <v>102.11999999999999</v>
      </c>
      <c r="N7018" s="811">
        <v>0.41666666666666669</v>
      </c>
      <c r="P7018" s="867" t="s">
        <v>2175</v>
      </c>
    </row>
    <row r="7019" spans="1:16" ht="19.5" thickBot="1" x14ac:dyDescent="0.3">
      <c r="A7019" s="960"/>
      <c r="B7019" s="953" t="s">
        <v>2067</v>
      </c>
      <c r="C7019" s="870" t="s">
        <v>47</v>
      </c>
      <c r="D7019" s="871">
        <v>11.289</v>
      </c>
      <c r="E7019" s="872">
        <v>11.29</v>
      </c>
      <c r="F7019" s="873" t="s">
        <v>30</v>
      </c>
      <c r="G7019" s="874"/>
      <c r="H7019" s="873" t="s">
        <v>2116</v>
      </c>
      <c r="I7019" s="875" t="s">
        <v>2116</v>
      </c>
      <c r="J7019" s="876"/>
      <c r="K7019" s="869"/>
      <c r="L7019" s="873" t="s">
        <v>28</v>
      </c>
      <c r="M7019" s="873">
        <v>11289.920000000002</v>
      </c>
      <c r="N7019" s="784">
        <v>0.41666666666666669</v>
      </c>
      <c r="O7019" s="897" t="s">
        <v>2121</v>
      </c>
      <c r="P7019" s="867" t="s">
        <v>2176</v>
      </c>
    </row>
    <row r="7020" spans="1:16" ht="19.5" thickBot="1" x14ac:dyDescent="0.3">
      <c r="A7020" s="572">
        <f t="shared" ref="A7020:A7026" si="210">MAX(A6908:A7019)+1</f>
        <v>4348</v>
      </c>
      <c r="B7020" s="495" t="s">
        <v>2067</v>
      </c>
      <c r="C7020" s="496" t="s">
        <v>32</v>
      </c>
      <c r="D7020" s="497">
        <v>17.5</v>
      </c>
      <c r="E7020" s="498"/>
      <c r="F7020" s="499" t="s">
        <v>16</v>
      </c>
      <c r="G7020" s="562"/>
      <c r="H7020" s="499" t="s">
        <v>2116</v>
      </c>
      <c r="I7020" s="500"/>
      <c r="J7020" s="501"/>
      <c r="K7020" s="495"/>
      <c r="L7020" s="499" t="s">
        <v>266</v>
      </c>
      <c r="M7020" s="499">
        <v>17503.2</v>
      </c>
      <c r="N7020" s="502">
        <v>0.41666666666666669</v>
      </c>
      <c r="O7020" s="897" t="s">
        <v>2126</v>
      </c>
    </row>
    <row r="7021" spans="1:16" ht="19.5" thickBot="1" x14ac:dyDescent="0.3">
      <c r="A7021" s="503">
        <f t="shared" si="210"/>
        <v>4349</v>
      </c>
      <c r="B7021" s="504" t="s">
        <v>2068</v>
      </c>
      <c r="C7021" s="505" t="s">
        <v>32</v>
      </c>
      <c r="D7021" s="506">
        <v>18.096</v>
      </c>
      <c r="E7021" s="507">
        <v>15.866</v>
      </c>
      <c r="F7021" s="508" t="s">
        <v>16</v>
      </c>
      <c r="G7021" s="509"/>
      <c r="H7021" s="508" t="s">
        <v>2148</v>
      </c>
      <c r="I7021" s="510" t="s">
        <v>2148</v>
      </c>
      <c r="J7021" s="511"/>
      <c r="K7021" s="504"/>
      <c r="L7021" s="508" t="s">
        <v>266</v>
      </c>
      <c r="M7021" s="508">
        <v>18255.400000000001</v>
      </c>
      <c r="N7021" s="512">
        <v>0.41666666666666669</v>
      </c>
      <c r="O7021" s="897" t="s">
        <v>2149</v>
      </c>
      <c r="P7021" s="867" t="s">
        <v>2197</v>
      </c>
    </row>
    <row r="7022" spans="1:16" ht="19.5" thickBot="1" x14ac:dyDescent="0.3">
      <c r="A7022" s="513">
        <f t="shared" si="210"/>
        <v>4350</v>
      </c>
      <c r="B7022" s="514" t="s">
        <v>2068</v>
      </c>
      <c r="C7022" s="515" t="s">
        <v>32</v>
      </c>
      <c r="D7022" s="516">
        <v>17.931999999999999</v>
      </c>
      <c r="E7022" s="517"/>
      <c r="F7022" s="518" t="s">
        <v>16</v>
      </c>
      <c r="G7022" s="519"/>
      <c r="H7022" s="518" t="s">
        <v>2148</v>
      </c>
      <c r="I7022" s="520"/>
      <c r="J7022" s="521"/>
      <c r="K7022" s="514"/>
      <c r="L7022" s="518" t="s">
        <v>266</v>
      </c>
      <c r="M7022" s="518">
        <v>18039.280000000002</v>
      </c>
      <c r="N7022" s="522">
        <v>0.45833333333333331</v>
      </c>
      <c r="O7022" s="897" t="s">
        <v>2151</v>
      </c>
    </row>
    <row r="7023" spans="1:16" ht="19.5" thickBot="1" x14ac:dyDescent="0.3">
      <c r="A7023" s="503">
        <f t="shared" si="210"/>
        <v>4351</v>
      </c>
      <c r="B7023" s="504" t="s">
        <v>2068</v>
      </c>
      <c r="C7023" s="505" t="s">
        <v>32</v>
      </c>
      <c r="D7023" s="506">
        <v>18</v>
      </c>
      <c r="E7023" s="507"/>
      <c r="F7023" s="508" t="s">
        <v>16</v>
      </c>
      <c r="G7023" s="509"/>
      <c r="H7023" s="508" t="s">
        <v>2148</v>
      </c>
      <c r="I7023" s="510"/>
      <c r="J7023" s="511"/>
      <c r="K7023" s="504"/>
      <c r="L7023" s="508" t="s">
        <v>266</v>
      </c>
      <c r="M7023" s="508">
        <v>18018</v>
      </c>
      <c r="N7023" s="512">
        <v>0.5</v>
      </c>
      <c r="O7023" s="897" t="s">
        <v>2152</v>
      </c>
    </row>
    <row r="7024" spans="1:16" ht="19.5" thickBot="1" x14ac:dyDescent="0.3">
      <c r="A7024" s="513">
        <f t="shared" si="210"/>
        <v>4352</v>
      </c>
      <c r="B7024" s="514" t="s">
        <v>2068</v>
      </c>
      <c r="C7024" s="515" t="s">
        <v>32</v>
      </c>
      <c r="D7024" s="516">
        <v>17.8</v>
      </c>
      <c r="E7024" s="517"/>
      <c r="F7024" s="518" t="s">
        <v>16</v>
      </c>
      <c r="G7024" s="519"/>
      <c r="H7024" s="518" t="s">
        <v>2148</v>
      </c>
      <c r="I7024" s="520"/>
      <c r="J7024" s="521"/>
      <c r="K7024" s="514"/>
      <c r="L7024" s="518" t="s">
        <v>266</v>
      </c>
      <c r="M7024" s="518">
        <v>17810.400000000001</v>
      </c>
      <c r="N7024" s="522">
        <v>0.54166666666666663</v>
      </c>
      <c r="O7024" s="897" t="s">
        <v>2153</v>
      </c>
    </row>
    <row r="7025" spans="1:18" ht="19.5" thickBot="1" x14ac:dyDescent="0.3">
      <c r="A7025" s="551">
        <f t="shared" si="210"/>
        <v>4353</v>
      </c>
      <c r="B7025" s="552" t="s">
        <v>2068</v>
      </c>
      <c r="C7025" s="553" t="s">
        <v>848</v>
      </c>
      <c r="D7025" s="554">
        <v>18</v>
      </c>
      <c r="E7025" s="555"/>
      <c r="F7025" s="556" t="s">
        <v>16</v>
      </c>
      <c r="G7025" s="557"/>
      <c r="H7025" s="556" t="s">
        <v>2148</v>
      </c>
      <c r="I7025" s="558"/>
      <c r="J7025" s="559"/>
      <c r="K7025" s="552"/>
      <c r="L7025" s="556" t="s">
        <v>266</v>
      </c>
      <c r="M7025" s="556">
        <v>18144.8</v>
      </c>
      <c r="N7025" s="560">
        <v>0.58333333333333337</v>
      </c>
      <c r="O7025" s="897" t="s">
        <v>2159</v>
      </c>
    </row>
    <row r="7026" spans="1:18" x14ac:dyDescent="0.25">
      <c r="A7026" s="954">
        <f t="shared" si="210"/>
        <v>4354</v>
      </c>
      <c r="B7026" s="610" t="s">
        <v>2116</v>
      </c>
      <c r="C7026" s="480" t="s">
        <v>26</v>
      </c>
      <c r="D7026" s="481">
        <v>17.289000000000001</v>
      </c>
      <c r="E7026" s="482">
        <v>13.244</v>
      </c>
      <c r="F7026" s="483" t="s">
        <v>16</v>
      </c>
      <c r="G7026" s="899"/>
      <c r="H7026" s="483" t="s">
        <v>2162</v>
      </c>
      <c r="I7026" s="484" t="s">
        <v>2162</v>
      </c>
      <c r="J7026" s="485"/>
      <c r="K7026" s="479"/>
      <c r="L7026" s="483" t="s">
        <v>265</v>
      </c>
      <c r="M7026" s="483">
        <v>17506.84</v>
      </c>
      <c r="N7026" s="486">
        <v>0.375</v>
      </c>
      <c r="O7026" s="897" t="s">
        <v>2163</v>
      </c>
      <c r="P7026" s="867" t="s">
        <v>2195</v>
      </c>
    </row>
    <row r="7027" spans="1:18" ht="19.5" thickBot="1" x14ac:dyDescent="0.3">
      <c r="A7027" s="956"/>
      <c r="B7027" s="805" t="s">
        <v>2148</v>
      </c>
      <c r="C7027" s="806" t="s">
        <v>26</v>
      </c>
      <c r="D7027" s="807">
        <v>4.0999999999999996</v>
      </c>
      <c r="E7027" s="807">
        <v>4.1219999999999999</v>
      </c>
      <c r="F7027" s="808" t="s">
        <v>16</v>
      </c>
      <c r="G7027" s="902" t="s">
        <v>76</v>
      </c>
      <c r="H7027" s="808" t="s">
        <v>2191</v>
      </c>
      <c r="I7027" s="808" t="s">
        <v>2162</v>
      </c>
      <c r="J7027" s="810"/>
      <c r="K7027" s="887"/>
      <c r="L7027" s="808" t="s">
        <v>265</v>
      </c>
      <c r="M7027" s="808">
        <v>4110</v>
      </c>
      <c r="N7027" s="778">
        <v>0.375</v>
      </c>
      <c r="O7027" s="897" t="s">
        <v>2193</v>
      </c>
      <c r="P7027" s="867" t="s">
        <v>2196</v>
      </c>
    </row>
    <row r="7028" spans="1:18" x14ac:dyDescent="0.25">
      <c r="A7028" s="957">
        <f>MAX(A6915:A7027)+1</f>
        <v>4355</v>
      </c>
      <c r="B7028" s="759" t="s">
        <v>2116</v>
      </c>
      <c r="C7028" s="532" t="s">
        <v>26</v>
      </c>
      <c r="D7028" s="533">
        <v>17.274000000000001</v>
      </c>
      <c r="E7028" s="534">
        <v>12.675000000000001</v>
      </c>
      <c r="F7028" s="535" t="s">
        <v>16</v>
      </c>
      <c r="G7028" s="898"/>
      <c r="H7028" s="535" t="s">
        <v>2162</v>
      </c>
      <c r="I7028" s="537" t="s">
        <v>2162</v>
      </c>
      <c r="J7028" s="538"/>
      <c r="K7028" s="563"/>
      <c r="L7028" s="567" t="s">
        <v>265</v>
      </c>
      <c r="M7028" s="567">
        <v>17492.02</v>
      </c>
      <c r="N7028" s="571">
        <v>0.41666666666666669</v>
      </c>
      <c r="O7028" s="897" t="s">
        <v>2165</v>
      </c>
      <c r="P7028" s="867" t="s">
        <v>2204</v>
      </c>
      <c r="Q7028" s="847">
        <v>12676</v>
      </c>
    </row>
    <row r="7029" spans="1:18" x14ac:dyDescent="0.25">
      <c r="A7029" s="958"/>
      <c r="B7029" s="852" t="s">
        <v>2162</v>
      </c>
      <c r="C7029" s="837" t="s">
        <v>26</v>
      </c>
      <c r="D7029" s="838">
        <v>0.7</v>
      </c>
      <c r="E7029" s="838">
        <v>0.71199999999999997</v>
      </c>
      <c r="F7029" s="839" t="s">
        <v>16</v>
      </c>
      <c r="G7029" s="951" t="s">
        <v>76</v>
      </c>
      <c r="H7029" s="839" t="s">
        <v>2162</v>
      </c>
      <c r="I7029" s="839" t="s">
        <v>2162</v>
      </c>
      <c r="J7029" s="840"/>
      <c r="K7029" s="836"/>
      <c r="L7029" s="839" t="s">
        <v>265</v>
      </c>
      <c r="M7029" s="839">
        <v>705</v>
      </c>
      <c r="N7029" s="598">
        <v>0.41666666666666669</v>
      </c>
      <c r="O7029" s="897" t="s">
        <v>2198</v>
      </c>
      <c r="P7029" s="867" t="s">
        <v>2205</v>
      </c>
      <c r="Q7029" s="847">
        <v>713</v>
      </c>
    </row>
    <row r="7030" spans="1:18" ht="19.5" thickBot="1" x14ac:dyDescent="0.3">
      <c r="A7030" s="961"/>
      <c r="B7030" s="798" t="s">
        <v>2148</v>
      </c>
      <c r="C7030" s="799" t="s">
        <v>26</v>
      </c>
      <c r="D7030" s="800">
        <v>4</v>
      </c>
      <c r="E7030" s="800">
        <v>4.0289999999999999</v>
      </c>
      <c r="F7030" s="801" t="s">
        <v>16</v>
      </c>
      <c r="G7030" s="942" t="s">
        <v>76</v>
      </c>
      <c r="H7030" s="801" t="s">
        <v>2162</v>
      </c>
      <c r="I7030" s="801" t="s">
        <v>2162</v>
      </c>
      <c r="J7030" s="803"/>
      <c r="K7030" s="848"/>
      <c r="L7030" s="801" t="s">
        <v>265</v>
      </c>
      <c r="M7030" s="801">
        <v>4020</v>
      </c>
      <c r="N7030" s="804">
        <v>0.41666666666666669</v>
      </c>
      <c r="O7030" s="897" t="s">
        <v>2192</v>
      </c>
      <c r="P7030" s="867" t="s">
        <v>2206</v>
      </c>
      <c r="Q7030" s="847">
        <v>4029</v>
      </c>
    </row>
    <row r="7031" spans="1:18" ht="19.5" thickBot="1" x14ac:dyDescent="0.3">
      <c r="A7031" s="513">
        <f t="shared" ref="A7031:A7032" si="211">MAX(A6916:A7030)+1</f>
        <v>4356</v>
      </c>
      <c r="B7031" s="514" t="s">
        <v>2116</v>
      </c>
      <c r="C7031" s="515" t="s">
        <v>23</v>
      </c>
      <c r="D7031" s="516">
        <v>11.18</v>
      </c>
      <c r="E7031" s="517"/>
      <c r="F7031" s="518" t="s">
        <v>30</v>
      </c>
      <c r="G7031" s="519"/>
      <c r="H7031" s="518" t="s">
        <v>2162</v>
      </c>
      <c r="I7031" s="520"/>
      <c r="J7031" s="521"/>
      <c r="K7031" s="514"/>
      <c r="L7031" s="518" t="s">
        <v>28</v>
      </c>
      <c r="M7031" s="518">
        <v>11180.84</v>
      </c>
      <c r="N7031" s="522">
        <v>0.41666666666666669</v>
      </c>
      <c r="O7031" s="897" t="s">
        <v>2168</v>
      </c>
    </row>
    <row r="7032" spans="1:18" x14ac:dyDescent="0.25">
      <c r="A7032" s="957">
        <f t="shared" si="211"/>
        <v>4357</v>
      </c>
      <c r="B7032" s="759" t="s">
        <v>2116</v>
      </c>
      <c r="C7032" s="532" t="s">
        <v>26</v>
      </c>
      <c r="D7032" s="533">
        <v>17.21</v>
      </c>
      <c r="E7032" s="534"/>
      <c r="F7032" s="535" t="s">
        <v>16</v>
      </c>
      <c r="G7032" s="898"/>
      <c r="H7032" s="535" t="s">
        <v>2164</v>
      </c>
      <c r="I7032" s="537"/>
      <c r="J7032" s="538"/>
      <c r="K7032" s="563"/>
      <c r="L7032" s="567" t="s">
        <v>265</v>
      </c>
      <c r="M7032" s="567">
        <v>17234.2</v>
      </c>
      <c r="N7032" s="571">
        <v>0.375</v>
      </c>
      <c r="O7032" s="897" t="s">
        <v>2166</v>
      </c>
    </row>
    <row r="7033" spans="1:18" x14ac:dyDescent="0.25">
      <c r="A7033" s="958"/>
      <c r="B7033" s="852" t="s">
        <v>2164</v>
      </c>
      <c r="C7033" s="837" t="s">
        <v>26</v>
      </c>
      <c r="D7033" s="838">
        <v>1.2</v>
      </c>
      <c r="E7033" s="838"/>
      <c r="F7033" s="839" t="s">
        <v>16</v>
      </c>
      <c r="G7033" s="951" t="s">
        <v>76</v>
      </c>
      <c r="H7033" s="839" t="s">
        <v>2164</v>
      </c>
      <c r="I7033" s="839"/>
      <c r="J7033" s="840"/>
      <c r="K7033" s="836"/>
      <c r="L7033" s="839" t="s">
        <v>265</v>
      </c>
      <c r="M7033" s="839">
        <v>1200</v>
      </c>
      <c r="N7033" s="598">
        <v>0.375</v>
      </c>
      <c r="O7033" s="897" t="s">
        <v>2229</v>
      </c>
    </row>
    <row r="7034" spans="1:18" ht="19.5" thickBot="1" x14ac:dyDescent="0.3">
      <c r="A7034" s="961"/>
      <c r="B7034" s="798" t="s">
        <v>2162</v>
      </c>
      <c r="C7034" s="799" t="s">
        <v>26</v>
      </c>
      <c r="D7034" s="800">
        <v>3.6</v>
      </c>
      <c r="E7034" s="800"/>
      <c r="F7034" s="801" t="s">
        <v>16</v>
      </c>
      <c r="G7034" s="942" t="s">
        <v>76</v>
      </c>
      <c r="H7034" s="801" t="s">
        <v>2164</v>
      </c>
      <c r="I7034" s="801"/>
      <c r="J7034" s="803"/>
      <c r="K7034" s="848"/>
      <c r="L7034" s="801" t="s">
        <v>265</v>
      </c>
      <c r="M7034" s="801">
        <v>3615</v>
      </c>
      <c r="N7034" s="804">
        <v>0.375</v>
      </c>
      <c r="O7034" s="897" t="s">
        <v>2227</v>
      </c>
    </row>
    <row r="7035" spans="1:18" x14ac:dyDescent="0.25">
      <c r="A7035" s="954">
        <f>MAX(A6918:A7032)+1</f>
        <v>4358</v>
      </c>
      <c r="B7035" s="610" t="s">
        <v>2116</v>
      </c>
      <c r="C7035" s="480" t="s">
        <v>26</v>
      </c>
      <c r="D7035" s="481">
        <v>17.335999999999999</v>
      </c>
      <c r="E7035" s="482"/>
      <c r="F7035" s="483" t="s">
        <v>16</v>
      </c>
      <c r="G7035" s="899"/>
      <c r="H7035" s="483" t="s">
        <v>2164</v>
      </c>
      <c r="I7035" s="484"/>
      <c r="J7035" s="485"/>
      <c r="K7035" s="479"/>
      <c r="L7035" s="483" t="s">
        <v>265</v>
      </c>
      <c r="M7035" s="483">
        <v>17498</v>
      </c>
      <c r="N7035" s="486">
        <v>0.41666666666666669</v>
      </c>
      <c r="O7035" s="897" t="s">
        <v>2167</v>
      </c>
    </row>
    <row r="7036" spans="1:18" ht="19.5" thickBot="1" x14ac:dyDescent="0.3">
      <c r="A7036" s="956"/>
      <c r="B7036" s="805" t="s">
        <v>2162</v>
      </c>
      <c r="C7036" s="806" t="s">
        <v>26</v>
      </c>
      <c r="D7036" s="807">
        <v>5</v>
      </c>
      <c r="E7036" s="807"/>
      <c r="F7036" s="808" t="s">
        <v>16</v>
      </c>
      <c r="G7036" s="902" t="s">
        <v>76</v>
      </c>
      <c r="H7036" s="808" t="s">
        <v>2164</v>
      </c>
      <c r="I7036" s="808"/>
      <c r="J7036" s="810"/>
      <c r="K7036" s="887"/>
      <c r="L7036" s="808" t="s">
        <v>265</v>
      </c>
      <c r="M7036" s="808">
        <v>5025</v>
      </c>
      <c r="N7036" s="778">
        <v>0.41666666666666669</v>
      </c>
      <c r="O7036" s="897" t="s">
        <v>2228</v>
      </c>
    </row>
    <row r="7037" spans="1:18" x14ac:dyDescent="0.25">
      <c r="A7037" s="959">
        <f>MAX(A6919:A7035)+1</f>
        <v>4359</v>
      </c>
      <c r="B7037" s="759" t="s">
        <v>2116</v>
      </c>
      <c r="C7037" s="532" t="s">
        <v>23</v>
      </c>
      <c r="D7037" s="533">
        <v>17.605</v>
      </c>
      <c r="E7037" s="534"/>
      <c r="F7037" s="535" t="s">
        <v>16</v>
      </c>
      <c r="G7037" s="898"/>
      <c r="H7037" s="535" t="s">
        <v>2164</v>
      </c>
      <c r="I7037" s="537"/>
      <c r="J7037" s="538"/>
      <c r="K7037" s="563"/>
      <c r="L7037" s="567" t="s">
        <v>28</v>
      </c>
      <c r="M7037" s="567">
        <v>17760.07</v>
      </c>
      <c r="N7037" s="571">
        <v>0.45833333333333331</v>
      </c>
      <c r="O7037" s="897" t="s">
        <v>2169</v>
      </c>
      <c r="P7037" s="867">
        <v>6296861</v>
      </c>
      <c r="Q7037" s="847">
        <v>-1037</v>
      </c>
      <c r="R7037" s="833">
        <v>1000</v>
      </c>
    </row>
    <row r="7038" spans="1:18" ht="19.5" thickBot="1" x14ac:dyDescent="0.3">
      <c r="A7038" s="960"/>
      <c r="B7038" s="798" t="s">
        <v>2164</v>
      </c>
      <c r="C7038" s="799" t="s">
        <v>23</v>
      </c>
      <c r="D7038" s="800">
        <v>1</v>
      </c>
      <c r="E7038" s="800"/>
      <c r="F7038" s="801" t="s">
        <v>16</v>
      </c>
      <c r="G7038" s="942" t="s">
        <v>76</v>
      </c>
      <c r="H7038" s="801" t="s">
        <v>2164</v>
      </c>
      <c r="I7038" s="801"/>
      <c r="J7038" s="803"/>
      <c r="K7038" s="848"/>
      <c r="L7038" s="801" t="s">
        <v>28</v>
      </c>
      <c r="M7038" s="801">
        <v>1020.9000000000001</v>
      </c>
      <c r="N7038" s="804">
        <v>0.45833333333333331</v>
      </c>
      <c r="O7038" s="897" t="s">
        <v>2226</v>
      </c>
    </row>
    <row r="7039" spans="1:18" x14ac:dyDescent="0.25">
      <c r="A7039" s="954">
        <f>MAX(A6920:A7037)+1</f>
        <v>4360</v>
      </c>
      <c r="B7039" s="610" t="s">
        <v>2116</v>
      </c>
      <c r="C7039" s="480" t="s">
        <v>47</v>
      </c>
      <c r="D7039" s="481">
        <v>17.609000000000002</v>
      </c>
      <c r="E7039" s="482"/>
      <c r="F7039" s="483" t="s">
        <v>16</v>
      </c>
      <c r="G7039" s="899"/>
      <c r="H7039" s="483" t="s">
        <v>2164</v>
      </c>
      <c r="I7039" s="484"/>
      <c r="J7039" s="485"/>
      <c r="K7039" s="479"/>
      <c r="L7039" s="483" t="s">
        <v>28</v>
      </c>
      <c r="M7039" s="483">
        <v>17830.800000000003</v>
      </c>
      <c r="N7039" s="486">
        <v>0.5</v>
      </c>
      <c r="O7039" s="897" t="s">
        <v>2170</v>
      </c>
      <c r="P7039" s="867">
        <v>6296866</v>
      </c>
      <c r="Q7039" s="847">
        <v>-2660</v>
      </c>
      <c r="R7039" s="833">
        <v>2600</v>
      </c>
    </row>
    <row r="7040" spans="1:18" ht="19.5" thickBot="1" x14ac:dyDescent="0.3">
      <c r="A7040" s="956"/>
      <c r="B7040" s="805" t="s">
        <v>2164</v>
      </c>
      <c r="C7040" s="806" t="s">
        <v>47</v>
      </c>
      <c r="D7040" s="807">
        <v>2.6</v>
      </c>
      <c r="E7040" s="807"/>
      <c r="F7040" s="808" t="s">
        <v>16</v>
      </c>
      <c r="G7040" s="902" t="s">
        <v>76</v>
      </c>
      <c r="H7040" s="808" t="s">
        <v>2164</v>
      </c>
      <c r="I7040" s="808"/>
      <c r="J7040" s="810"/>
      <c r="K7040" s="887"/>
      <c r="L7040" s="808" t="s">
        <v>28</v>
      </c>
      <c r="M7040" s="808">
        <v>2621.2800000000002</v>
      </c>
      <c r="N7040" s="778">
        <v>0.5</v>
      </c>
      <c r="O7040" s="897" t="s">
        <v>2226</v>
      </c>
    </row>
    <row r="7041" spans="1:18" ht="19.5" thickBot="1" x14ac:dyDescent="0.3">
      <c r="A7041" s="503">
        <f>MAX(A6921:A7039)+1</f>
        <v>4361</v>
      </c>
      <c r="B7041" s="504" t="s">
        <v>2148</v>
      </c>
      <c r="C7041" s="505" t="s">
        <v>26</v>
      </c>
      <c r="D7041" s="506">
        <v>14.093999999999999</v>
      </c>
      <c r="E7041" s="507"/>
      <c r="F7041" s="508" t="s">
        <v>30</v>
      </c>
      <c r="G7041" s="509"/>
      <c r="H7041" s="508" t="s">
        <v>2164</v>
      </c>
      <c r="I7041" s="510"/>
      <c r="J7041" s="511"/>
      <c r="K7041" s="504"/>
      <c r="L7041" s="508" t="s">
        <v>265</v>
      </c>
      <c r="M7041" s="508">
        <v>14094.68</v>
      </c>
      <c r="N7041" s="512">
        <v>0.375</v>
      </c>
      <c r="O7041" s="897" t="s">
        <v>2178</v>
      </c>
    </row>
    <row r="7042" spans="1:18" x14ac:dyDescent="0.25">
      <c r="A7042" s="954">
        <f>MAX(A6922:A7041)+1</f>
        <v>4362</v>
      </c>
      <c r="B7042" s="479" t="s">
        <v>2148</v>
      </c>
      <c r="C7042" s="480" t="s">
        <v>41</v>
      </c>
      <c r="D7042" s="481">
        <v>1.345</v>
      </c>
      <c r="E7042" s="482"/>
      <c r="F7042" s="483" t="s">
        <v>16</v>
      </c>
      <c r="G7042" s="549"/>
      <c r="H7042" s="483" t="s">
        <v>2164</v>
      </c>
      <c r="I7042" s="484"/>
      <c r="J7042" s="485"/>
      <c r="K7042" s="479"/>
      <c r="L7042" s="483" t="s">
        <v>266</v>
      </c>
      <c r="M7042" s="483">
        <v>1388.7</v>
      </c>
      <c r="N7042" s="486">
        <v>0.54166666666666663</v>
      </c>
      <c r="O7042" s="897" t="s">
        <v>2179</v>
      </c>
    </row>
    <row r="7043" spans="1:18" ht="37.5" x14ac:dyDescent="0.25">
      <c r="A7043" s="955"/>
      <c r="B7043" s="523" t="s">
        <v>2148</v>
      </c>
      <c r="C7043" s="524" t="s">
        <v>41</v>
      </c>
      <c r="D7043" s="525">
        <v>3</v>
      </c>
      <c r="E7043" s="526"/>
      <c r="F7043" s="527" t="s">
        <v>16</v>
      </c>
      <c r="G7043" s="561" t="s">
        <v>1900</v>
      </c>
      <c r="H7043" s="527" t="s">
        <v>2164</v>
      </c>
      <c r="I7043" s="528"/>
      <c r="J7043" s="529"/>
      <c r="K7043" s="523"/>
      <c r="L7043" s="527" t="s">
        <v>266</v>
      </c>
      <c r="M7043" s="527">
        <v>3003</v>
      </c>
      <c r="N7043" s="530">
        <v>0.54166666666666663</v>
      </c>
      <c r="O7043" s="897" t="s">
        <v>2182</v>
      </c>
    </row>
    <row r="7044" spans="1:18" x14ac:dyDescent="0.25">
      <c r="A7044" s="955"/>
      <c r="B7044" s="523" t="s">
        <v>2148</v>
      </c>
      <c r="C7044" s="524" t="s">
        <v>480</v>
      </c>
      <c r="D7044" s="525">
        <v>13</v>
      </c>
      <c r="E7044" s="526"/>
      <c r="F7044" s="527" t="s">
        <v>16</v>
      </c>
      <c r="G7044" s="561"/>
      <c r="H7044" s="527" t="s">
        <v>2164</v>
      </c>
      <c r="I7044" s="528"/>
      <c r="J7044" s="529"/>
      <c r="K7044" s="523"/>
      <c r="L7044" s="527" t="s">
        <v>266</v>
      </c>
      <c r="M7044" s="527">
        <v>13139.839999999998</v>
      </c>
      <c r="N7044" s="530">
        <v>0.54166666666666663</v>
      </c>
      <c r="O7044" s="897" t="s">
        <v>2183</v>
      </c>
    </row>
    <row r="7045" spans="1:18" x14ac:dyDescent="0.25">
      <c r="A7045" s="955"/>
      <c r="B7045" s="523" t="s">
        <v>2148</v>
      </c>
      <c r="C7045" s="524" t="s">
        <v>32</v>
      </c>
      <c r="D7045" s="525">
        <v>2.63</v>
      </c>
      <c r="E7045" s="526"/>
      <c r="F7045" s="527" t="s">
        <v>16</v>
      </c>
      <c r="G7045" s="561" t="s">
        <v>1702</v>
      </c>
      <c r="H7045" s="527" t="s">
        <v>2164</v>
      </c>
      <c r="I7045" s="528"/>
      <c r="J7045" s="529"/>
      <c r="K7045" s="523"/>
      <c r="L7045" s="527" t="s">
        <v>266</v>
      </c>
      <c r="M7045" s="527">
        <v>2633.25</v>
      </c>
      <c r="N7045" s="530">
        <v>0.54166666666666663</v>
      </c>
      <c r="O7045" s="897" t="s">
        <v>2180</v>
      </c>
    </row>
    <row r="7046" spans="1:18" ht="38.25" thickBot="1" x14ac:dyDescent="0.3">
      <c r="A7046" s="956"/>
      <c r="B7046" s="645" t="s">
        <v>2148</v>
      </c>
      <c r="C7046" s="646" t="s">
        <v>32</v>
      </c>
      <c r="D7046" s="647">
        <v>2.496</v>
      </c>
      <c r="E7046" s="648"/>
      <c r="F7046" s="649" t="s">
        <v>16</v>
      </c>
      <c r="G7046" s="650" t="s">
        <v>2177</v>
      </c>
      <c r="H7046" s="649" t="s">
        <v>2164</v>
      </c>
      <c r="I7046" s="651"/>
      <c r="J7046" s="652"/>
      <c r="K7046" s="645"/>
      <c r="L7046" s="649" t="s">
        <v>266</v>
      </c>
      <c r="M7046" s="649">
        <v>2496</v>
      </c>
      <c r="N7046" s="653">
        <v>0.54166666666666663</v>
      </c>
      <c r="O7046" s="897" t="s">
        <v>2181</v>
      </c>
    </row>
    <row r="7047" spans="1:18" x14ac:dyDescent="0.25">
      <c r="A7047" s="957">
        <f>MAX(A6927:A7046)+1</f>
        <v>4363</v>
      </c>
      <c r="B7047" s="531" t="s">
        <v>2148</v>
      </c>
      <c r="C7047" s="532" t="s">
        <v>26</v>
      </c>
      <c r="D7047" s="533">
        <v>15.435</v>
      </c>
      <c r="E7047" s="534"/>
      <c r="F7047" s="535" t="s">
        <v>16</v>
      </c>
      <c r="G7047" s="536"/>
      <c r="H7047" s="535" t="s">
        <v>2184</v>
      </c>
      <c r="I7047" s="537"/>
      <c r="J7047" s="538"/>
      <c r="K7047" s="531"/>
      <c r="L7047" s="535" t="s">
        <v>265</v>
      </c>
      <c r="M7047" s="535">
        <v>15614.080000000002</v>
      </c>
      <c r="N7047" s="539">
        <v>0.375</v>
      </c>
      <c r="O7047" s="897" t="s">
        <v>2185</v>
      </c>
    </row>
    <row r="7048" spans="1:18" ht="19.5" thickBot="1" x14ac:dyDescent="0.3">
      <c r="A7048" s="961"/>
      <c r="B7048" s="636" t="s">
        <v>2148</v>
      </c>
      <c r="C7048" s="637" t="s">
        <v>952</v>
      </c>
      <c r="D7048" s="638">
        <v>2.0099999999999998</v>
      </c>
      <c r="E7048" s="639"/>
      <c r="F7048" s="640" t="s">
        <v>16</v>
      </c>
      <c r="G7048" s="641"/>
      <c r="H7048" s="640" t="s">
        <v>2184</v>
      </c>
      <c r="I7048" s="642"/>
      <c r="J7048" s="643"/>
      <c r="K7048" s="636"/>
      <c r="L7048" s="640" t="s">
        <v>265</v>
      </c>
      <c r="M7048" s="640">
        <v>2077.64</v>
      </c>
      <c r="N7048" s="644">
        <v>0.375</v>
      </c>
      <c r="O7048" s="897" t="s">
        <v>2186</v>
      </c>
    </row>
    <row r="7049" spans="1:18" ht="56.25" x14ac:dyDescent="0.25">
      <c r="A7049" s="954">
        <f>MAX(A6929:A7048)+1</f>
        <v>4364</v>
      </c>
      <c r="B7049" s="479" t="s">
        <v>2148</v>
      </c>
      <c r="C7049" s="480" t="s">
        <v>587</v>
      </c>
      <c r="D7049" s="481">
        <v>0.93300000000000005</v>
      </c>
      <c r="E7049" s="482"/>
      <c r="F7049" s="483" t="s">
        <v>16</v>
      </c>
      <c r="G7049" s="549" t="s">
        <v>794</v>
      </c>
      <c r="H7049" s="483" t="s">
        <v>2184</v>
      </c>
      <c r="I7049" s="484"/>
      <c r="J7049" s="485"/>
      <c r="K7049" s="479"/>
      <c r="L7049" s="483" t="s">
        <v>28</v>
      </c>
      <c r="M7049" s="483">
        <v>933.12</v>
      </c>
      <c r="N7049" s="486">
        <v>0.41666666666666669</v>
      </c>
      <c r="O7049" s="897" t="s">
        <v>2188</v>
      </c>
      <c r="P7049" s="867">
        <v>6297199</v>
      </c>
      <c r="Q7049" s="847">
        <v>-177</v>
      </c>
      <c r="R7049" s="943">
        <v>1400</v>
      </c>
    </row>
    <row r="7050" spans="1:18" x14ac:dyDescent="0.25">
      <c r="A7050" s="955"/>
      <c r="B7050" s="523" t="s">
        <v>2148</v>
      </c>
      <c r="C7050" s="524" t="s">
        <v>587</v>
      </c>
      <c r="D7050" s="525">
        <v>9.1039999999999992</v>
      </c>
      <c r="E7050" s="526"/>
      <c r="F7050" s="527" t="s">
        <v>16</v>
      </c>
      <c r="G7050" s="561" t="s">
        <v>47</v>
      </c>
      <c r="H7050" s="527" t="s">
        <v>2184</v>
      </c>
      <c r="I7050" s="528"/>
      <c r="J7050" s="529"/>
      <c r="K7050" s="523"/>
      <c r="L7050" s="527" t="s">
        <v>28</v>
      </c>
      <c r="M7050" s="527">
        <v>9104.880000000001</v>
      </c>
      <c r="N7050" s="530">
        <v>0.41666666666666669</v>
      </c>
      <c r="O7050" s="897" t="s">
        <v>2190</v>
      </c>
      <c r="P7050" s="867">
        <v>6297219</v>
      </c>
      <c r="Q7050" s="847">
        <v>-621</v>
      </c>
    </row>
    <row r="7051" spans="1:18" ht="19.5" thickBot="1" x14ac:dyDescent="0.3">
      <c r="A7051" s="956"/>
      <c r="B7051" s="645" t="s">
        <v>2148</v>
      </c>
      <c r="C7051" s="646" t="s">
        <v>47</v>
      </c>
      <c r="D7051" s="647">
        <v>8.0050000000000008</v>
      </c>
      <c r="E7051" s="648"/>
      <c r="F7051" s="649" t="s">
        <v>16</v>
      </c>
      <c r="G7051" s="650"/>
      <c r="H7051" s="649" t="s">
        <v>2184</v>
      </c>
      <c r="I7051" s="651"/>
      <c r="J7051" s="652"/>
      <c r="K7051" s="645"/>
      <c r="L7051" s="649" t="s">
        <v>28</v>
      </c>
      <c r="M7051" s="649">
        <v>8075.0400000000009</v>
      </c>
      <c r="N7051" s="653">
        <v>0.41666666666666669</v>
      </c>
      <c r="O7051" s="897" t="s">
        <v>2187</v>
      </c>
      <c r="P7051" s="867">
        <v>6297204</v>
      </c>
      <c r="Q7051" s="847">
        <v>-630</v>
      </c>
    </row>
    <row r="7052" spans="1:18" ht="19.5" thickBot="1" x14ac:dyDescent="0.3">
      <c r="A7052" s="551">
        <f>MAX(A6932:A7051)+1</f>
        <v>4365</v>
      </c>
      <c r="B7052" s="552" t="s">
        <v>2148</v>
      </c>
      <c r="C7052" s="553" t="s">
        <v>23</v>
      </c>
      <c r="D7052" s="554">
        <v>17.747</v>
      </c>
      <c r="E7052" s="555"/>
      <c r="F7052" s="556" t="s">
        <v>16</v>
      </c>
      <c r="G7052" s="557"/>
      <c r="H7052" s="556" t="s">
        <v>2184</v>
      </c>
      <c r="I7052" s="558"/>
      <c r="J7052" s="559"/>
      <c r="K7052" s="552"/>
      <c r="L7052" s="556" t="s">
        <v>28</v>
      </c>
      <c r="M7052" s="556">
        <v>17828.04</v>
      </c>
      <c r="N7052" s="560">
        <v>0.45833333333333331</v>
      </c>
      <c r="O7052" s="897" t="s">
        <v>2189</v>
      </c>
      <c r="P7052" s="867">
        <v>6297221</v>
      </c>
      <c r="Q7052" s="847">
        <v>-1215</v>
      </c>
      <c r="R7052" s="833">
        <v>1200</v>
      </c>
    </row>
    <row r="7053" spans="1:18" ht="19.5" thickBot="1" x14ac:dyDescent="0.3">
      <c r="A7053" s="513">
        <f>MAX(A6933:A7052)+1</f>
        <v>4366</v>
      </c>
      <c r="B7053" s="514" t="s">
        <v>2162</v>
      </c>
      <c r="C7053" s="515" t="s">
        <v>26</v>
      </c>
      <c r="D7053" s="516">
        <v>17.372</v>
      </c>
      <c r="E7053" s="517"/>
      <c r="F7053" s="518" t="s">
        <v>16</v>
      </c>
      <c r="G7053" s="519"/>
      <c r="H7053" s="518" t="s">
        <v>2199</v>
      </c>
      <c r="I7053" s="520"/>
      <c r="J7053" s="521"/>
      <c r="K7053" s="514"/>
      <c r="L7053" s="518" t="s">
        <v>265</v>
      </c>
      <c r="M7053" s="518">
        <v>17563.52</v>
      </c>
      <c r="N7053" s="522">
        <v>0.375</v>
      </c>
      <c r="O7053" s="897" t="s">
        <v>2200</v>
      </c>
    </row>
    <row r="7054" spans="1:18" x14ac:dyDescent="0.25">
      <c r="A7054" s="957">
        <f>MAX(A6934:A7053)+1</f>
        <v>4367</v>
      </c>
      <c r="B7054" s="531" t="s">
        <v>2162</v>
      </c>
      <c r="C7054" s="532" t="s">
        <v>26</v>
      </c>
      <c r="D7054" s="533">
        <v>11.414</v>
      </c>
      <c r="E7054" s="534"/>
      <c r="F7054" s="535" t="s">
        <v>16</v>
      </c>
      <c r="G7054" s="536"/>
      <c r="H7054" s="535" t="s">
        <v>2199</v>
      </c>
      <c r="I7054" s="537"/>
      <c r="J7054" s="538"/>
      <c r="K7054" s="531"/>
      <c r="L7054" s="535" t="s">
        <v>265</v>
      </c>
      <c r="M7054" s="535">
        <v>11514.16</v>
      </c>
      <c r="N7054" s="539">
        <v>0.41666666666666669</v>
      </c>
      <c r="O7054" s="897" t="s">
        <v>2201</v>
      </c>
    </row>
    <row r="7055" spans="1:18" x14ac:dyDescent="0.25">
      <c r="A7055" s="958"/>
      <c r="B7055" s="563" t="s">
        <v>2162</v>
      </c>
      <c r="C7055" s="564" t="s">
        <v>1358</v>
      </c>
      <c r="D7055" s="565">
        <v>2.5230000000000001</v>
      </c>
      <c r="E7055" s="566"/>
      <c r="F7055" s="567" t="s">
        <v>16</v>
      </c>
      <c r="G7055" s="568" t="s">
        <v>844</v>
      </c>
      <c r="H7055" s="567" t="s">
        <v>2199</v>
      </c>
      <c r="I7055" s="569"/>
      <c r="J7055" s="570"/>
      <c r="K7055" s="563"/>
      <c r="L7055" s="567" t="s">
        <v>265</v>
      </c>
      <c r="M7055" s="567">
        <v>2624.5599999999995</v>
      </c>
      <c r="N7055" s="571">
        <v>0.41666666666666669</v>
      </c>
      <c r="O7055" s="897" t="s">
        <v>2202</v>
      </c>
    </row>
    <row r="7056" spans="1:18" ht="19.5" thickBot="1" x14ac:dyDescent="0.3">
      <c r="A7056" s="961"/>
      <c r="B7056" s="636" t="s">
        <v>2162</v>
      </c>
      <c r="C7056" s="637" t="s">
        <v>1358</v>
      </c>
      <c r="D7056" s="638">
        <v>3.5030000000000001</v>
      </c>
      <c r="E7056" s="639"/>
      <c r="F7056" s="640" t="s">
        <v>16</v>
      </c>
      <c r="G7056" s="641" t="s">
        <v>845</v>
      </c>
      <c r="H7056" s="640" t="s">
        <v>2199</v>
      </c>
      <c r="I7056" s="642"/>
      <c r="J7056" s="643"/>
      <c r="K7056" s="636"/>
      <c r="L7056" s="640" t="s">
        <v>265</v>
      </c>
      <c r="M7056" s="640">
        <v>3601.7400000000002</v>
      </c>
      <c r="N7056" s="644">
        <v>0.41666666666666669</v>
      </c>
      <c r="O7056" s="897" t="s">
        <v>2203</v>
      </c>
    </row>
    <row r="7057" spans="1:15" ht="19.5" thickBot="1" x14ac:dyDescent="0.3">
      <c r="A7057" s="513">
        <f>MAX(A6937:A7056)+1</f>
        <v>4368</v>
      </c>
      <c r="B7057" s="514" t="s">
        <v>2162</v>
      </c>
      <c r="C7057" s="515" t="s">
        <v>26</v>
      </c>
      <c r="D7057" s="516">
        <v>14.427</v>
      </c>
      <c r="E7057" s="517"/>
      <c r="F7057" s="518" t="s">
        <v>30</v>
      </c>
      <c r="G7057" s="519"/>
      <c r="H7057" s="518" t="s">
        <v>2199</v>
      </c>
      <c r="I7057" s="520"/>
      <c r="J7057" s="521"/>
      <c r="K7057" s="514"/>
      <c r="L7057" s="518" t="s">
        <v>265</v>
      </c>
      <c r="M7057" s="518">
        <v>14427.119999999999</v>
      </c>
      <c r="N7057" s="522">
        <v>0.375</v>
      </c>
      <c r="O7057" s="897" t="s">
        <v>2207</v>
      </c>
    </row>
    <row r="7058" spans="1:15" x14ac:dyDescent="0.25">
      <c r="A7058" s="957">
        <f>MAX(A6938:A7057)+1</f>
        <v>4369</v>
      </c>
      <c r="B7058" s="531" t="s">
        <v>2162</v>
      </c>
      <c r="C7058" s="532" t="s">
        <v>15</v>
      </c>
      <c r="D7058" s="533">
        <v>10.724</v>
      </c>
      <c r="E7058" s="534"/>
      <c r="F7058" s="535" t="s">
        <v>16</v>
      </c>
      <c r="G7058" s="974" t="s">
        <v>1724</v>
      </c>
      <c r="H7058" s="535" t="s">
        <v>2199</v>
      </c>
      <c r="I7058" s="537"/>
      <c r="J7058" s="538"/>
      <c r="K7058" s="531"/>
      <c r="L7058" s="535" t="s">
        <v>28</v>
      </c>
      <c r="M7058" s="535">
        <v>10934.48</v>
      </c>
      <c r="N7058" s="539">
        <v>0.45833333333333331</v>
      </c>
      <c r="O7058" s="897" t="s">
        <v>2216</v>
      </c>
    </row>
    <row r="7059" spans="1:15" ht="19.5" thickBot="1" x14ac:dyDescent="0.3">
      <c r="A7059" s="961"/>
      <c r="B7059" s="636" t="s">
        <v>2162</v>
      </c>
      <c r="C7059" s="637" t="s">
        <v>24</v>
      </c>
      <c r="D7059" s="638">
        <v>5.923</v>
      </c>
      <c r="E7059" s="639"/>
      <c r="F7059" s="640" t="s">
        <v>16</v>
      </c>
      <c r="G7059" s="975"/>
      <c r="H7059" s="640" t="s">
        <v>2199</v>
      </c>
      <c r="I7059" s="642"/>
      <c r="J7059" s="643"/>
      <c r="K7059" s="636"/>
      <c r="L7059" s="640" t="s">
        <v>28</v>
      </c>
      <c r="M7059" s="640">
        <v>6103.3</v>
      </c>
      <c r="N7059" s="644">
        <v>0.45833333333333331</v>
      </c>
      <c r="O7059" s="897" t="s">
        <v>2215</v>
      </c>
    </row>
    <row r="7060" spans="1:15" ht="38.25" thickBot="1" x14ac:dyDescent="0.3">
      <c r="A7060" s="513">
        <f>MAX(A6940:A7059)+1</f>
        <v>4370</v>
      </c>
      <c r="B7060" s="514" t="s">
        <v>2162</v>
      </c>
      <c r="C7060" s="515" t="s">
        <v>47</v>
      </c>
      <c r="D7060" s="516">
        <v>17.093</v>
      </c>
      <c r="E7060" s="517"/>
      <c r="F7060" s="518" t="s">
        <v>16</v>
      </c>
      <c r="G7060" s="519" t="s">
        <v>1634</v>
      </c>
      <c r="H7060" s="518" t="s">
        <v>2199</v>
      </c>
      <c r="I7060" s="520"/>
      <c r="J7060" s="521"/>
      <c r="K7060" s="514"/>
      <c r="L7060" s="518" t="s">
        <v>28</v>
      </c>
      <c r="M7060" s="518">
        <v>17356.240000000002</v>
      </c>
      <c r="N7060" s="522">
        <v>0.5</v>
      </c>
      <c r="O7060" s="897" t="s">
        <v>2217</v>
      </c>
    </row>
    <row r="7061" spans="1:15" x14ac:dyDescent="0.25">
      <c r="A7061" s="957">
        <f>MAX(A6941:A7060)+1</f>
        <v>4371</v>
      </c>
      <c r="B7061" s="531" t="s">
        <v>2162</v>
      </c>
      <c r="C7061" s="532" t="s">
        <v>913</v>
      </c>
      <c r="D7061" s="533">
        <v>1.667</v>
      </c>
      <c r="E7061" s="534"/>
      <c r="F7061" s="535" t="s">
        <v>16</v>
      </c>
      <c r="G7061" s="536"/>
      <c r="H7061" s="535" t="s">
        <v>2199</v>
      </c>
      <c r="I7061" s="537"/>
      <c r="J7061" s="538"/>
      <c r="K7061" s="531"/>
      <c r="L7061" s="535" t="s">
        <v>266</v>
      </c>
      <c r="M7061" s="535">
        <v>1678.8</v>
      </c>
      <c r="N7061" s="539">
        <v>0.54166666666666663</v>
      </c>
      <c r="O7061" s="897" t="s">
        <v>2221</v>
      </c>
    </row>
    <row r="7062" spans="1:15" x14ac:dyDescent="0.25">
      <c r="A7062" s="958"/>
      <c r="B7062" s="563" t="s">
        <v>2162</v>
      </c>
      <c r="C7062" s="564" t="s">
        <v>1382</v>
      </c>
      <c r="D7062" s="565">
        <v>6.2930000000000001</v>
      </c>
      <c r="E7062" s="566"/>
      <c r="F7062" s="567" t="s">
        <v>16</v>
      </c>
      <c r="G7062" s="568" t="s">
        <v>844</v>
      </c>
      <c r="H7062" s="567" t="s">
        <v>2199</v>
      </c>
      <c r="I7062" s="569"/>
      <c r="J7062" s="570"/>
      <c r="K7062" s="563"/>
      <c r="L7062" s="567" t="s">
        <v>266</v>
      </c>
      <c r="M7062" s="567">
        <v>6306</v>
      </c>
      <c r="N7062" s="571">
        <v>0.54166666666666663</v>
      </c>
      <c r="O7062" s="897" t="s">
        <v>2220</v>
      </c>
    </row>
    <row r="7063" spans="1:15" x14ac:dyDescent="0.25">
      <c r="A7063" s="958"/>
      <c r="B7063" s="563" t="s">
        <v>2162</v>
      </c>
      <c r="C7063" s="564" t="s">
        <v>1382</v>
      </c>
      <c r="D7063" s="565">
        <v>1.5760000000000001</v>
      </c>
      <c r="E7063" s="566"/>
      <c r="F7063" s="567" t="s">
        <v>16</v>
      </c>
      <c r="G7063" s="568" t="s">
        <v>845</v>
      </c>
      <c r="H7063" s="567" t="s">
        <v>2199</v>
      </c>
      <c r="I7063" s="569"/>
      <c r="J7063" s="570"/>
      <c r="K7063" s="563"/>
      <c r="L7063" s="567" t="s">
        <v>28</v>
      </c>
      <c r="M7063" s="567">
        <v>1612.3799999999999</v>
      </c>
      <c r="N7063" s="571">
        <v>0.54166666666666663</v>
      </c>
      <c r="O7063" s="897" t="s">
        <v>2219</v>
      </c>
    </row>
    <row r="7064" spans="1:15" ht="19.5" thickBot="1" x14ac:dyDescent="0.3">
      <c r="A7064" s="961"/>
      <c r="B7064" s="636" t="s">
        <v>2162</v>
      </c>
      <c r="C7064" s="637" t="s">
        <v>23</v>
      </c>
      <c r="D7064" s="638">
        <v>7.9850000000000003</v>
      </c>
      <c r="E7064" s="639"/>
      <c r="F7064" s="640" t="s">
        <v>16</v>
      </c>
      <c r="G7064" s="641"/>
      <c r="H7064" s="640" t="s">
        <v>2199</v>
      </c>
      <c r="I7064" s="642"/>
      <c r="J7064" s="643"/>
      <c r="K7064" s="636"/>
      <c r="L7064" s="640" t="s">
        <v>28</v>
      </c>
      <c r="M7064" s="640">
        <v>8033.42</v>
      </c>
      <c r="N7064" s="644">
        <v>0.54166666666666663</v>
      </c>
      <c r="O7064" s="897" t="s">
        <v>2218</v>
      </c>
    </row>
    <row r="7065" spans="1:15" ht="38.25" thickBot="1" x14ac:dyDescent="0.3">
      <c r="A7065" s="513">
        <f>MAX(A6945:A7064)+1</f>
        <v>4372</v>
      </c>
      <c r="B7065" s="514" t="s">
        <v>2162</v>
      </c>
      <c r="C7065" s="515" t="s">
        <v>1382</v>
      </c>
      <c r="D7065" s="516">
        <v>5</v>
      </c>
      <c r="E7065" s="517"/>
      <c r="F7065" s="518" t="s">
        <v>16</v>
      </c>
      <c r="G7065" s="519" t="s">
        <v>1900</v>
      </c>
      <c r="H7065" s="518" t="s">
        <v>2199</v>
      </c>
      <c r="I7065" s="520"/>
      <c r="J7065" s="521"/>
      <c r="K7065" s="514"/>
      <c r="L7065" s="518" t="s">
        <v>266</v>
      </c>
      <c r="M7065" s="518">
        <v>5004</v>
      </c>
      <c r="N7065" s="522">
        <v>0.58333333333333337</v>
      </c>
      <c r="O7065" s="897" t="s">
        <v>2224</v>
      </c>
    </row>
    <row r="7066" spans="1:15" x14ac:dyDescent="0.25">
      <c r="A7066" s="957">
        <f>MAX(A6946:A7065)+1</f>
        <v>4373</v>
      </c>
      <c r="B7066" s="531" t="s">
        <v>2162</v>
      </c>
      <c r="C7066" s="532" t="s">
        <v>15</v>
      </c>
      <c r="D7066" s="533">
        <v>8.9960000000000004</v>
      </c>
      <c r="E7066" s="534"/>
      <c r="F7066" s="535" t="s">
        <v>30</v>
      </c>
      <c r="G7066" s="536"/>
      <c r="H7066" s="535" t="s">
        <v>2199</v>
      </c>
      <c r="I7066" s="537"/>
      <c r="J7066" s="538"/>
      <c r="K7066" s="531"/>
      <c r="L7066" s="535" t="s">
        <v>28</v>
      </c>
      <c r="M7066" s="535">
        <v>8996.880000000001</v>
      </c>
      <c r="N7066" s="539">
        <v>0.41666666666666669</v>
      </c>
      <c r="O7066" s="897" t="s">
        <v>2211</v>
      </c>
    </row>
    <row r="7067" spans="1:15" ht="19.5" thickBot="1" x14ac:dyDescent="0.3">
      <c r="A7067" s="961"/>
      <c r="B7067" s="636" t="s">
        <v>2162</v>
      </c>
      <c r="C7067" s="637" t="s">
        <v>24</v>
      </c>
      <c r="D7067" s="638">
        <v>5.0060000000000002</v>
      </c>
      <c r="E7067" s="639"/>
      <c r="F7067" s="640" t="s">
        <v>30</v>
      </c>
      <c r="G7067" s="641"/>
      <c r="H7067" s="640" t="s">
        <v>2199</v>
      </c>
      <c r="I7067" s="642"/>
      <c r="J7067" s="643"/>
      <c r="K7067" s="636"/>
      <c r="L7067" s="640" t="s">
        <v>28</v>
      </c>
      <c r="M7067" s="640">
        <v>5006.3999999999996</v>
      </c>
      <c r="N7067" s="644">
        <v>0.41666666666666669</v>
      </c>
      <c r="O7067" s="897" t="s">
        <v>2210</v>
      </c>
    </row>
    <row r="7068" spans="1:15" ht="19.5" thickBot="1" x14ac:dyDescent="0.3">
      <c r="A7068" s="513">
        <f>MAX(A6948:A7067)+1</f>
        <v>4374</v>
      </c>
      <c r="B7068" s="514" t="s">
        <v>2162</v>
      </c>
      <c r="C7068" s="515" t="s">
        <v>26</v>
      </c>
      <c r="D7068" s="516">
        <v>17.384</v>
      </c>
      <c r="E7068" s="517"/>
      <c r="F7068" s="518" t="s">
        <v>16</v>
      </c>
      <c r="G7068" s="519"/>
      <c r="H7068" s="518" t="s">
        <v>2208</v>
      </c>
      <c r="I7068" s="520"/>
      <c r="J7068" s="521"/>
      <c r="K7068" s="514"/>
      <c r="L7068" s="518" t="s">
        <v>265</v>
      </c>
      <c r="M7068" s="518">
        <v>17533.699999999997</v>
      </c>
      <c r="N7068" s="522">
        <v>0.375</v>
      </c>
      <c r="O7068" s="897" t="s">
        <v>2209</v>
      </c>
    </row>
    <row r="7069" spans="1:15" ht="19.5" thickBot="1" x14ac:dyDescent="0.3">
      <c r="A7069" s="503">
        <f>MAX(A6949:A7068)+1</f>
        <v>4375</v>
      </c>
      <c r="B7069" s="504" t="s">
        <v>2162</v>
      </c>
      <c r="C7069" s="505" t="s">
        <v>47</v>
      </c>
      <c r="D7069" s="506">
        <v>17.847999999999999</v>
      </c>
      <c r="E7069" s="507"/>
      <c r="F7069" s="508" t="s">
        <v>16</v>
      </c>
      <c r="G7069" s="509"/>
      <c r="H7069" s="508" t="s">
        <v>2208</v>
      </c>
      <c r="I7069" s="510"/>
      <c r="J7069" s="511"/>
      <c r="K7069" s="504"/>
      <c r="L7069" s="508" t="s">
        <v>28</v>
      </c>
      <c r="M7069" s="508">
        <v>18040.5</v>
      </c>
      <c r="N7069" s="512">
        <v>0.41666666666666669</v>
      </c>
      <c r="O7069" s="897" t="s">
        <v>2222</v>
      </c>
    </row>
    <row r="7070" spans="1:15" ht="38.25" thickBot="1" x14ac:dyDescent="0.3">
      <c r="A7070" s="513">
        <f>MAX(A6950:A7069)+1</f>
        <v>4376</v>
      </c>
      <c r="B7070" s="514" t="s">
        <v>2162</v>
      </c>
      <c r="C7070" s="515" t="s">
        <v>23</v>
      </c>
      <c r="D7070" s="516">
        <v>16.997</v>
      </c>
      <c r="E7070" s="517"/>
      <c r="F7070" s="518" t="s">
        <v>16</v>
      </c>
      <c r="G7070" s="519" t="s">
        <v>1634</v>
      </c>
      <c r="H7070" s="518" t="s">
        <v>2208</v>
      </c>
      <c r="I7070" s="520"/>
      <c r="J7070" s="521"/>
      <c r="K7070" s="514"/>
      <c r="L7070" s="518" t="s">
        <v>28</v>
      </c>
      <c r="M7070" s="518">
        <v>17121.98</v>
      </c>
      <c r="N7070" s="522">
        <v>0.45833333333333331</v>
      </c>
      <c r="O7070" s="897" t="s">
        <v>2223</v>
      </c>
    </row>
    <row r="7071" spans="1:15" x14ac:dyDescent="0.25">
      <c r="A7071" s="957">
        <f>MAX(A6951:A7070)+1</f>
        <v>4377</v>
      </c>
      <c r="B7071" s="531" t="s">
        <v>2162</v>
      </c>
      <c r="C7071" s="532" t="s">
        <v>587</v>
      </c>
      <c r="D7071" s="533">
        <v>6.6550000000000002</v>
      </c>
      <c r="E7071" s="534"/>
      <c r="F7071" s="535" t="s">
        <v>30</v>
      </c>
      <c r="G7071" s="536" t="s">
        <v>23</v>
      </c>
      <c r="H7071" s="535" t="s">
        <v>2208</v>
      </c>
      <c r="I7071" s="537"/>
      <c r="J7071" s="538"/>
      <c r="K7071" s="531"/>
      <c r="L7071" s="535" t="s">
        <v>28</v>
      </c>
      <c r="M7071" s="535">
        <v>6655.2000000000007</v>
      </c>
      <c r="N7071" s="539">
        <v>0.41666666666666669</v>
      </c>
      <c r="O7071" s="897" t="s">
        <v>2225</v>
      </c>
    </row>
    <row r="7072" spans="1:15" ht="19.5" thickBot="1" x14ac:dyDescent="0.3">
      <c r="A7072" s="961"/>
      <c r="B7072" s="636" t="s">
        <v>2162</v>
      </c>
      <c r="C7072" s="637" t="s">
        <v>23</v>
      </c>
      <c r="D7072" s="638">
        <v>5.391</v>
      </c>
      <c r="E7072" s="639"/>
      <c r="F7072" s="640" t="s">
        <v>30</v>
      </c>
      <c r="G7072" s="641"/>
      <c r="H7072" s="640" t="s">
        <v>2208</v>
      </c>
      <c r="I7072" s="642"/>
      <c r="J7072" s="643"/>
      <c r="K7072" s="636"/>
      <c r="L7072" s="640" t="s">
        <v>28</v>
      </c>
      <c r="M7072" s="640">
        <v>5391.2</v>
      </c>
      <c r="N7072" s="644">
        <v>0.41666666666666669</v>
      </c>
      <c r="O7072" s="897" t="s">
        <v>2212</v>
      </c>
    </row>
    <row r="7073" spans="1:15" x14ac:dyDescent="0.25">
      <c r="A7073" s="954">
        <f>MAX(A6953:A7072)+1</f>
        <v>4378</v>
      </c>
      <c r="B7073" s="479" t="s">
        <v>2162</v>
      </c>
      <c r="C7073" s="480" t="s">
        <v>587</v>
      </c>
      <c r="D7073" s="481">
        <v>7.875</v>
      </c>
      <c r="E7073" s="482"/>
      <c r="F7073" s="483" t="s">
        <v>30</v>
      </c>
      <c r="G7073" s="549" t="s">
        <v>47</v>
      </c>
      <c r="H7073" s="483" t="s">
        <v>2208</v>
      </c>
      <c r="I7073" s="484"/>
      <c r="J7073" s="485"/>
      <c r="K7073" s="479"/>
      <c r="L7073" s="483" t="s">
        <v>28</v>
      </c>
      <c r="M7073" s="483">
        <v>7875</v>
      </c>
      <c r="N7073" s="486">
        <v>0.45833333333333331</v>
      </c>
      <c r="O7073" s="897" t="s">
        <v>2213</v>
      </c>
    </row>
    <row r="7074" spans="1:15" ht="19.5" thickBot="1" x14ac:dyDescent="0.3">
      <c r="A7074" s="956"/>
      <c r="B7074" s="645" t="s">
        <v>2162</v>
      </c>
      <c r="C7074" s="646" t="s">
        <v>47</v>
      </c>
      <c r="D7074" s="647">
        <v>5.5419999999999998</v>
      </c>
      <c r="E7074" s="648"/>
      <c r="F7074" s="649" t="s">
        <v>30</v>
      </c>
      <c r="G7074" s="650"/>
      <c r="H7074" s="649" t="s">
        <v>2208</v>
      </c>
      <c r="I7074" s="651"/>
      <c r="J7074" s="652"/>
      <c r="K7074" s="645"/>
      <c r="L7074" s="649" t="s">
        <v>28</v>
      </c>
      <c r="M7074" s="649">
        <v>5542.4</v>
      </c>
      <c r="N7074" s="653">
        <v>0.45833333333333331</v>
      </c>
      <c r="O7074" s="897" t="s">
        <v>2214</v>
      </c>
    </row>
    <row r="7075" spans="1:15" x14ac:dyDescent="0.25">
      <c r="A7075" s="676">
        <f>MAX(A6955:A7074)+1</f>
        <v>4379</v>
      </c>
      <c r="B7075" s="676"/>
      <c r="C7075" s="473"/>
      <c r="D7075" s="474"/>
      <c r="E7075" s="475"/>
      <c r="F7075" s="676"/>
      <c r="G7075" s="476"/>
      <c r="H7075" s="676"/>
      <c r="I7075" s="477"/>
      <c r="J7075" s="478"/>
      <c r="K7075" s="676"/>
      <c r="L7075" s="676"/>
      <c r="M7075" s="676"/>
      <c r="N7075" s="676"/>
    </row>
    <row r="7076" spans="1:15" x14ac:dyDescent="0.25">
      <c r="A7076" s="676">
        <f>MAX(A6956:A7075)+1</f>
        <v>4380</v>
      </c>
      <c r="B7076" s="676"/>
      <c r="C7076" s="473"/>
      <c r="D7076" s="474"/>
      <c r="E7076" s="475"/>
      <c r="F7076" s="676"/>
      <c r="G7076" s="476"/>
      <c r="H7076" s="676"/>
      <c r="I7076" s="477"/>
      <c r="J7076" s="478"/>
      <c r="K7076" s="676"/>
      <c r="L7076" s="676"/>
      <c r="M7076" s="676"/>
      <c r="N7076" s="676"/>
    </row>
    <row r="7077" spans="1:15" x14ac:dyDescent="0.25">
      <c r="A7077" s="676">
        <f>MAX(A6957:A7076)+1</f>
        <v>4381</v>
      </c>
      <c r="B7077" s="676"/>
      <c r="C7077" s="473"/>
      <c r="D7077" s="474"/>
      <c r="E7077" s="475"/>
      <c r="F7077" s="676"/>
      <c r="G7077" s="476"/>
      <c r="H7077" s="676"/>
      <c r="I7077" s="477"/>
      <c r="J7077" s="478"/>
      <c r="K7077" s="676"/>
      <c r="L7077" s="676"/>
      <c r="M7077" s="676"/>
      <c r="N7077" s="676"/>
    </row>
    <row r="7078" spans="1:15" x14ac:dyDescent="0.25">
      <c r="A7078" s="676">
        <f>MAX(A6958:A7077)+1</f>
        <v>4382</v>
      </c>
      <c r="B7078" s="676"/>
      <c r="C7078" s="473"/>
      <c r="D7078" s="474"/>
      <c r="E7078" s="475"/>
      <c r="F7078" s="676"/>
      <c r="G7078" s="476"/>
      <c r="H7078" s="676"/>
      <c r="I7078" s="477"/>
      <c r="J7078" s="478"/>
      <c r="K7078" s="676"/>
      <c r="L7078" s="676"/>
      <c r="M7078" s="676"/>
      <c r="N7078" s="676"/>
    </row>
    <row r="7079" spans="1:15" x14ac:dyDescent="0.25">
      <c r="A7079" s="676">
        <f>MAX(A6959:A7078)+1</f>
        <v>4383</v>
      </c>
      <c r="B7079" s="676"/>
      <c r="C7079" s="473"/>
      <c r="D7079" s="474"/>
      <c r="E7079" s="475"/>
      <c r="F7079" s="676"/>
      <c r="G7079" s="476"/>
      <c r="H7079" s="676"/>
      <c r="I7079" s="477"/>
      <c r="J7079" s="478"/>
      <c r="K7079" s="676"/>
      <c r="L7079" s="676"/>
      <c r="M7079" s="676"/>
      <c r="N7079" s="676"/>
    </row>
  </sheetData>
  <autoFilter ref="A2:R7079" xr:uid="{9E4C531E-AD50-422A-AC7C-8C5AF4C19268}">
    <filterColumn colId="10">
      <filters blank="1"/>
    </filterColumn>
  </autoFilter>
  <mergeCells count="1854">
    <mergeCell ref="A7058:A7059"/>
    <mergeCell ref="G7058:G7059"/>
    <mergeCell ref="A7061:A7064"/>
    <mergeCell ref="A7066:A7067"/>
    <mergeCell ref="A7071:A7072"/>
    <mergeCell ref="A7073:A7074"/>
    <mergeCell ref="A7042:A7046"/>
    <mergeCell ref="A7047:A7048"/>
    <mergeCell ref="A7049:A7051"/>
    <mergeCell ref="A7011:A7013"/>
    <mergeCell ref="A7017:A7019"/>
    <mergeCell ref="A6999:A7003"/>
    <mergeCell ref="G6999:G7003"/>
    <mergeCell ref="A7004:A7005"/>
    <mergeCell ref="A6985:A6986"/>
    <mergeCell ref="A6987:A6988"/>
    <mergeCell ref="A6989:A6991"/>
    <mergeCell ref="A7032:A7034"/>
    <mergeCell ref="A7035:A7036"/>
    <mergeCell ref="A7037:A7038"/>
    <mergeCell ref="A7039:A7040"/>
    <mergeCell ref="A6958:A6960"/>
    <mergeCell ref="G6718:G6720"/>
    <mergeCell ref="G6878:G6879"/>
    <mergeCell ref="G6861:G6863"/>
    <mergeCell ref="A6589:A6590"/>
    <mergeCell ref="A6668:A6669"/>
    <mergeCell ref="A6948:A6950"/>
    <mergeCell ref="G6948:G6950"/>
    <mergeCell ref="G6932:G6935"/>
    <mergeCell ref="A6928:A6931"/>
    <mergeCell ref="A6932:A6935"/>
    <mergeCell ref="A6951:A6952"/>
    <mergeCell ref="A6924:A6925"/>
    <mergeCell ref="A6926:A6927"/>
    <mergeCell ref="A6936:A6937"/>
    <mergeCell ref="A6943:A6947"/>
    <mergeCell ref="G6943:G6947"/>
    <mergeCell ref="A6893:A6895"/>
    <mergeCell ref="A6840:A6843"/>
    <mergeCell ref="A6844:A6846"/>
    <mergeCell ref="A6847:A6851"/>
    <mergeCell ref="A6727:A6728"/>
    <mergeCell ref="A6729:A6730"/>
    <mergeCell ref="A6920:A6922"/>
    <mergeCell ref="G6785:G6786"/>
    <mergeCell ref="G6787:G6788"/>
    <mergeCell ref="A6801:A6802"/>
    <mergeCell ref="A6769:A6770"/>
    <mergeCell ref="A6915:A6919"/>
    <mergeCell ref="A6887:A6888"/>
    <mergeCell ref="A6889:A6890"/>
    <mergeCell ref="A6595:A6599"/>
    <mergeCell ref="G6560:G6561"/>
    <mergeCell ref="A6649:A6651"/>
    <mergeCell ref="A6854:A6855"/>
    <mergeCell ref="A6852:A6853"/>
    <mergeCell ref="A6896:A6898"/>
    <mergeCell ref="A6899:A6901"/>
    <mergeCell ref="A6812:A6815"/>
    <mergeCell ref="A6902:A6905"/>
    <mergeCell ref="A6870:A6872"/>
    <mergeCell ref="A6873:A6875"/>
    <mergeCell ref="A6876:A6877"/>
    <mergeCell ref="A6829:A6832"/>
    <mergeCell ref="A6808:A6811"/>
    <mergeCell ref="A6797:A6800"/>
    <mergeCell ref="A6787:A6788"/>
    <mergeCell ref="A6775:A6777"/>
    <mergeCell ref="A6864:A6865"/>
    <mergeCell ref="A6866:A6867"/>
    <mergeCell ref="A6878:A6879"/>
    <mergeCell ref="A6856:A6859"/>
    <mergeCell ref="A6817:A6821"/>
    <mergeCell ref="A6891:A6892"/>
    <mergeCell ref="A6881:A6882"/>
    <mergeCell ref="A6861:A6863"/>
    <mergeCell ref="A6822:A6828"/>
    <mergeCell ref="A6791:A6793"/>
    <mergeCell ref="A6789:A6790"/>
    <mergeCell ref="A6836:A6838"/>
    <mergeCell ref="A6833:A6835"/>
    <mergeCell ref="G6876:G6877"/>
    <mergeCell ref="A6785:A6786"/>
    <mergeCell ref="A6780:A6781"/>
    <mergeCell ref="A6552:A6554"/>
    <mergeCell ref="A6663:A6664"/>
    <mergeCell ref="A6644:A6647"/>
    <mergeCell ref="A6908:A6911"/>
    <mergeCell ref="A6912:A6913"/>
    <mergeCell ref="G6660:G6661"/>
    <mergeCell ref="A6759:A6762"/>
    <mergeCell ref="G6080:G6081"/>
    <mergeCell ref="A5609:A5610"/>
    <mergeCell ref="A5619:A5620"/>
    <mergeCell ref="A5621:A5622"/>
    <mergeCell ref="A5623:A5624"/>
    <mergeCell ref="A5599:A5600"/>
    <mergeCell ref="A6735:A6736"/>
    <mergeCell ref="A6695:A6697"/>
    <mergeCell ref="A6700:A6702"/>
    <mergeCell ref="G6721:G6722"/>
    <mergeCell ref="A6721:A6722"/>
    <mergeCell ref="A6723:A6724"/>
    <mergeCell ref="G6723:G6724"/>
    <mergeCell ref="A6725:A6726"/>
    <mergeCell ref="A6718:A6720"/>
    <mergeCell ref="A6693:A6694"/>
    <mergeCell ref="A6673:A6674"/>
    <mergeCell ref="A6703:A6706"/>
    <mergeCell ref="G5599:G5600"/>
    <mergeCell ref="A5602:A5603"/>
    <mergeCell ref="A6578:A6580"/>
    <mergeCell ref="G5623:G5624"/>
    <mergeCell ref="A5612:A5615"/>
    <mergeCell ref="A5617:A5618"/>
    <mergeCell ref="A6592:A6593"/>
    <mergeCell ref="A6782:A6784"/>
    <mergeCell ref="A6713:A6714"/>
    <mergeCell ref="A6750:A6752"/>
    <mergeCell ref="A6733:A6734"/>
    <mergeCell ref="A6756:A6758"/>
    <mergeCell ref="A6654:A6655"/>
    <mergeCell ref="A6617:A6618"/>
    <mergeCell ref="A6678:A6679"/>
    <mergeCell ref="A6738:A6739"/>
    <mergeCell ref="A6766:A6767"/>
    <mergeCell ref="A6741:A6743"/>
    <mergeCell ref="A6744:A6746"/>
    <mergeCell ref="A6747:A6749"/>
    <mergeCell ref="A6763:A6765"/>
    <mergeCell ref="A6771:A6774"/>
    <mergeCell ref="A6688:A6690"/>
    <mergeCell ref="A6660:A6661"/>
    <mergeCell ref="A6638:A6639"/>
    <mergeCell ref="A6640:A6642"/>
    <mergeCell ref="A6675:A6676"/>
    <mergeCell ref="A6731:A6732"/>
    <mergeCell ref="A6680:A6681"/>
    <mergeCell ref="A6682:A6683"/>
    <mergeCell ref="A6635:A6637"/>
    <mergeCell ref="A6709:A6712"/>
    <mergeCell ref="A6698:A6699"/>
    <mergeCell ref="A1401:A1404"/>
    <mergeCell ref="A1286:A1287"/>
    <mergeCell ref="A1289:A1290"/>
    <mergeCell ref="A1291:A1292"/>
    <mergeCell ref="A1374:A1375"/>
    <mergeCell ref="A1377:A1378"/>
    <mergeCell ref="A6614:A6616"/>
    <mergeCell ref="A6684:A6687"/>
    <mergeCell ref="A6632:A6634"/>
    <mergeCell ref="A5351:A5353"/>
    <mergeCell ref="A5355:A5357"/>
    <mergeCell ref="A5408:A5409"/>
    <mergeCell ref="A5551:A5552"/>
    <mergeCell ref="A5553:A5555"/>
    <mergeCell ref="A5584:A5587"/>
    <mergeCell ref="A5564:A5565"/>
    <mergeCell ref="A5570:A5572"/>
    <mergeCell ref="A5561:A5562"/>
    <mergeCell ref="A6670:A6672"/>
    <mergeCell ref="A5527:A5528"/>
    <mergeCell ref="A6608:A6609"/>
    <mergeCell ref="A5472:A5474"/>
    <mergeCell ref="A5489:A5490"/>
    <mergeCell ref="A6624:A6625"/>
    <mergeCell ref="A6629:A6631"/>
    <mergeCell ref="A5400:A5401"/>
    <mergeCell ref="A5501:A5502"/>
    <mergeCell ref="A5523:A5525"/>
    <mergeCell ref="A6555:A6556"/>
    <mergeCell ref="A6559:A6561"/>
    <mergeCell ref="A6567:A6568"/>
    <mergeCell ref="A5606:A5607"/>
    <mergeCell ref="G1377:G1378"/>
    <mergeCell ref="G1401:G1404"/>
    <mergeCell ref="A1409:A1410"/>
    <mergeCell ref="A1412:A1413"/>
    <mergeCell ref="A1415:A1416"/>
    <mergeCell ref="A1418:A1419"/>
    <mergeCell ref="A1218:A1219"/>
    <mergeCell ref="A1032:A1034"/>
    <mergeCell ref="A1028:A1029"/>
    <mergeCell ref="A1052:A1059"/>
    <mergeCell ref="A4893:A4894"/>
    <mergeCell ref="A1192:A1193"/>
    <mergeCell ref="A1194:A1197"/>
    <mergeCell ref="A1078:A1079"/>
    <mergeCell ref="A1080:A1081"/>
    <mergeCell ref="A1305:A1306"/>
    <mergeCell ref="A1308:A1309"/>
    <mergeCell ref="A1311:A1312"/>
    <mergeCell ref="A1259:A1260"/>
    <mergeCell ref="A1262:A1263"/>
    <mergeCell ref="A1264:A1265"/>
    <mergeCell ref="A1268:A1269"/>
    <mergeCell ref="A1270:A1271"/>
    <mergeCell ref="A1273:A1278"/>
    <mergeCell ref="A1330:A1331"/>
    <mergeCell ref="A1380:A1381"/>
    <mergeCell ref="A1382:A1383"/>
    <mergeCell ref="A1384:A1385"/>
    <mergeCell ref="A1388:A1389"/>
    <mergeCell ref="A1390:A1391"/>
    <mergeCell ref="A1395:A1396"/>
    <mergeCell ref="A1397:A1398"/>
    <mergeCell ref="G1250:G1251"/>
    <mergeCell ref="A1244:A1245"/>
    <mergeCell ref="A1299:A1300"/>
    <mergeCell ref="A1301:A1302"/>
    <mergeCell ref="G1291:G1292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1030:A1031"/>
    <mergeCell ref="A1223:A1224"/>
    <mergeCell ref="A1035:A1036"/>
    <mergeCell ref="A1041:A1042"/>
    <mergeCell ref="A1140:A1141"/>
    <mergeCell ref="A1216:A1217"/>
    <mergeCell ref="A1226:A1230"/>
    <mergeCell ref="A1176:A1179"/>
    <mergeCell ref="A1180:A1181"/>
    <mergeCell ref="A1182:A1183"/>
    <mergeCell ref="A1186:A1190"/>
    <mergeCell ref="A1062:A1063"/>
    <mergeCell ref="A1065:A1067"/>
    <mergeCell ref="A1282:A1283"/>
    <mergeCell ref="A1284:A1285"/>
    <mergeCell ref="A1318:A1322"/>
    <mergeCell ref="A1324:A1325"/>
    <mergeCell ref="A1328:A1329"/>
    <mergeCell ref="A1407:A1408"/>
    <mergeCell ref="G1202:G1203"/>
    <mergeCell ref="G1080:G1081"/>
    <mergeCell ref="A1082:A1083"/>
    <mergeCell ref="A1125:A1126"/>
    <mergeCell ref="A1127:A1128"/>
    <mergeCell ref="A1136:A1137"/>
    <mergeCell ref="A1023:A1025"/>
    <mergeCell ref="A1294:A1295"/>
    <mergeCell ref="A5091:A5092"/>
    <mergeCell ref="A4825:A4826"/>
    <mergeCell ref="A1121:A1122"/>
    <mergeCell ref="G1121:G1122"/>
    <mergeCell ref="A1092:A1093"/>
    <mergeCell ref="A1070:A1071"/>
    <mergeCell ref="A1072:A1074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A1043:A1045"/>
    <mergeCell ref="A1172:A1173"/>
    <mergeCell ref="A1199:A1200"/>
    <mergeCell ref="A1202:A1203"/>
    <mergeCell ref="G1167:G1168"/>
    <mergeCell ref="A1170:A1171"/>
    <mergeCell ref="A1232:A1233"/>
    <mergeCell ref="A1138:A1139"/>
    <mergeCell ref="G762:G763"/>
    <mergeCell ref="A881:A882"/>
    <mergeCell ref="A968:A969"/>
    <mergeCell ref="A971:A973"/>
    <mergeCell ref="A995:A999"/>
    <mergeCell ref="A1000:A1001"/>
    <mergeCell ref="A1002:A1003"/>
    <mergeCell ref="A836:A838"/>
    <mergeCell ref="A774:A778"/>
    <mergeCell ref="A779:A783"/>
    <mergeCell ref="A850:A852"/>
    <mergeCell ref="A855:A860"/>
    <mergeCell ref="A876:A877"/>
    <mergeCell ref="A891:A893"/>
    <mergeCell ref="A784:A785"/>
    <mergeCell ref="A815:A816"/>
    <mergeCell ref="A762:A763"/>
    <mergeCell ref="A766:A768"/>
    <mergeCell ref="A769:A771"/>
    <mergeCell ref="A943:A947"/>
    <mergeCell ref="A955:A956"/>
    <mergeCell ref="A957:A958"/>
    <mergeCell ref="A980:A982"/>
    <mergeCell ref="A983:A984"/>
    <mergeCell ref="A977:A979"/>
    <mergeCell ref="G983:G984"/>
    <mergeCell ref="A985:A987"/>
    <mergeCell ref="A939:A941"/>
    <mergeCell ref="A988:A989"/>
    <mergeCell ref="A990:A992"/>
    <mergeCell ref="A948:A949"/>
    <mergeCell ref="A951:A954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872:A874"/>
    <mergeCell ref="A925:A928"/>
    <mergeCell ref="A809:A812"/>
    <mergeCell ref="A839:A841"/>
    <mergeCell ref="A912:A914"/>
    <mergeCell ref="A915:A916"/>
    <mergeCell ref="A897:A898"/>
    <mergeCell ref="A917:A918"/>
    <mergeCell ref="A923:A924"/>
    <mergeCell ref="A789:A790"/>
    <mergeCell ref="G556:G557"/>
    <mergeCell ref="A341:A342"/>
    <mergeCell ref="G408:G409"/>
    <mergeCell ref="A480:A483"/>
    <mergeCell ref="A339:A340"/>
    <mergeCell ref="A556:A557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A504:A506"/>
    <mergeCell ref="G218:G219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A167:A168"/>
    <mergeCell ref="A394:A395"/>
    <mergeCell ref="A398:A399"/>
    <mergeCell ref="A231:A232"/>
    <mergeCell ref="A234:A237"/>
    <mergeCell ref="A238:A239"/>
    <mergeCell ref="A364:A367"/>
    <mergeCell ref="A371:A374"/>
    <mergeCell ref="G314:G31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B55:B56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108:A110"/>
    <mergeCell ref="A113:A114"/>
    <mergeCell ref="A127:A128"/>
    <mergeCell ref="B127:B128"/>
    <mergeCell ref="B75:B77"/>
    <mergeCell ref="B62:B66"/>
    <mergeCell ref="A105:A107"/>
    <mergeCell ref="B105:B107"/>
    <mergeCell ref="B67:B68"/>
    <mergeCell ref="A146:A147"/>
    <mergeCell ref="A148:A151"/>
    <mergeCell ref="A153:A154"/>
    <mergeCell ref="A196:A197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27:B30"/>
    <mergeCell ref="B31:B34"/>
    <mergeCell ref="I420:J420"/>
    <mergeCell ref="A317:A318"/>
    <mergeCell ref="A320:A323"/>
    <mergeCell ref="A327:A330"/>
    <mergeCell ref="A334:A335"/>
    <mergeCell ref="A337:A338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A240:A241"/>
    <mergeCell ref="A243:A244"/>
    <mergeCell ref="A221:A222"/>
    <mergeCell ref="A227:A230"/>
    <mergeCell ref="A258:A259"/>
    <mergeCell ref="A260:A261"/>
    <mergeCell ref="A262:A263"/>
    <mergeCell ref="A264:A265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G362:G363"/>
    <mergeCell ref="A381:A382"/>
    <mergeCell ref="A383:A384"/>
    <mergeCell ref="A400:A402"/>
    <mergeCell ref="A385:A390"/>
    <mergeCell ref="A408:A409"/>
    <mergeCell ref="A490:A492"/>
    <mergeCell ref="A362:A363"/>
    <mergeCell ref="A471:A472"/>
    <mergeCell ref="A473:A476"/>
    <mergeCell ref="J264:J26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G596:G597"/>
    <mergeCell ref="A1021:A1022"/>
    <mergeCell ref="A1046:A1047"/>
    <mergeCell ref="A1075:A1077"/>
    <mergeCell ref="G654:G655"/>
    <mergeCell ref="A640:A643"/>
    <mergeCell ref="A615:A617"/>
    <mergeCell ref="J502:J506"/>
    <mergeCell ref="A1096:A1097"/>
    <mergeCell ref="A1102:A1105"/>
    <mergeCell ref="A1106:A1107"/>
    <mergeCell ref="A1115:A1116"/>
    <mergeCell ref="A1087:A1090"/>
    <mergeCell ref="A1110:A1112"/>
    <mergeCell ref="A1221:A1222"/>
    <mergeCell ref="G1030:G1031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974:A976"/>
    <mergeCell ref="A959:A960"/>
    <mergeCell ref="A1117:A1120"/>
    <mergeCell ref="G1418:G1419"/>
    <mergeCell ref="A1421:A1422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3906:A3908"/>
    <mergeCell ref="A4477:A4479"/>
    <mergeCell ref="A4442:A4443"/>
    <mergeCell ref="A4427:A4428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114:A4115"/>
    <mergeCell ref="A4231:A4232"/>
    <mergeCell ref="A4209:A4210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6:A4200"/>
    <mergeCell ref="A4202:A4203"/>
    <mergeCell ref="A4329:A4330"/>
    <mergeCell ref="A4331:A4332"/>
    <mergeCell ref="A4345:A4346"/>
    <mergeCell ref="A4393:A4395"/>
    <mergeCell ref="A4414:A4415"/>
    <mergeCell ref="A4311:A4314"/>
    <mergeCell ref="A4501:A4502"/>
    <mergeCell ref="A4169:A4170"/>
    <mergeCell ref="A4245:A4246"/>
    <mergeCell ref="A4445:A4448"/>
    <mergeCell ref="A4473:A4475"/>
    <mergeCell ref="A4503:A4504"/>
    <mergeCell ref="A4317:A4318"/>
    <mergeCell ref="A4334:A4335"/>
    <mergeCell ref="A4298:A4299"/>
    <mergeCell ref="A4324:A4326"/>
    <mergeCell ref="A4315:A4316"/>
    <mergeCell ref="A4214:A4216"/>
    <mergeCell ref="A4357:A4359"/>
    <mergeCell ref="A4505:A4506"/>
    <mergeCell ref="A4601:A4602"/>
    <mergeCell ref="A4622:A4623"/>
    <mergeCell ref="A4605:A4608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406:A4407"/>
    <mergeCell ref="A4429:A4430"/>
    <mergeCell ref="A4489:A4492"/>
    <mergeCell ref="A4582:A4584"/>
    <mergeCell ref="A4524:A4526"/>
    <mergeCell ref="A4517:A4518"/>
    <mergeCell ref="A4437:A4440"/>
    <mergeCell ref="A4579:A4581"/>
    <mergeCell ref="A4521:A4523"/>
    <mergeCell ref="A4543:A4544"/>
    <mergeCell ref="A4539:A4541"/>
    <mergeCell ref="A4480:A4481"/>
    <mergeCell ref="A4402:A4405"/>
    <mergeCell ref="A4507:A4508"/>
    <mergeCell ref="A4512:A4514"/>
    <mergeCell ref="A4499:A4500"/>
    <mergeCell ref="A4591:A4592"/>
    <mergeCell ref="A4593:A4595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G4615:G4616"/>
    <mergeCell ref="A4640:A4641"/>
    <mergeCell ref="A4643:A4645"/>
    <mergeCell ref="A4646:A4648"/>
    <mergeCell ref="A4679:A4680"/>
    <mergeCell ref="A4653:A4655"/>
    <mergeCell ref="A4635:A4636"/>
    <mergeCell ref="A4649:A4650"/>
    <mergeCell ref="A4627:A4628"/>
    <mergeCell ref="A4629:A4632"/>
    <mergeCell ref="A4633:A4634"/>
    <mergeCell ref="A4515:A4516"/>
    <mergeCell ref="A4387:A4390"/>
    <mergeCell ref="A4384:A4386"/>
    <mergeCell ref="A4374:A4375"/>
    <mergeCell ref="A4370:A4372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709:A4711"/>
    <mergeCell ref="A4767:A4768"/>
    <mergeCell ref="A4719:A4720"/>
    <mergeCell ref="A4745:A4747"/>
    <mergeCell ref="A4748:A4750"/>
    <mergeCell ref="A4751:A4752"/>
    <mergeCell ref="A4597:A4598"/>
    <mergeCell ref="A4700:A4701"/>
    <mergeCell ref="A4687:A4690"/>
    <mergeCell ref="G4866:G4867"/>
    <mergeCell ref="A4868:A4871"/>
    <mergeCell ref="A4872:A4873"/>
    <mergeCell ref="A4859:A4860"/>
    <mergeCell ref="A4854:A4855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846:A4847"/>
    <mergeCell ref="A4776:A4777"/>
    <mergeCell ref="G4776:G4777"/>
    <mergeCell ref="A4723:A4724"/>
    <mergeCell ref="A4727:A4728"/>
    <mergeCell ref="A4772:A4773"/>
    <mergeCell ref="G4854:G4855"/>
    <mergeCell ref="A4866:A4867"/>
    <mergeCell ref="A4729:A4732"/>
    <mergeCell ref="A4734:A4736"/>
    <mergeCell ref="A4770:A4771"/>
    <mergeCell ref="G4700:G4701"/>
    <mergeCell ref="A4721:A4722"/>
    <mergeCell ref="A4774:A4775"/>
    <mergeCell ref="A4964:A4965"/>
    <mergeCell ref="A4960:A4961"/>
    <mergeCell ref="G4977:G4978"/>
    <mergeCell ref="G4996:G4997"/>
    <mergeCell ref="A4996:A4997"/>
    <mergeCell ref="G4930:G4931"/>
    <mergeCell ref="A4942:A4943"/>
    <mergeCell ref="A4954:A4955"/>
    <mergeCell ref="A4792:A4793"/>
    <mergeCell ref="G4792:G4793"/>
    <mergeCell ref="A4794:A4795"/>
    <mergeCell ref="A4816:A4817"/>
    <mergeCell ref="A4818:A4819"/>
    <mergeCell ref="A4820:A4822"/>
    <mergeCell ref="A4806:A4807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A4903:A4904"/>
    <mergeCell ref="A4834:A4837"/>
    <mergeCell ref="A4930:A4931"/>
    <mergeCell ref="G4729:G4732"/>
    <mergeCell ref="A4948:A4949"/>
    <mergeCell ref="A4950:A4951"/>
    <mergeCell ref="A4911:A4913"/>
    <mergeCell ref="G4960:G4961"/>
    <mergeCell ref="G4935:G4936"/>
    <mergeCell ref="G4950:G4951"/>
    <mergeCell ref="G4838:G4839"/>
    <mergeCell ref="A4840:A4841"/>
    <mergeCell ref="G4751:G4752"/>
    <mergeCell ref="A4812:A4813"/>
    <mergeCell ref="A4808:A4811"/>
    <mergeCell ref="A4799:A4800"/>
    <mergeCell ref="A4788:A4790"/>
    <mergeCell ref="A4842:A4843"/>
    <mergeCell ref="A4905:A4906"/>
    <mergeCell ref="A4844:A4845"/>
    <mergeCell ref="A4887:A4888"/>
    <mergeCell ref="A4838:A4839"/>
    <mergeCell ref="A4924:A4925"/>
    <mergeCell ref="G4830:G4831"/>
    <mergeCell ref="A4830:A4831"/>
    <mergeCell ref="A4891:A4892"/>
    <mergeCell ref="G4820:G4822"/>
    <mergeCell ref="A4933:A4934"/>
    <mergeCell ref="A4935:A4936"/>
    <mergeCell ref="A4889:A4890"/>
    <mergeCell ref="A4832:A4833"/>
    <mergeCell ref="A4926:A4929"/>
    <mergeCell ref="A5001:A5002"/>
    <mergeCell ref="A5014:A5015"/>
    <mergeCell ref="G5110:G5113"/>
    <mergeCell ref="A5099:A5101"/>
    <mergeCell ref="A5116:A5117"/>
    <mergeCell ref="A5037:A5038"/>
    <mergeCell ref="A5114:A5115"/>
    <mergeCell ref="G5035:G5036"/>
    <mergeCell ref="G5065:G5066"/>
    <mergeCell ref="A5019:A5020"/>
    <mergeCell ref="A4956:A4957"/>
    <mergeCell ref="A5035:A5036"/>
    <mergeCell ref="G5047:G5048"/>
    <mergeCell ref="A5029:A5030"/>
    <mergeCell ref="A5059:A5060"/>
    <mergeCell ref="A5063:A5064"/>
    <mergeCell ref="A5065:A5069"/>
    <mergeCell ref="A5084:A5086"/>
    <mergeCell ref="A5087:A5088"/>
    <mergeCell ref="G5084:G5086"/>
    <mergeCell ref="A5082:A5083"/>
    <mergeCell ref="A4986:A4987"/>
    <mergeCell ref="A4966:A4968"/>
    <mergeCell ref="A4983:A4985"/>
    <mergeCell ref="A4999:A5000"/>
    <mergeCell ref="G4999:G5000"/>
    <mergeCell ref="A4989:A4991"/>
    <mergeCell ref="A4992:A4994"/>
    <mergeCell ref="A5006:A5008"/>
    <mergeCell ref="A5009:A5011"/>
    <mergeCell ref="A5012:A5013"/>
    <mergeCell ref="A5054:A5055"/>
    <mergeCell ref="A5042:A5044"/>
    <mergeCell ref="G5042:G5044"/>
    <mergeCell ref="A5047:A5048"/>
    <mergeCell ref="G5019:G5020"/>
    <mergeCell ref="A5026:A5028"/>
    <mergeCell ref="A5049:A5052"/>
    <mergeCell ref="A5232:A5233"/>
    <mergeCell ref="G5216:G5217"/>
    <mergeCell ref="A5222:A5225"/>
    <mergeCell ref="G5188:G5189"/>
    <mergeCell ref="G5196:G5197"/>
    <mergeCell ref="A5142:A5144"/>
    <mergeCell ref="A5150:A5152"/>
    <mergeCell ref="A5146:A5147"/>
    <mergeCell ref="G5202:G5203"/>
    <mergeCell ref="G5232:G5233"/>
    <mergeCell ref="A5172:A5175"/>
    <mergeCell ref="A5183:A5184"/>
    <mergeCell ref="A5181:A5182"/>
    <mergeCell ref="A5164:A5165"/>
    <mergeCell ref="A5070:A5071"/>
    <mergeCell ref="A5074:A5076"/>
    <mergeCell ref="A5079:A5080"/>
    <mergeCell ref="A5077:A5078"/>
    <mergeCell ref="A5039:A5041"/>
    <mergeCell ref="A5110:A5113"/>
    <mergeCell ref="A5202:A5203"/>
    <mergeCell ref="A5196:A5197"/>
    <mergeCell ref="A5188:A5189"/>
    <mergeCell ref="A5176:A5178"/>
    <mergeCell ref="A5121:A5122"/>
    <mergeCell ref="A5153:A5154"/>
    <mergeCell ref="A5140:A5141"/>
    <mergeCell ref="G5408:G5409"/>
    <mergeCell ref="A5428:A5429"/>
    <mergeCell ref="A5272:A5273"/>
    <mergeCell ref="G5531:G5532"/>
    <mergeCell ref="G5091:G5092"/>
    <mergeCell ref="A5102:A5104"/>
    <mergeCell ref="G5116:G5117"/>
    <mergeCell ref="A5298:A5299"/>
    <mergeCell ref="A5126:A5127"/>
    <mergeCell ref="A5286:A5289"/>
    <mergeCell ref="A5275:A5276"/>
    <mergeCell ref="G5275:G5276"/>
    <mergeCell ref="A5205:A5207"/>
    <mergeCell ref="A5226:A5228"/>
    <mergeCell ref="A5192:A5195"/>
    <mergeCell ref="A5212:A5213"/>
    <mergeCell ref="A5485:A5486"/>
    <mergeCell ref="A5476:A5478"/>
    <mergeCell ref="A5479:A5481"/>
    <mergeCell ref="A5482:A5484"/>
    <mergeCell ref="A5467:A5468"/>
    <mergeCell ref="A5470:A5471"/>
    <mergeCell ref="A5128:A5129"/>
    <mergeCell ref="A5216:A5217"/>
    <mergeCell ref="A5123:A5125"/>
    <mergeCell ref="A5260:A5261"/>
    <mergeCell ref="A5254:A5255"/>
    <mergeCell ref="A5250:A5251"/>
    <mergeCell ref="A5240:A5242"/>
    <mergeCell ref="A5229:A5230"/>
    <mergeCell ref="A5504:A5505"/>
    <mergeCell ref="A5534:A5538"/>
    <mergeCell ref="A5358:A5359"/>
    <mergeCell ref="A5265:A5266"/>
    <mergeCell ref="A5316:A5317"/>
    <mergeCell ref="A5363:A5364"/>
    <mergeCell ref="A5511:A5512"/>
    <mergeCell ref="A5370:A5373"/>
    <mergeCell ref="A5445:A5446"/>
    <mergeCell ref="A5441:A5442"/>
    <mergeCell ref="A5270:A5271"/>
    <mergeCell ref="A5443:A5444"/>
    <mergeCell ref="A5385:A5386"/>
    <mergeCell ref="A5387:A5388"/>
    <mergeCell ref="A5507:A5508"/>
    <mergeCell ref="A5338:A5341"/>
    <mergeCell ref="A5531:A5532"/>
    <mergeCell ref="A5436:A5437"/>
    <mergeCell ref="A5267:A5269"/>
    <mergeCell ref="A5311:A5312"/>
    <mergeCell ref="A5296:A5297"/>
    <mergeCell ref="A5247:A5249"/>
    <mergeCell ref="A6571:A6572"/>
    <mergeCell ref="A5573:A5574"/>
    <mergeCell ref="G5402:G5403"/>
    <mergeCell ref="A5406:A5407"/>
    <mergeCell ref="A5464:A5466"/>
    <mergeCell ref="A5455:A5456"/>
    <mergeCell ref="A5439:A5440"/>
    <mergeCell ref="G6604:G6605"/>
    <mergeCell ref="G5489:G5490"/>
    <mergeCell ref="G5534:G5538"/>
    <mergeCell ref="A5542:A5546"/>
    <mergeCell ref="A5518:A5522"/>
    <mergeCell ref="A5497:A5498"/>
    <mergeCell ref="A5499:A5500"/>
    <mergeCell ref="A5575:A5576"/>
    <mergeCell ref="G5549:G5550"/>
    <mergeCell ref="A5493:A5495"/>
    <mergeCell ref="A5595:A5596"/>
    <mergeCell ref="G5515:G5516"/>
    <mergeCell ref="A5348:A5350"/>
    <mergeCell ref="A5290:A5292"/>
    <mergeCell ref="A5418:A5419"/>
    <mergeCell ref="A5513:A5514"/>
    <mergeCell ref="A5326:A5327"/>
    <mergeCell ref="A5452:A5453"/>
    <mergeCell ref="A5305:A5308"/>
    <mergeCell ref="A5402:A5403"/>
    <mergeCell ref="A5321:A5325"/>
    <mergeCell ref="A5331:A5334"/>
    <mergeCell ref="A5515:A5516"/>
    <mergeCell ref="A5412:A5413"/>
    <mergeCell ref="A6961:A6962"/>
    <mergeCell ref="A6981:A6984"/>
    <mergeCell ref="A6963:A6967"/>
    <mergeCell ref="A6611:A6612"/>
    <mergeCell ref="A5282:A5283"/>
    <mergeCell ref="G5436:G5437"/>
    <mergeCell ref="G5370:G5373"/>
    <mergeCell ref="A6604:A6605"/>
    <mergeCell ref="A5342:A5343"/>
    <mergeCell ref="A6939:A6940"/>
    <mergeCell ref="A5625:A5626"/>
    <mergeCell ref="A5577:A5578"/>
    <mergeCell ref="A6601:A6602"/>
    <mergeCell ref="A5588:A5589"/>
    <mergeCell ref="A5590:A5592"/>
    <mergeCell ref="A5199:A5200"/>
    <mergeCell ref="A5219:A5221"/>
    <mergeCell ref="G5363:G5364"/>
    <mergeCell ref="A5416:A5417"/>
    <mergeCell ref="A5380:A5381"/>
    <mergeCell ref="A5378:A5379"/>
    <mergeCell ref="A5302:A5304"/>
    <mergeCell ref="A5449:A5451"/>
    <mergeCell ref="A5420:A5421"/>
    <mergeCell ref="A5374:A5375"/>
    <mergeCell ref="G5416:G5417"/>
    <mergeCell ref="A5394:A5397"/>
    <mergeCell ref="A5398:A5399"/>
    <mergeCell ref="A5430:A5431"/>
    <mergeCell ref="A5432:A5433"/>
    <mergeCell ref="A5234:A5235"/>
    <mergeCell ref="A5279:A5281"/>
    <mergeCell ref="A6970:A6974"/>
    <mergeCell ref="A6975:A6978"/>
    <mergeCell ref="A6941:A6942"/>
    <mergeCell ref="A5243:A5244"/>
    <mergeCell ref="A5262:A5263"/>
    <mergeCell ref="A5539:A5541"/>
    <mergeCell ref="A7054:A7056"/>
    <mergeCell ref="A5593:A5594"/>
    <mergeCell ref="A6581:A6583"/>
    <mergeCell ref="A6585:A6586"/>
    <mergeCell ref="A6754:A6755"/>
    <mergeCell ref="A6691:A6692"/>
    <mergeCell ref="G5126:G5127"/>
    <mergeCell ref="G5140:G5141"/>
    <mergeCell ref="G5321:G5325"/>
    <mergeCell ref="A5309:A5310"/>
    <mergeCell ref="A5156:A5159"/>
    <mergeCell ref="A5161:A5162"/>
    <mergeCell ref="A5138:A5139"/>
    <mergeCell ref="A5134:A5137"/>
    <mergeCell ref="A5210:A5211"/>
    <mergeCell ref="A5179:A5180"/>
    <mergeCell ref="A7026:A7027"/>
    <mergeCell ref="A7028:A7030"/>
    <mergeCell ref="A7014:A7015"/>
    <mergeCell ref="G7014:G7015"/>
    <mergeCell ref="A7006:A7007"/>
    <mergeCell ref="A6996:A6998"/>
    <mergeCell ref="G5504:G5505"/>
    <mergeCell ref="A5549:A5550"/>
    <mergeCell ref="A6968:A6969"/>
    <mergeCell ref="A6992:A6995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User</cp:lastModifiedBy>
  <cp:revision>375</cp:revision>
  <cp:lastPrinted>2026-01-29T07:41:29Z</cp:lastPrinted>
  <dcterms:created xsi:type="dcterms:W3CDTF">2015-06-05T18:19:34Z</dcterms:created>
  <dcterms:modified xsi:type="dcterms:W3CDTF">2026-08-22T07:32:27Z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