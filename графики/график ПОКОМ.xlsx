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1ECCEB1-611B-4C43-9532-F5BACBE03EF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Лист1!$A$2:$R$7327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4" i="1" s="1"/>
  <c r="A7296" i="1" l="1"/>
  <c r="A7297" i="1" s="1"/>
  <c r="A7300" i="1" s="1"/>
  <c r="A7301" i="1" l="1"/>
  <c r="A7302" i="1" s="1"/>
  <c r="A7303" i="1" l="1"/>
  <c r="A7310" i="1" l="1"/>
  <c r="A7312" i="1" l="1"/>
  <c r="A7314" i="1" l="1"/>
  <c r="A7316" i="1" l="1"/>
  <c r="A7317" i="1" s="1"/>
  <c r="A7318" i="1" l="1"/>
  <c r="A7320" i="1" l="1"/>
  <c r="A7321" i="1" l="1"/>
  <c r="A7322" i="1" s="1"/>
  <c r="A7325" i="1" l="1"/>
  <c r="A7327" i="1" l="1"/>
  <c r="A7328" i="1" l="1"/>
  <c r="A7329" i="1" l="1"/>
  <c r="A7330" i="1" l="1"/>
  <c r="A7331" i="1" s="1"/>
  <c r="A7332" i="1" s="1"/>
  <c r="A7333" i="1" s="1"/>
  <c r="A7334" i="1" l="1"/>
  <c r="A7335" i="1" s="1"/>
  <c r="A7336" i="1" s="1"/>
  <c r="A7337" i="1" l="1"/>
  <c r="A7338" i="1" s="1"/>
  <c r="A7339" i="1" s="1"/>
  <c r="A7340" i="1" l="1"/>
  <c r="A7341" i="1" s="1"/>
  <c r="A7342" i="1" s="1"/>
</calcChain>
</file>

<file path=xl/sharedStrings.xml><?xml version="1.0" encoding="utf-8"?>
<sst xmlns="http://schemas.openxmlformats.org/spreadsheetml/2006/main" count="47360" uniqueCount="2788">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</sst>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0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20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69" xfId="0" applyNumberFormat="1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42"/>
  <sheetViews>
    <sheetView tabSelected="1" zoomScale="70" zoomScaleNormal="70" workbookViewId="0">
      <pane ySplit="2" topLeftCell="A7278" activePane="bottomLeft" state="frozen"/>
      <selection pane="bottomLeft" activeCell="Q7293" sqref="Q729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65" t="s">
        <v>0</v>
      </c>
      <c r="B1" s="1065"/>
      <c r="C1" s="1065"/>
      <c r="D1" s="1065"/>
      <c r="E1" s="1065"/>
      <c r="F1" s="1065"/>
      <c r="G1" s="1065"/>
      <c r="H1" s="1065"/>
      <c r="I1" s="1065"/>
      <c r="J1" s="106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6">
        <v>1</v>
      </c>
      <c r="B3" s="106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6"/>
      <c r="B4" s="106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62">
        <v>3</v>
      </c>
      <c r="B6" s="106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62"/>
      <c r="B7" s="106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62"/>
      <c r="B8" s="106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62">
        <v>5</v>
      </c>
      <c r="B10" s="106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62"/>
      <c r="B11" s="106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60">
        <v>8</v>
      </c>
      <c r="B14" s="106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60"/>
      <c r="B15" s="106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62">
        <v>11</v>
      </c>
      <c r="B18" s="106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62"/>
      <c r="B19" s="106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62"/>
      <c r="B20" s="106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62"/>
      <c r="B21" s="106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62">
        <v>13</v>
      </c>
      <c r="B23" s="106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62"/>
      <c r="B24" s="106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60">
        <v>14</v>
      </c>
      <c r="B25" s="106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60"/>
      <c r="B26" s="106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62">
        <v>15</v>
      </c>
      <c r="B27" s="106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62"/>
      <c r="B28" s="106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62"/>
      <c r="B29" s="106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62"/>
      <c r="B30" s="106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60">
        <v>16</v>
      </c>
      <c r="B31" s="106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60"/>
      <c r="B32" s="106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60"/>
      <c r="B33" s="106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60"/>
      <c r="B34" s="106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62">
        <v>17</v>
      </c>
      <c r="B35" s="106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62"/>
      <c r="B36" s="106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62">
        <v>21</v>
      </c>
      <c r="B40" s="106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62"/>
      <c r="B41" s="106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62">
        <v>23</v>
      </c>
      <c r="B43" s="106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62"/>
      <c r="B44" s="106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62"/>
      <c r="B45" s="106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60">
        <v>24</v>
      </c>
      <c r="B46" s="106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60"/>
      <c r="B47" s="106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62">
        <v>25</v>
      </c>
      <c r="B48" s="106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62"/>
      <c r="B49" s="106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62"/>
      <c r="B50" s="106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60">
        <v>26</v>
      </c>
      <c r="B51" s="106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60"/>
      <c r="B52" s="106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62">
        <v>29</v>
      </c>
      <c r="B55" s="106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62"/>
      <c r="B56" s="106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60">
        <v>32</v>
      </c>
      <c r="B59" s="106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60"/>
      <c r="B60" s="106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60">
        <v>34</v>
      </c>
      <c r="B62" s="106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60"/>
      <c r="B63" s="106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60"/>
      <c r="B64" s="106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60"/>
      <c r="B65" s="106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60"/>
      <c r="B66" s="106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62">
        <v>35</v>
      </c>
      <c r="B67" s="106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62"/>
      <c r="B68" s="106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47">
        <v>40</v>
      </c>
      <c r="B73" s="106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47"/>
      <c r="B74" s="106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46">
        <v>41</v>
      </c>
      <c r="B75" s="106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46"/>
      <c r="B76" s="106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46"/>
      <c r="B77" s="106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47">
        <v>42</v>
      </c>
      <c r="B78" s="106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47"/>
      <c r="B79" s="106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46">
        <v>49</v>
      </c>
      <c r="B86" s="106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46"/>
      <c r="B87" s="106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46"/>
      <c r="B88" s="106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47">
        <v>50</v>
      </c>
      <c r="B89" s="106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47"/>
      <c r="B90" s="106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46">
        <v>51</v>
      </c>
      <c r="B91" s="106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46"/>
      <c r="B92" s="106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46">
        <v>53</v>
      </c>
      <c r="B94" s="106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46"/>
      <c r="B95" s="106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47">
        <v>54</v>
      </c>
      <c r="B96" s="106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47"/>
      <c r="B97" s="106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47"/>
      <c r="B98" s="106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47">
        <v>58</v>
      </c>
      <c r="B102" s="106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47"/>
      <c r="B103" s="106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47">
        <v>60</v>
      </c>
      <c r="B105" s="106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47"/>
      <c r="B106" s="106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47"/>
      <c r="B107" s="106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46">
        <v>61</v>
      </c>
      <c r="B108" s="106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46"/>
      <c r="B109" s="106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46"/>
      <c r="B110" s="106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47">
        <v>64</v>
      </c>
      <c r="B113" s="106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47"/>
      <c r="B114" s="106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47">
        <v>66</v>
      </c>
      <c r="B116" s="106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47"/>
      <c r="B117" s="106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46">
        <v>67</v>
      </c>
      <c r="B118" s="106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46"/>
      <c r="B119" s="106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46"/>
      <c r="B120" s="106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47">
        <v>68</v>
      </c>
      <c r="B121" s="106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47"/>
      <c r="B122" s="106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46">
        <v>69</v>
      </c>
      <c r="B123" s="106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46"/>
      <c r="B124" s="106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47">
        <v>72</v>
      </c>
      <c r="B127" s="1060" t="s">
        <v>65</v>
      </c>
      <c r="C127" s="119" t="s">
        <v>26</v>
      </c>
      <c r="D127" s="120">
        <v>3.3</v>
      </c>
      <c r="E127" s="121"/>
      <c r="F127" s="122" t="s">
        <v>30</v>
      </c>
      <c r="G127" s="105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47"/>
      <c r="B128" s="1060"/>
      <c r="C128" s="103" t="s">
        <v>26</v>
      </c>
      <c r="D128" s="88">
        <v>12.9</v>
      </c>
      <c r="E128" s="106"/>
      <c r="F128" s="107" t="s">
        <v>16</v>
      </c>
      <c r="G128" s="105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47">
        <v>76</v>
      </c>
      <c r="B132" s="106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47"/>
      <c r="B133" s="106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47"/>
      <c r="B134" s="106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47"/>
      <c r="B135" s="106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47">
        <v>78</v>
      </c>
      <c r="B137" s="106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47"/>
      <c r="B138" s="106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6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6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4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4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4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4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4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4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4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4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4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4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4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4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4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4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4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4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4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4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4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4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4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4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4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4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4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4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4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4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4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4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4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4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4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4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4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4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4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4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4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4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4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4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4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4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4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4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4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4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4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4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4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4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4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4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4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4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4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4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4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4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4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4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4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4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4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4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4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4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4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4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4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4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4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4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4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4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4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4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4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4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4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4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4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4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4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4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4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4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4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4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4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4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4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4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4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4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4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6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4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6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4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4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4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4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4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4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4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4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4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4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4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4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4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4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4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4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4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4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4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4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4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4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4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4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4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4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4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4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4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4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4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4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4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4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4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4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4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4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4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4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4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4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4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4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4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4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4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4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4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4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4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4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4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4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4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4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4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4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4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4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4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4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4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4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4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4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4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4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5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4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5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4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4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4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4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4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4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4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4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4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4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4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4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4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4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4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4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4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4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4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4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4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4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4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4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4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4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4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4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4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4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4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4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4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4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5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4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5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4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4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4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4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4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4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67" t="s">
        <v>133</v>
      </c>
      <c r="J420" s="106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4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4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4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4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4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4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4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4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4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4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4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4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4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4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4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4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4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4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4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4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4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4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4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4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4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5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4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5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4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4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4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4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4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4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4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4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5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5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5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4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4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4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4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4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4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4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4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4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4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4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4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4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4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4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4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4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4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4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4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4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4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5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4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5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4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4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4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7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4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7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4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7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4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7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4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7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4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4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4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4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4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4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4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4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4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4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4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4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4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4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4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4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4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4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4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4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4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4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4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4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4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4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4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4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4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4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4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4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4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4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4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4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4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4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4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4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5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4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5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4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4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4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4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4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4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4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4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4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4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4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4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4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4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4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4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4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4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4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4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4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4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4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4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4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4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4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4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4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4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4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4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4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5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4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5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4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4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4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4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4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4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4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4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4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4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4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4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4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4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4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4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4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4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4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4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4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4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4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4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4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4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4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4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4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4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4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4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4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4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4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4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4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4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4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4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4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4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4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4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5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4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5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4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4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7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4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7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4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4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4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4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4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4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4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4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4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4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4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4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4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4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4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4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4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4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4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4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4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4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4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4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4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4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4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4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4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5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4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5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4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4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4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4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4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4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4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4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4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4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4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4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4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4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4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4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4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4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4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4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4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4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4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4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4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4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4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4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7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4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7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4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4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4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4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4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4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4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4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4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4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4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4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4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4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4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4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5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5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5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5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5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5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4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5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4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5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4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4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4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4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4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4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5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5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5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5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5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4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4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4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4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4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4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4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4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4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4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4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4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4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4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4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4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4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4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4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4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4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4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4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4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4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4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4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4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4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4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5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4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5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4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4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4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4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4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4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4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4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4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4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4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4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4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4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4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4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4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4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4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4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4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4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4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4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4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4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4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4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4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4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4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4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4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4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4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4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4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4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4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4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4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4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4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4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4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4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4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4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4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4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4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4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4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4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4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4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4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4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4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4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4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4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4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4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4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4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4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4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4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4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4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4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4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4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4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4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4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4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4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4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4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4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4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4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4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4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4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4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4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4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4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4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4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5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4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5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4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4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4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4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4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4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4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4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4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4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4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4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4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4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4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4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4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4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4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4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4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4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4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4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4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4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4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4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4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4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4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4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4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4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4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4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4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4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4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4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4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4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4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4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4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5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4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5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4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4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4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4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4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4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4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4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4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4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4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4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4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4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4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5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5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4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4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4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4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4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4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4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4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4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4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4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4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4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4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4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4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4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4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4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4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4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4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4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4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4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5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4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5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4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4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4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4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4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4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4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4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4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4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4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4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4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4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4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4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4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4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4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4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4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4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4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4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4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4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4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4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4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4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4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4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4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4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4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4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4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4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5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4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5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4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4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4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4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4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4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4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4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4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4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4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4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4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4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4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4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4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4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4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4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4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4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4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4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4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4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5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4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5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4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4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4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4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4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4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4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4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4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4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4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4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4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4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4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4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4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4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4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4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4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4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4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4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4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4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4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4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4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4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4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5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4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5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4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4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4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4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4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4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4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4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4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4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4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4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4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4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4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4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4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4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4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4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4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4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4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4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4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4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5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4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5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4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4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4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4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4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4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4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4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4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4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4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4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4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4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4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4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4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4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4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4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4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4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4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4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4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4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4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4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4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4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4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4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4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4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4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4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5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4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5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4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4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4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4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4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4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4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4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4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4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4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4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4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4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4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4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4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4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4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4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4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4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4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4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4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4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4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4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4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5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4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5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4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4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4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4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4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4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4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4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4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4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4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4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4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4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4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4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4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4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4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4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4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4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4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4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4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4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4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5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4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5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4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4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4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4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4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4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4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4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4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4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4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4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4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4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4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4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4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4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4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4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4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4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4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4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4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4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4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5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4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5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4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4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4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4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4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4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4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4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4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4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4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4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4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4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4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5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4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5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4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5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4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5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4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4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4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4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4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4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4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4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4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5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4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5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4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4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4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4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4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4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4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4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4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4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4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4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4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4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4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4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4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4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4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4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4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4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4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4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4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5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4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5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4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4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4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4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4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4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4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4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4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4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4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4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4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4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4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4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4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4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4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4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5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4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5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4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4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4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4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4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4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4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4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4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4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4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4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4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4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4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4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4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4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4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4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4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5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4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5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4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4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4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4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4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4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4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4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4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4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4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4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4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4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4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4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4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4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4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4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4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4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4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4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4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4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4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4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4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4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4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4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4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4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4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4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4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4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4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4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4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4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4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4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4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4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4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5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4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5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4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4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4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4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4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4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4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4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4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4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4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4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4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4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4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4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4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4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4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4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4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4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4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4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4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4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5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4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5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4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4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4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4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4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4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4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4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4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4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4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4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5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4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5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4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4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4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4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4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4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4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4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4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4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4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4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4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4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4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4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4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4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4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4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4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4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4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5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4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5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4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4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4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4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4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4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4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4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4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4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4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4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4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4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4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4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4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4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4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4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4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4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4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4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5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4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5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4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5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4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4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4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4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4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4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4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4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4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4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4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4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5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4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5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4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4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4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4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4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4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4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4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4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4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4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4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4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4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4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4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4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4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4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4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4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4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4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4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4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4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4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4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4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4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5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4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5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4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4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4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4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4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4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4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4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4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4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4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4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4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4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4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4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4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4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4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4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5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4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5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4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4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4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4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4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4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4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4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4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4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4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4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4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4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4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4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4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4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4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4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4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4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5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4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5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4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4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4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4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4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4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4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4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4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4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4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4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4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4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4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4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4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4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4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4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5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4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5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4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4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4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4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4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4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4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4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4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4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4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4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4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4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4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4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4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4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4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4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4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4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4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4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4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4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4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4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4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4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4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4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4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4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4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4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4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4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4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4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5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5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5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4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4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4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4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4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5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4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5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4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4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4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4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4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4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4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4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4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4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5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4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5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4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4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4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4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4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4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4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4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4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4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4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4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4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4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4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4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4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5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4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5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4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4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4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4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4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4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4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4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4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4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4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4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4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4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4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4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4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4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4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4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4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4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4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4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4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4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4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4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4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4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4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4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4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4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4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4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4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4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4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4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4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4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4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4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4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4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4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4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4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4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4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4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4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4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4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4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4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4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4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4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4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7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74" t="s">
        <v>467</v>
      </c>
      <c r="H2160" s="414" t="s">
        <v>515</v>
      </c>
      <c r="I2160" s="415" t="s">
        <v>516</v>
      </c>
      <c r="J2160" s="107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7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74"/>
      <c r="H2161" s="421" t="s">
        <v>515</v>
      </c>
      <c r="I2161" s="422" t="s">
        <v>516</v>
      </c>
      <c r="J2161" s="107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7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74"/>
      <c r="H2162" s="429" t="s">
        <v>515</v>
      </c>
      <c r="I2162" s="430" t="s">
        <v>516</v>
      </c>
      <c r="J2162" s="107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7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74" t="s">
        <v>467</v>
      </c>
      <c r="H2165" s="414" t="s">
        <v>516</v>
      </c>
      <c r="I2165" s="415" t="s">
        <v>516</v>
      </c>
      <c r="J2165" s="107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7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74"/>
      <c r="H2166" s="429" t="s">
        <v>516</v>
      </c>
      <c r="I2166" s="430" t="s">
        <v>516</v>
      </c>
      <c r="J2166" s="107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4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4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4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4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4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4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4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4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4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4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4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4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5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4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5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4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4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4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4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5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4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5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4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7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4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7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4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6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4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6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4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4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4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4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4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4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4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4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4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4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4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4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4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4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4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4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4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4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4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4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4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4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4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4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4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4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4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4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4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4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4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4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4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4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4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4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4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4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4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4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4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4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4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4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4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4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4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4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4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4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4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4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4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4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4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4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4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4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4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4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4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4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4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4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4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4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5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5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4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4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4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4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4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4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4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4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4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4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4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4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4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4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4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4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4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4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4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4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5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5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5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4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4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4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4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4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4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4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4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4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4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4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4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4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4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4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4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4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4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4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4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5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5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5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4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4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5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5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4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4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4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4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4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4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4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4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4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4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4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4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4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4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4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4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4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4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4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4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4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4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5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5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4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4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4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4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4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4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4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4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4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4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4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4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4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4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4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4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4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4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5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5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4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4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4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4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4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4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4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4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4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4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4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4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4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4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4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4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4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5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5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5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4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4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4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4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4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4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4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4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4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4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4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5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4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5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4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5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5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5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5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5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4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4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4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4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5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5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4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5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4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5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4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4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4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4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4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4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4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4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4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4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4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4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7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7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7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7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4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4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4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5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4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5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4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4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5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5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4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4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4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4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4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4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4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5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5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4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4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4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4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5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7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5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7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4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4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4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5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4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5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4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4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4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4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5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5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4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4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4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4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4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4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4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4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4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4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4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4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4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4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4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4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4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5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4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5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4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4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4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4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5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5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5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4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4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4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4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4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4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4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4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4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5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5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5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5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5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5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4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4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8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8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4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4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4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4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4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4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4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4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4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4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4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4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4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4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5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5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5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5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5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5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4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4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4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4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4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4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5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5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4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4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4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4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4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4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4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4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4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4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4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4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4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4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5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4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5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4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5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5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5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5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5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4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4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4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4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4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4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4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4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4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4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4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4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4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4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4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4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4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4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5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5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5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5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5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4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4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4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4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4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4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4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4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5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5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4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4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4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4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5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5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4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4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4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4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4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5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8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5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8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4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4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4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5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4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5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4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4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4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4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4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5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5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4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4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4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4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4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4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4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4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4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4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4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4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5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5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5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5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5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4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4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4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5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4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5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4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4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4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4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4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4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5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5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4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4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4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4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4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4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4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5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5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5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4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5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4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5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5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5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5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5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4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4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4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5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4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5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4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4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4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4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4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5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5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4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4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4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4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5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5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4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4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5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5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5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5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5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4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4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4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4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4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4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4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5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5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5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5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4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4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4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4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4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4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4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5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5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5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5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5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5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5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5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5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4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4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4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4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4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4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4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4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4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4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5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5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5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5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5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5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4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4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4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4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4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4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4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4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4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4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4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5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5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4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4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4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4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4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4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4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5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4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5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4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5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4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5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5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5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5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5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5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4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4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4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5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4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5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4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5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4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4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5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5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5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4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4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4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4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4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4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4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4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4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4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4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4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4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4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4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5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4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5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5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5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4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4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4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4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4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4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4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4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5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5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5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5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5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5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5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5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4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4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4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4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4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4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4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4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4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4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4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4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5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5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4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4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4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4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4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4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4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4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4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4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4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4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4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4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4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4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4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4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4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4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5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5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5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4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4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4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4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4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5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4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5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4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5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4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5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4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4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4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4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4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4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4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4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4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4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4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4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4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4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4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4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4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4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5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5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5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4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4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4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4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4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4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4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4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4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4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4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4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5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5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4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4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4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4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4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4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5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7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5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7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5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7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5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7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5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7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5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7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4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4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4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4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4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4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4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4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5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5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5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5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4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4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4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4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4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4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4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4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4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4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4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4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5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5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5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4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4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4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4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5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5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5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5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5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5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5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5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4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4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4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4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4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4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5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5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5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4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4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4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4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4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4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4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4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4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4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4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4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4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5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5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4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4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4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4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5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5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5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5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5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5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5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5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5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4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4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5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5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5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4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4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4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5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5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4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4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5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5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4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4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5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5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5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5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5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4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4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4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4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4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4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5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5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5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5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5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5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5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5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4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4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4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4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4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4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5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5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5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5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4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4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4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4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4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4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4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4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4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4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5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4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5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5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5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5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5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5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5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4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4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4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4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4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4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4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5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4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5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5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5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5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5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4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4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4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4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4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4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4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4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5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5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4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4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4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4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4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4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4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4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4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4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4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5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7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5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7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5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7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4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4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4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4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4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4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4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4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4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4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4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4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4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5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5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5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5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5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4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4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4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5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4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5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4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4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5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5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4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4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4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4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4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4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4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4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4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4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5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5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5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5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5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5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5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4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4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4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5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4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5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4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4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4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4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4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4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5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5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4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4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4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4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4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4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4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4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5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4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5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0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1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3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0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1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3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3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3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1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8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0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8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0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1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8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8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0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1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2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2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2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8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0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8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1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8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0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1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3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8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8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0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8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1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3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8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8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0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8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0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1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2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2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8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1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2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2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0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1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8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0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1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8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8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0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1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8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8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0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8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1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8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0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0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8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1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8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0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8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1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2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8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1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2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2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2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2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2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0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8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1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3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8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8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0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8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1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8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0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8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0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1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8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8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1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2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8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0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8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1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3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8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8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0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1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8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1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8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1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3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8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8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0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8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1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2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8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0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8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1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2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2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2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1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8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0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8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0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1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2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1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2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2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2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2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2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0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8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0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1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3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8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8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0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8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1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2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8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0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0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1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8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8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1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2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2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8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0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8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0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8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1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8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1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2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2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2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2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0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8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0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8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1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8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0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8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1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8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0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1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8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8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1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2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0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8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1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8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0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8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1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8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0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8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0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2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2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2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2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2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2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0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8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0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8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1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2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2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8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0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8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0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8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1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2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2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8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1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2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2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2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2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2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0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8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0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1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8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8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1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2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8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0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8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1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2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8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0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1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3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8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8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1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3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8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8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0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8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1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8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0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1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8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0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8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1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2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8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0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8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1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8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0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1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8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8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0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8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1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2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8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1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8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0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1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2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1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2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2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2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2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0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8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0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1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3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8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8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0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8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1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2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2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2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0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8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0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8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1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8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0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8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0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8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4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8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8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0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8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1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8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0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8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1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8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0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8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0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8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1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2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1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0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1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1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1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0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1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1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1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0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1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3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1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3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0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1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1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0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1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0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1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1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1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0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1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3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2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3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1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3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1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1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1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2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1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0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1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1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2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2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2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2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0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1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1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2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1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0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1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1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1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0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1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0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1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1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2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2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0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1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1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2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2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2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2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0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1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1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2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1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0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1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1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1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0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1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0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1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0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1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1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1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1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2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1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0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1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0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1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1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1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1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1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1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0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1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1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2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2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1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0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1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0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1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1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1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1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2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1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1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2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1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0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1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0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1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1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3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2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3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2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3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1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3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0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1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0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1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1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2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1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0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1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1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2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2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1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3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1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3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0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1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1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2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1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1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1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0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1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1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2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0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1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1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2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2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2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2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0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1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0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1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3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3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1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1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1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1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0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1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0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1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1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2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1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0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1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1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3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1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3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1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2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1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2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2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2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2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1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0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1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2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1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0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1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0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1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1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2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1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0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1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1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2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1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1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1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0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1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1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2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1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0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1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1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3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2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3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0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1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1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1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0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1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1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0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1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1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2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2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1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0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1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1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1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1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1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0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1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1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2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0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1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0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1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0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1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1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1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1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1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0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1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1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2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1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1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2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1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1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2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1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0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1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0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1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1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3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2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3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0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1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1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1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0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1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1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1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0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1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0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1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1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1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0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1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1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2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1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0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1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1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1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0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1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0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1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2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1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0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1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0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1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0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1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1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1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0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1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1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1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0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1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1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2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1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1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2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1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0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1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1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2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1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0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1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3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1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1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1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2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1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1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1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1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1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0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1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0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1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1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2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0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1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0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1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0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1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1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1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1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1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1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2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1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1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0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1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1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2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0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1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0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1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0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1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1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2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1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0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1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1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2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1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0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1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1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1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0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1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1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2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1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1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2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0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1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1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2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2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1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0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1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1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1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0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1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0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1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1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1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0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1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1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2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1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0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1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1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2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1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1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0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1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1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0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1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1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3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2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3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2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3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1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3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1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2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1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1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3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1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3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0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0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1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1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2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1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0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1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1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1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0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1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1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2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1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2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2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1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0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1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3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1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1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1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1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0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1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1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1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0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1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1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1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0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1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1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2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1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1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3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1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3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0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1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0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0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1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1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2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2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2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0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1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1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1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0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1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1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3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2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3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1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3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0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1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0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1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1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1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1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1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0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1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1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3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1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3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0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1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1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1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0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1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1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2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0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1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1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1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1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2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2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0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1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0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1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1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1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1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2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2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1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0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1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1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2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1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0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1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1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1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0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1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1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1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0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1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1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1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1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2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1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2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1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0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1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3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1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1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1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2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1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0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1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0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1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0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1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1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2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2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1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0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1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1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1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0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1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1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3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1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3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0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1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1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0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1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1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1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0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1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1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1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1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1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0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1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1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3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1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3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0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1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1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2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1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0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1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1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2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1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1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3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1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3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0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1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2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2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0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1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0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1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1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2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1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1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3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1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3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1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3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1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3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0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0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1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1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2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1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0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1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1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1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1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3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1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3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1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2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2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0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1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1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3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1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3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0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1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1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2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1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0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1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3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3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1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3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1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3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0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1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1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0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1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8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1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1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0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1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1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1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0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1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0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1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1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3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2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3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1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3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0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1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3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1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3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1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2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2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1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1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2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1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0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1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0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1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3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3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3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1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1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0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1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1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1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0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1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1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2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1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0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1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1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1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1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2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0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1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1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1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0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1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1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1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1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2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1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1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2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0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1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1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1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2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2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1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1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1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1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2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0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1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1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2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1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0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1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1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1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0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1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0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1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3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1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2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2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1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0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1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1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1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0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1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0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1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1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1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0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1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1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1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0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1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1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3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1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3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1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2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1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0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1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1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2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1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0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0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1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1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1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1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2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0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1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1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0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1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1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1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0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1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1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1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0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1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0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1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1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2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1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0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1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1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1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1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3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2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3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0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1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1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0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1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1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2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1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1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2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0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1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1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2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1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0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1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1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1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0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1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0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0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1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3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3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3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3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1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1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1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2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2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1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1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2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2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1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0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1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1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2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1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0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1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0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1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1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1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1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3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1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3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1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3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2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3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2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3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2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3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0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1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1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1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0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1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0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1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1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1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1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2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2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1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1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1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3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3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1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2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0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1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1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1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1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2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0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1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3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1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1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0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1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1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1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0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1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1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1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0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1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1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1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0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1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1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1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0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1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1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1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0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1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1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1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1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1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1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2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2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0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1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0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1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1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2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1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1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2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1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0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1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1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2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1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0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1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3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1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3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0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1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0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1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1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1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0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1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0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1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1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1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0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1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1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1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0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1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1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3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1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3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1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2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2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2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1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0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1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0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1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3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1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3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1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3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2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3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2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3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2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3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1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3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0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1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1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2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2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2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1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0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1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1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1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1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1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0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1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0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1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0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1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1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2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1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0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1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1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1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0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0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1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1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1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0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1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1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1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0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1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1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3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1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3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1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2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0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1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0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1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0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1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0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1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1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1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0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1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1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3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1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3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0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1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39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40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4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4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4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1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1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4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4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4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4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4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1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2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4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2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8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9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4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4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4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1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1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1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2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2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2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2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1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1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1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2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1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0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1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0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1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0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1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1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1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1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1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1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2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1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0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1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1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2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2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0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1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1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2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1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1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2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2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1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1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2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1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0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1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1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3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1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3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1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2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4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2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1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2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0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1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0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1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2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2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2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1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2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2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2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1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2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2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2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1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2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2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2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1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2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0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1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2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2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1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2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2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2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2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1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3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1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3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2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1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2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30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1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2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0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1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1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1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0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4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9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2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2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2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2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2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2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1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21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1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0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1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1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21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1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1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1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2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2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1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2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2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1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21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1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1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2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2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1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2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2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1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2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1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2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1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1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3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21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3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0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1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1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21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21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1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0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0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1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1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21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21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1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1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21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21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21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1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0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1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1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2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0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1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1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2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1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0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1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2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2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2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1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2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2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2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2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5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6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2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1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12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0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1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1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thickBot="1" x14ac:dyDescent="0.3">
      <c r="A6871" s="101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2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2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2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1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3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2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3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0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1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1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1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0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1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1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2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0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1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1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12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0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1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1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2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2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2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1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21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21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21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0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1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3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3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1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21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21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21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12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0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1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0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1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1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2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0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1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1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35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1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3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1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3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2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34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0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1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0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1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1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2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2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5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2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16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2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6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2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6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2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7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1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3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1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3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2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34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0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1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08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1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1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2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08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1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1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2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08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1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1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21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21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21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08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1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1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2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08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1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11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21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12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08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1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1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1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2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2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13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2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30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2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30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2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30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2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14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1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2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08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1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08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10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1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35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2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34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1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1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2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08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10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11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21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12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11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21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12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08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10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1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2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08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10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08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10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1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1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2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08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10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1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2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08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10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11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21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21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12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1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2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1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2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1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2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2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08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13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10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14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11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21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21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12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11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12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08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10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1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2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08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31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10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3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11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12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08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10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11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12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1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20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08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10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11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21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21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21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21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12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18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20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2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2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2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2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18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20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08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09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10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11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35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21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33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21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33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12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34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11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21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21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21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11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35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12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34"/>
      <c r="H7128" s="788" t="s">
        <v>2347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08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13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10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30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11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21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21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12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08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2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09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2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10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2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11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12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08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10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11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21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21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12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08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31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09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6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10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6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18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19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20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18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20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2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24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11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12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2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24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11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21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21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11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4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21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5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21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5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12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5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22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23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24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11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21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21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1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22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23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24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18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19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20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22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15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23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16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23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16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24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17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08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09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10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18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20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22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23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23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101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7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102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8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08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9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10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0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08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09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22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556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24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556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18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56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20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556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56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18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56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20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556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22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556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24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556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18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56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20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556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22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556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24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556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56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08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556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10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556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11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56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21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56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12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556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08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556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10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556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11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556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21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56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21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56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21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556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12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556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x14ac:dyDescent="0.25">
      <c r="A7242" s="1022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thickBot="1" x14ac:dyDescent="0.3">
      <c r="A7243" s="1024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x14ac:dyDescent="0.25">
      <c r="A7244" s="1011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x14ac:dyDescent="0.25">
      <c r="A7245" s="1021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x14ac:dyDescent="0.25">
      <c r="A7246" s="1021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thickBot="1" x14ac:dyDescent="0.3">
      <c r="A7247" s="1012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6.25" x14ac:dyDescent="0.25">
      <c r="A7248" s="1008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x14ac:dyDescent="0.25">
      <c r="A7249" s="1009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x14ac:dyDescent="0.25">
      <c r="A7250" s="1009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thickBot="1" x14ac:dyDescent="0.3">
      <c r="A7251" s="1010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x14ac:dyDescent="0.25">
      <c r="A7252" s="1011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x14ac:dyDescent="0.25">
      <c r="A7253" s="1021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x14ac:dyDescent="0.25">
      <c r="A7254" s="1021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1279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thickBot="1" x14ac:dyDescent="0.3">
      <c r="A7255" s="1012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x14ac:dyDescent="0.25">
      <c r="A7256" s="1022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thickBot="1" x14ac:dyDescent="0.3">
      <c r="A7257" s="1024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x14ac:dyDescent="0.25">
      <c r="A7259" s="1008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x14ac:dyDescent="0.25">
      <c r="A7260" s="1009"/>
      <c r="B7260" s="993" t="s">
        <v>2615</v>
      </c>
      <c r="C7260" s="994" t="s">
        <v>26</v>
      </c>
      <c r="D7260" s="995">
        <v>0.4</v>
      </c>
      <c r="E7260" s="995" t="s">
        <v>1496</v>
      </c>
      <c r="F7260" s="996" t="s">
        <v>16</v>
      </c>
      <c r="G7260" s="997"/>
      <c r="H7260" s="996" t="s">
        <v>2614</v>
      </c>
      <c r="I7260" s="996" t="s">
        <v>1496</v>
      </c>
      <c r="J7260" s="998"/>
      <c r="K7260" s="993"/>
      <c r="L7260" s="996" t="s">
        <v>265</v>
      </c>
      <c r="M7260" s="996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thickBot="1" x14ac:dyDescent="0.3">
      <c r="A7261" s="1010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x14ac:dyDescent="0.25">
      <c r="A7262" s="1011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x14ac:dyDescent="0.25">
      <c r="A7263" s="1021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x14ac:dyDescent="0.25">
      <c r="A7264" s="1021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x14ac:dyDescent="0.25">
      <c r="A7265" s="1021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thickBot="1" x14ac:dyDescent="0.3">
      <c r="A7266" s="1012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x14ac:dyDescent="0.25">
      <c r="A7267" s="1008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x14ac:dyDescent="0.25">
      <c r="A7268" s="1009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x14ac:dyDescent="0.25">
      <c r="A7269" s="1009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4"/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thickBot="1" x14ac:dyDescent="0.3">
      <c r="A7270" s="1010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9"/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x14ac:dyDescent="0.25">
      <c r="A7271" s="1018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3"/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thickBot="1" x14ac:dyDescent="0.3">
      <c r="A7272" s="1020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48"/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x14ac:dyDescent="0.25">
      <c r="A7273" s="1022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79"/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thickBot="1" x14ac:dyDescent="0.3">
      <c r="A7274" s="1024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87"/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x14ac:dyDescent="0.25">
      <c r="A7275" s="1011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/>
      <c r="F7275" s="535" t="s">
        <v>30</v>
      </c>
      <c r="G7275" s="536"/>
      <c r="H7275" s="535" t="s">
        <v>2614</v>
      </c>
      <c r="I7275" s="537"/>
      <c r="J7275" s="538"/>
      <c r="K7275" s="531"/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>
        <v>6312315</v>
      </c>
    </row>
    <row r="7276" spans="1:16" ht="19.5" thickBot="1" x14ac:dyDescent="0.3">
      <c r="A7276" s="1012"/>
      <c r="B7276" s="636" t="s">
        <v>2565</v>
      </c>
      <c r="C7276" s="637" t="s">
        <v>587</v>
      </c>
      <c r="D7276" s="638">
        <v>6.43</v>
      </c>
      <c r="E7276" s="639"/>
      <c r="F7276" s="640" t="s">
        <v>30</v>
      </c>
      <c r="G7276" s="641" t="s">
        <v>23</v>
      </c>
      <c r="H7276" s="640" t="s">
        <v>2614</v>
      </c>
      <c r="I7276" s="642"/>
      <c r="J7276" s="643"/>
      <c r="K7276" s="636"/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>
        <v>6312931</v>
      </c>
    </row>
    <row r="7277" spans="1:16" ht="19.5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4"/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x14ac:dyDescent="0.25">
      <c r="A7278" s="1018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3"/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thickBot="1" x14ac:dyDescent="0.3">
      <c r="A7279" s="1020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48"/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4"/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x14ac:dyDescent="0.25">
      <c r="A7281" s="1018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25" t="s">
        <v>2619</v>
      </c>
      <c r="H7281" s="567" t="s">
        <v>2615</v>
      </c>
      <c r="I7281" s="569" t="s">
        <v>2693</v>
      </c>
      <c r="J7281" s="570"/>
      <c r="K7281" s="563"/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thickBot="1" x14ac:dyDescent="0.3">
      <c r="A7282" s="1020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27"/>
      <c r="H7282" s="801" t="s">
        <v>2615</v>
      </c>
      <c r="I7282" s="801" t="s">
        <v>2693</v>
      </c>
      <c r="J7282" s="803"/>
      <c r="K7282" s="848"/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x14ac:dyDescent="0.25">
      <c r="A7283" s="1008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79"/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thickBot="1" x14ac:dyDescent="0.3">
      <c r="A7284" s="1010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5"/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x14ac:dyDescent="0.25">
      <c r="A7285" s="1011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1"/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thickBot="1" x14ac:dyDescent="0.3">
      <c r="A7286" s="1012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36"/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thickBot="1" x14ac:dyDescent="0.3">
      <c r="A7287" s="513">
        <f t="shared" ref="A7287:A7290" si="222">MAX(A7096:A7286)+1</f>
        <v>4474</v>
      </c>
      <c r="B7287" s="514" t="s">
        <v>2614</v>
      </c>
      <c r="C7287" s="515" t="s">
        <v>32</v>
      </c>
      <c r="D7287" s="516">
        <v>17.600000000000001</v>
      </c>
      <c r="E7287" s="517"/>
      <c r="F7287" s="518" t="s">
        <v>16</v>
      </c>
      <c r="G7287" s="519" t="s">
        <v>2299</v>
      </c>
      <c r="H7287" s="518" t="s">
        <v>2664</v>
      </c>
      <c r="I7287" s="520"/>
      <c r="J7287" s="521"/>
      <c r="K7287" s="514"/>
      <c r="L7287" s="518" t="s">
        <v>266</v>
      </c>
      <c r="M7287" s="518">
        <v>17604.599999999999</v>
      </c>
      <c r="N7287" s="522">
        <v>0.45833333333333331</v>
      </c>
      <c r="O7287" s="897" t="s">
        <v>2667</v>
      </c>
      <c r="P7287" s="867" t="s">
        <v>2413</v>
      </c>
    </row>
    <row r="7288" spans="1:16" ht="19.5" thickBot="1" x14ac:dyDescent="0.3">
      <c r="A7288" s="503">
        <f t="shared" si="222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4"/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thickBot="1" x14ac:dyDescent="0.3">
      <c r="A7289" s="986">
        <f t="shared" si="222"/>
        <v>4476</v>
      </c>
      <c r="B7289" s="573" t="s">
        <v>2615</v>
      </c>
      <c r="C7289" s="574" t="s">
        <v>32</v>
      </c>
      <c r="D7289" s="575">
        <v>17.600000000000001</v>
      </c>
      <c r="E7289" s="576"/>
      <c r="F7289" s="577" t="s">
        <v>16</v>
      </c>
      <c r="G7289" s="519" t="s">
        <v>2299</v>
      </c>
      <c r="H7289" s="577" t="s">
        <v>2693</v>
      </c>
      <c r="I7289" s="579"/>
      <c r="J7289" s="580"/>
      <c r="K7289" s="573"/>
      <c r="L7289" s="577" t="s">
        <v>266</v>
      </c>
      <c r="M7289" s="577">
        <v>17604.599999999999</v>
      </c>
      <c r="N7289" s="581">
        <v>0.45833333333333331</v>
      </c>
      <c r="O7289" s="897" t="s">
        <v>2696</v>
      </c>
      <c r="P7289" s="867" t="s">
        <v>2413</v>
      </c>
    </row>
    <row r="7290" spans="1:16" x14ac:dyDescent="0.25">
      <c r="A7290" s="1018">
        <f t="shared" si="222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1"/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x14ac:dyDescent="0.25">
      <c r="A7291" s="1019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6"/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thickBot="1" x14ac:dyDescent="0.3">
      <c r="A7292" s="1020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877"/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thickBot="1" x14ac:dyDescent="0.3">
      <c r="A7293" s="513">
        <f>MAX(A7100:A7290)+1</f>
        <v>4478</v>
      </c>
      <c r="B7293" s="514" t="s">
        <v>2664</v>
      </c>
      <c r="C7293" s="515" t="s">
        <v>26</v>
      </c>
      <c r="D7293" s="516">
        <v>17.004999999999999</v>
      </c>
      <c r="E7293" s="517"/>
      <c r="F7293" s="518" t="s">
        <v>16</v>
      </c>
      <c r="G7293" s="519"/>
      <c r="H7293" s="518" t="s">
        <v>2711</v>
      </c>
      <c r="I7293" s="520"/>
      <c r="J7293" s="521"/>
      <c r="K7293" s="514"/>
      <c r="L7293" s="518" t="s">
        <v>265</v>
      </c>
      <c r="M7293" s="518">
        <v>17012.7</v>
      </c>
      <c r="N7293" s="522">
        <v>8.3333333333333329E-2</v>
      </c>
      <c r="O7293" s="897" t="s">
        <v>2714</v>
      </c>
    </row>
    <row r="7294" spans="1:16" x14ac:dyDescent="0.25">
      <c r="A7294" s="1011">
        <f>MAX(A7101:A7293)+1</f>
        <v>4479</v>
      </c>
      <c r="B7294" s="531" t="s">
        <v>2664</v>
      </c>
      <c r="C7294" s="532" t="s">
        <v>2716</v>
      </c>
      <c r="D7294" s="533">
        <v>10.076000000000001</v>
      </c>
      <c r="E7294" s="534"/>
      <c r="F7294" s="535" t="s">
        <v>16</v>
      </c>
      <c r="G7294" s="536"/>
      <c r="H7294" s="535" t="s">
        <v>2711</v>
      </c>
      <c r="I7294" s="537"/>
      <c r="J7294" s="538"/>
      <c r="K7294" s="531"/>
      <c r="L7294" s="535" t="s">
        <v>265</v>
      </c>
      <c r="M7294" s="535">
        <v>10186.780000000001</v>
      </c>
      <c r="N7294" s="539">
        <v>0.41666666666666669</v>
      </c>
      <c r="O7294" s="897" t="s">
        <v>2718</v>
      </c>
    </row>
    <row r="7295" spans="1:16" ht="19.5" thickBot="1" x14ac:dyDescent="0.3">
      <c r="A7295" s="1012"/>
      <c r="B7295" s="636" t="s">
        <v>2664</v>
      </c>
      <c r="C7295" s="637" t="s">
        <v>764</v>
      </c>
      <c r="D7295" s="638">
        <v>6.15</v>
      </c>
      <c r="E7295" s="639"/>
      <c r="F7295" s="640" t="s">
        <v>16</v>
      </c>
      <c r="G7295" s="987"/>
      <c r="H7295" s="640" t="s">
        <v>2711</v>
      </c>
      <c r="I7295" s="642"/>
      <c r="J7295" s="643"/>
      <c r="K7295" s="636"/>
      <c r="L7295" s="640" t="s">
        <v>28</v>
      </c>
      <c r="M7295" s="640">
        <v>6172.44</v>
      </c>
      <c r="N7295" s="644">
        <v>0.41666666666666669</v>
      </c>
      <c r="O7295" s="897" t="s">
        <v>2717</v>
      </c>
    </row>
    <row r="7296" spans="1:16" ht="19.5" thickBot="1" x14ac:dyDescent="0.3">
      <c r="A7296" s="513">
        <f>MAX(A7104:A7295)+1</f>
        <v>4480</v>
      </c>
      <c r="B7296" s="514" t="s">
        <v>2664</v>
      </c>
      <c r="C7296" s="515" t="s">
        <v>26</v>
      </c>
      <c r="D7296" s="516">
        <v>18.831</v>
      </c>
      <c r="E7296" s="517"/>
      <c r="F7296" s="518" t="s">
        <v>16</v>
      </c>
      <c r="G7296" s="519"/>
      <c r="H7296" s="518" t="s">
        <v>2713</v>
      </c>
      <c r="I7296" s="520"/>
      <c r="J7296" s="521"/>
      <c r="K7296" s="514"/>
      <c r="L7296" s="518" t="s">
        <v>265</v>
      </c>
      <c r="M7296" s="518">
        <v>19045.059999999998</v>
      </c>
      <c r="N7296" s="522">
        <v>4.1666666666666664E-2</v>
      </c>
      <c r="O7296" s="897" t="s">
        <v>2715</v>
      </c>
    </row>
    <row r="7297" spans="1:16" x14ac:dyDescent="0.25">
      <c r="A7297" s="1011">
        <f>MAX(A7105:A7296)+1</f>
        <v>4481</v>
      </c>
      <c r="B7297" s="531" t="s">
        <v>2664</v>
      </c>
      <c r="C7297" s="532" t="s">
        <v>913</v>
      </c>
      <c r="D7297" s="533">
        <v>0.80700000000000005</v>
      </c>
      <c r="E7297" s="534"/>
      <c r="F7297" s="535" t="s">
        <v>16</v>
      </c>
      <c r="G7297" s="536"/>
      <c r="H7297" s="535" t="s">
        <v>2713</v>
      </c>
      <c r="I7297" s="537"/>
      <c r="J7297" s="538"/>
      <c r="K7297" s="531"/>
      <c r="L7297" s="535" t="s">
        <v>266</v>
      </c>
      <c r="M7297" s="535">
        <v>810</v>
      </c>
      <c r="N7297" s="539">
        <v>0.41666666666666669</v>
      </c>
      <c r="O7297" s="897" t="s">
        <v>2721</v>
      </c>
    </row>
    <row r="7298" spans="1:16" x14ac:dyDescent="0.25">
      <c r="A7298" s="1021"/>
      <c r="B7298" s="563" t="s">
        <v>2664</v>
      </c>
      <c r="C7298" s="564" t="s">
        <v>839</v>
      </c>
      <c r="D7298" s="565">
        <v>1.89</v>
      </c>
      <c r="E7298" s="566"/>
      <c r="F7298" s="567" t="s">
        <v>16</v>
      </c>
      <c r="G7298" s="568"/>
      <c r="H7298" s="567" t="s">
        <v>2713</v>
      </c>
      <c r="I7298" s="569"/>
      <c r="J7298" s="570"/>
      <c r="K7298" s="563"/>
      <c r="L7298" s="567" t="s">
        <v>28</v>
      </c>
      <c r="M7298" s="567">
        <v>1907.4600000000003</v>
      </c>
      <c r="N7298" s="571">
        <v>0.41666666666666669</v>
      </c>
      <c r="O7298" s="897" t="s">
        <v>2720</v>
      </c>
    </row>
    <row r="7299" spans="1:16" ht="19.5" thickBot="1" x14ac:dyDescent="0.3">
      <c r="A7299" s="1012"/>
      <c r="B7299" s="636" t="s">
        <v>2664</v>
      </c>
      <c r="C7299" s="637" t="s">
        <v>23</v>
      </c>
      <c r="D7299" s="638">
        <v>14.839</v>
      </c>
      <c r="E7299" s="639"/>
      <c r="F7299" s="640" t="s">
        <v>16</v>
      </c>
      <c r="G7299" s="987"/>
      <c r="H7299" s="640" t="s">
        <v>2713</v>
      </c>
      <c r="I7299" s="642"/>
      <c r="J7299" s="643"/>
      <c r="K7299" s="636"/>
      <c r="L7299" s="640" t="s">
        <v>28</v>
      </c>
      <c r="M7299" s="640">
        <v>15001</v>
      </c>
      <c r="N7299" s="644">
        <v>0.41666666666666669</v>
      </c>
      <c r="O7299" s="897" t="s">
        <v>2719</v>
      </c>
    </row>
    <row r="7300" spans="1:16" ht="19.5" thickBot="1" x14ac:dyDescent="0.3">
      <c r="A7300" s="988">
        <f t="shared" ref="A7300" si="223">MAX(A7108:A7299)+1</f>
        <v>4482</v>
      </c>
      <c r="B7300" s="573" t="s">
        <v>2664</v>
      </c>
      <c r="C7300" s="574" t="s">
        <v>47</v>
      </c>
      <c r="D7300" s="575">
        <v>17.588999999999999</v>
      </c>
      <c r="E7300" s="576"/>
      <c r="F7300" s="577" t="s">
        <v>16</v>
      </c>
      <c r="G7300" s="989"/>
      <c r="H7300" s="577" t="s">
        <v>2713</v>
      </c>
      <c r="I7300" s="579"/>
      <c r="J7300" s="580"/>
      <c r="K7300" s="573"/>
      <c r="L7300" s="577" t="s">
        <v>28</v>
      </c>
      <c r="M7300" s="577">
        <v>17809.12</v>
      </c>
      <c r="N7300" s="581">
        <v>0.45833333333333331</v>
      </c>
      <c r="O7300" s="897" t="s">
        <v>2722</v>
      </c>
    </row>
    <row r="7301" spans="1:16" ht="19.5" thickBot="1" x14ac:dyDescent="0.3">
      <c r="A7301" s="503">
        <f>MAX(A7111:A7300)+1</f>
        <v>4483</v>
      </c>
      <c r="B7301" s="504" t="s">
        <v>2693</v>
      </c>
      <c r="C7301" s="505" t="s">
        <v>26</v>
      </c>
      <c r="D7301" s="506">
        <v>14.404999999999999</v>
      </c>
      <c r="E7301" s="507"/>
      <c r="F7301" s="508" t="s">
        <v>30</v>
      </c>
      <c r="G7301" s="509"/>
      <c r="H7301" s="508" t="s">
        <v>2713</v>
      </c>
      <c r="I7301" s="510"/>
      <c r="J7301" s="511"/>
      <c r="K7301" s="504"/>
      <c r="L7301" s="508" t="s">
        <v>265</v>
      </c>
      <c r="M7301" s="508">
        <v>14405.88</v>
      </c>
      <c r="N7301" s="512">
        <v>4.1666666666666664E-2</v>
      </c>
      <c r="O7301" s="897" t="s">
        <v>2742</v>
      </c>
    </row>
    <row r="7302" spans="1:16" ht="19.5" thickBot="1" x14ac:dyDescent="0.3">
      <c r="A7302" s="513">
        <f>MAX(A7112:A7301)+1</f>
        <v>4484</v>
      </c>
      <c r="B7302" s="514" t="s">
        <v>2693</v>
      </c>
      <c r="C7302" s="515" t="s">
        <v>47</v>
      </c>
      <c r="D7302" s="516">
        <v>13.048</v>
      </c>
      <c r="E7302" s="517"/>
      <c r="F7302" s="518" t="s">
        <v>30</v>
      </c>
      <c r="G7302" s="519"/>
      <c r="H7302" s="518" t="s">
        <v>2713</v>
      </c>
      <c r="I7302" s="520"/>
      <c r="J7302" s="521"/>
      <c r="K7302" s="514"/>
      <c r="L7302" s="518" t="s">
        <v>28</v>
      </c>
      <c r="M7302" s="518">
        <v>13048.8</v>
      </c>
      <c r="N7302" s="522">
        <v>0.41666666666666669</v>
      </c>
      <c r="O7302" s="897" t="s">
        <v>2743</v>
      </c>
    </row>
    <row r="7303" spans="1:16" x14ac:dyDescent="0.25">
      <c r="A7303" s="1011">
        <f>MAX(A7113:A7302)+1</f>
        <v>4485</v>
      </c>
      <c r="B7303" s="531" t="s">
        <v>2693</v>
      </c>
      <c r="C7303" s="532" t="s">
        <v>981</v>
      </c>
      <c r="D7303" s="533">
        <v>0.998</v>
      </c>
      <c r="E7303" s="534"/>
      <c r="F7303" s="999" t="s">
        <v>16</v>
      </c>
      <c r="G7303" s="536" t="s">
        <v>2299</v>
      </c>
      <c r="H7303" s="535" t="s">
        <v>2713</v>
      </c>
      <c r="I7303" s="537"/>
      <c r="J7303" s="538"/>
      <c r="K7303" s="531"/>
      <c r="L7303" s="535" t="s">
        <v>266</v>
      </c>
      <c r="M7303" s="535">
        <v>998.4</v>
      </c>
      <c r="N7303" s="539">
        <v>0.5</v>
      </c>
      <c r="O7303" s="897" t="s">
        <v>2746</v>
      </c>
      <c r="P7303" s="867" t="s">
        <v>2413</v>
      </c>
    </row>
    <row r="7304" spans="1:16" x14ac:dyDescent="0.25">
      <c r="A7304" s="1021"/>
      <c r="B7304" s="563" t="s">
        <v>2693</v>
      </c>
      <c r="C7304" s="564" t="s">
        <v>480</v>
      </c>
      <c r="D7304" s="565">
        <v>8.77</v>
      </c>
      <c r="E7304" s="566"/>
      <c r="F7304" s="1000" t="s">
        <v>16</v>
      </c>
      <c r="G7304" s="568"/>
      <c r="H7304" s="567" t="s">
        <v>2713</v>
      </c>
      <c r="I7304" s="569"/>
      <c r="J7304" s="570"/>
      <c r="K7304" s="563"/>
      <c r="L7304" s="567" t="s">
        <v>266</v>
      </c>
      <c r="M7304" s="567">
        <v>8886.4399999999987</v>
      </c>
      <c r="N7304" s="571">
        <v>0.5</v>
      </c>
      <c r="O7304" s="897" t="s">
        <v>2751</v>
      </c>
    </row>
    <row r="7305" spans="1:16" x14ac:dyDescent="0.25">
      <c r="A7305" s="1021"/>
      <c r="B7305" s="563" t="s">
        <v>2693</v>
      </c>
      <c r="C7305" s="564" t="s">
        <v>480</v>
      </c>
      <c r="D7305" s="565">
        <v>0.5</v>
      </c>
      <c r="E7305" s="566"/>
      <c r="F7305" s="1000" t="s">
        <v>16</v>
      </c>
      <c r="G7305" s="568" t="s">
        <v>2299</v>
      </c>
      <c r="H7305" s="567" t="s">
        <v>2713</v>
      </c>
      <c r="I7305" s="569"/>
      <c r="J7305" s="570"/>
      <c r="K7305" s="563"/>
      <c r="L7305" s="567" t="s">
        <v>266</v>
      </c>
      <c r="M7305" s="567">
        <v>504</v>
      </c>
      <c r="N7305" s="571">
        <v>0.5</v>
      </c>
      <c r="O7305" s="897" t="s">
        <v>2752</v>
      </c>
    </row>
    <row r="7306" spans="1:16" x14ac:dyDescent="0.25">
      <c r="A7306" s="1021"/>
      <c r="B7306" s="563" t="s">
        <v>2693</v>
      </c>
      <c r="C7306" s="564" t="s">
        <v>981</v>
      </c>
      <c r="D7306" s="565">
        <v>4.9359999999999999</v>
      </c>
      <c r="E7306" s="566"/>
      <c r="F7306" s="1000" t="s">
        <v>16</v>
      </c>
      <c r="G7306" s="568"/>
      <c r="H7306" s="567" t="s">
        <v>2713</v>
      </c>
      <c r="I7306" s="569"/>
      <c r="J7306" s="570"/>
      <c r="K7306" s="563"/>
      <c r="L7306" s="567" t="s">
        <v>266</v>
      </c>
      <c r="M7306" s="567">
        <v>4937.8600000000006</v>
      </c>
      <c r="N7306" s="571">
        <v>0.5</v>
      </c>
      <c r="O7306" s="897" t="s">
        <v>2748</v>
      </c>
    </row>
    <row r="7307" spans="1:16" x14ac:dyDescent="0.25">
      <c r="A7307" s="1021"/>
      <c r="B7307" s="563" t="s">
        <v>2693</v>
      </c>
      <c r="C7307" s="564" t="s">
        <v>32</v>
      </c>
      <c r="D7307" s="565">
        <v>3.3860000000000001</v>
      </c>
      <c r="E7307" s="566"/>
      <c r="F7307" s="1000" t="s">
        <v>16</v>
      </c>
      <c r="G7307" s="568" t="s">
        <v>1702</v>
      </c>
      <c r="H7307" s="567" t="s">
        <v>2713</v>
      </c>
      <c r="I7307" s="569"/>
      <c r="J7307" s="570"/>
      <c r="K7307" s="563"/>
      <c r="L7307" s="567" t="s">
        <v>266</v>
      </c>
      <c r="M7307" s="567">
        <v>3396.4500000000003</v>
      </c>
      <c r="N7307" s="571">
        <v>0.5</v>
      </c>
      <c r="O7307" s="897" t="s">
        <v>2747</v>
      </c>
    </row>
    <row r="7308" spans="1:16" x14ac:dyDescent="0.25">
      <c r="A7308" s="1021"/>
      <c r="B7308" s="563" t="s">
        <v>2693</v>
      </c>
      <c r="C7308" s="564" t="s">
        <v>32</v>
      </c>
      <c r="D7308" s="565">
        <v>2.496</v>
      </c>
      <c r="E7308" s="566"/>
      <c r="F7308" s="1000" t="s">
        <v>16</v>
      </c>
      <c r="G7308" s="568" t="s">
        <v>2586</v>
      </c>
      <c r="H7308" s="567" t="s">
        <v>2713</v>
      </c>
      <c r="I7308" s="569"/>
      <c r="J7308" s="570"/>
      <c r="K7308" s="563"/>
      <c r="L7308" s="567" t="s">
        <v>266</v>
      </c>
      <c r="M7308" s="567">
        <v>2496</v>
      </c>
      <c r="N7308" s="571">
        <v>0.5</v>
      </c>
      <c r="O7308" s="897" t="s">
        <v>2750</v>
      </c>
      <c r="P7308" s="867" t="s">
        <v>2413</v>
      </c>
    </row>
    <row r="7309" spans="1:16" ht="19.5" thickBot="1" x14ac:dyDescent="0.3">
      <c r="A7309" s="1012"/>
      <c r="B7309" s="636" t="s">
        <v>2693</v>
      </c>
      <c r="C7309" s="637" t="s">
        <v>32</v>
      </c>
      <c r="D7309" s="638">
        <v>0.63</v>
      </c>
      <c r="E7309" s="639"/>
      <c r="F7309" s="1001" t="s">
        <v>16</v>
      </c>
      <c r="G7309" s="991" t="s">
        <v>2586</v>
      </c>
      <c r="H7309" s="640" t="s">
        <v>2713</v>
      </c>
      <c r="I7309" s="642"/>
      <c r="J7309" s="643"/>
      <c r="K7309" s="636"/>
      <c r="L7309" s="640" t="s">
        <v>266</v>
      </c>
      <c r="M7309" s="640">
        <v>630</v>
      </c>
      <c r="N7309" s="644">
        <v>0.5</v>
      </c>
      <c r="O7309" s="897" t="s">
        <v>2749</v>
      </c>
    </row>
    <row r="7310" spans="1:16" x14ac:dyDescent="0.25">
      <c r="A7310" s="1008">
        <f>MAX(A7129:A7309)+1</f>
        <v>4486</v>
      </c>
      <c r="B7310" s="479" t="s">
        <v>2693</v>
      </c>
      <c r="C7310" s="480" t="s">
        <v>26</v>
      </c>
      <c r="D7310" s="481">
        <v>16.863</v>
      </c>
      <c r="E7310" s="482"/>
      <c r="F7310" s="483" t="s">
        <v>16</v>
      </c>
      <c r="G7310" s="990"/>
      <c r="H7310" s="483" t="s">
        <v>2741</v>
      </c>
      <c r="I7310" s="484"/>
      <c r="J7310" s="485"/>
      <c r="K7310" s="479"/>
      <c r="L7310" s="483" t="s">
        <v>265</v>
      </c>
      <c r="M7310" s="483">
        <v>17019.879999999997</v>
      </c>
      <c r="N7310" s="486">
        <v>4.1666666666666664E-2</v>
      </c>
      <c r="O7310" s="897" t="s">
        <v>2745</v>
      </c>
    </row>
    <row r="7311" spans="1:16" ht="19.5" thickBot="1" x14ac:dyDescent="0.3">
      <c r="A7311" s="1010"/>
      <c r="B7311" s="645" t="s">
        <v>2693</v>
      </c>
      <c r="C7311" s="646" t="s">
        <v>952</v>
      </c>
      <c r="D7311" s="647">
        <v>1.7569999999999999</v>
      </c>
      <c r="E7311" s="648"/>
      <c r="F7311" s="649" t="s">
        <v>16</v>
      </c>
      <c r="G7311" s="992"/>
      <c r="H7311" s="649" t="s">
        <v>2741</v>
      </c>
      <c r="I7311" s="651"/>
      <c r="J7311" s="652"/>
      <c r="K7311" s="645"/>
      <c r="L7311" s="649" t="s">
        <v>265</v>
      </c>
      <c r="M7311" s="649">
        <v>1811.24</v>
      </c>
      <c r="N7311" s="653">
        <v>4.1666666666666664E-2</v>
      </c>
      <c r="O7311" s="897" t="s">
        <v>2744</v>
      </c>
    </row>
    <row r="7312" spans="1:16" x14ac:dyDescent="0.25">
      <c r="A7312" s="1011">
        <f>MAX(A7131:A7311)+1</f>
        <v>4487</v>
      </c>
      <c r="B7312" s="531" t="s">
        <v>2693</v>
      </c>
      <c r="C7312" s="532" t="s">
        <v>15</v>
      </c>
      <c r="D7312" s="533">
        <v>9.1549999999999994</v>
      </c>
      <c r="E7312" s="534"/>
      <c r="F7312" s="535" t="s">
        <v>16</v>
      </c>
      <c r="G7312" s="536"/>
      <c r="H7312" s="535" t="s">
        <v>2741</v>
      </c>
      <c r="I7312" s="537"/>
      <c r="J7312" s="538"/>
      <c r="K7312" s="531"/>
      <c r="L7312" s="535" t="s">
        <v>28</v>
      </c>
      <c r="M7312" s="535">
        <v>9325.31</v>
      </c>
      <c r="N7312" s="539">
        <v>0.41666666666666669</v>
      </c>
      <c r="O7312" s="897" t="s">
        <v>2754</v>
      </c>
    </row>
    <row r="7313" spans="1:17" ht="19.5" thickBot="1" x14ac:dyDescent="0.3">
      <c r="A7313" s="1012"/>
      <c r="B7313" s="636" t="s">
        <v>2693</v>
      </c>
      <c r="C7313" s="637" t="s">
        <v>24</v>
      </c>
      <c r="D7313" s="638">
        <v>8.4339999999999993</v>
      </c>
      <c r="E7313" s="639"/>
      <c r="F7313" s="640" t="s">
        <v>16</v>
      </c>
      <c r="G7313" s="991"/>
      <c r="H7313" s="640" t="s">
        <v>2741</v>
      </c>
      <c r="I7313" s="642"/>
      <c r="J7313" s="643"/>
      <c r="K7313" s="636"/>
      <c r="L7313" s="640" t="s">
        <v>28</v>
      </c>
      <c r="M7313" s="640">
        <v>8606.24</v>
      </c>
      <c r="N7313" s="644">
        <v>0.41666666666666669</v>
      </c>
      <c r="O7313" s="897" t="s">
        <v>2753</v>
      </c>
    </row>
    <row r="7314" spans="1:17" x14ac:dyDescent="0.25">
      <c r="A7314" s="1008">
        <f>MAX(A7133:A7313)+1</f>
        <v>4488</v>
      </c>
      <c r="B7314" s="479" t="s">
        <v>2693</v>
      </c>
      <c r="C7314" s="480" t="s">
        <v>587</v>
      </c>
      <c r="D7314" s="481">
        <v>7.93</v>
      </c>
      <c r="E7314" s="482"/>
      <c r="F7314" s="483" t="s">
        <v>16</v>
      </c>
      <c r="G7314" s="990" t="s">
        <v>47</v>
      </c>
      <c r="H7314" s="483" t="s">
        <v>2741</v>
      </c>
      <c r="I7314" s="484"/>
      <c r="J7314" s="485"/>
      <c r="K7314" s="479"/>
      <c r="L7314" s="483" t="s">
        <v>28</v>
      </c>
      <c r="M7314" s="483">
        <v>7930.4400000000014</v>
      </c>
      <c r="N7314" s="486">
        <v>0.45833333333333331</v>
      </c>
      <c r="O7314" s="897" t="s">
        <v>2756</v>
      </c>
    </row>
    <row r="7315" spans="1:17" ht="19.5" thickBot="1" x14ac:dyDescent="0.3">
      <c r="A7315" s="1010"/>
      <c r="B7315" s="645" t="s">
        <v>2693</v>
      </c>
      <c r="C7315" s="646" t="s">
        <v>47</v>
      </c>
      <c r="D7315" s="647">
        <v>9.65</v>
      </c>
      <c r="E7315" s="648"/>
      <c r="F7315" s="649" t="s">
        <v>16</v>
      </c>
      <c r="G7315" s="992"/>
      <c r="H7315" s="649" t="s">
        <v>2741</v>
      </c>
      <c r="I7315" s="651"/>
      <c r="J7315" s="652"/>
      <c r="K7315" s="645"/>
      <c r="L7315" s="649" t="s">
        <v>28</v>
      </c>
      <c r="M7315" s="649">
        <v>9749.8799999999974</v>
      </c>
      <c r="N7315" s="653">
        <v>0.45833333333333331</v>
      </c>
      <c r="O7315" s="897" t="s">
        <v>2755</v>
      </c>
    </row>
    <row r="7316" spans="1:17" ht="19.5" thickBot="1" x14ac:dyDescent="0.3">
      <c r="A7316" s="1003">
        <f>MAX(A7135:A7315)+1</f>
        <v>4489</v>
      </c>
      <c r="B7316" s="552" t="s">
        <v>2693</v>
      </c>
      <c r="C7316" s="553" t="s">
        <v>23</v>
      </c>
      <c r="D7316" s="554">
        <v>17.599</v>
      </c>
      <c r="E7316" s="555"/>
      <c r="F7316" s="556" t="s">
        <v>16</v>
      </c>
      <c r="G7316" s="1004"/>
      <c r="H7316" s="556" t="s">
        <v>2741</v>
      </c>
      <c r="I7316" s="558"/>
      <c r="J7316" s="559"/>
      <c r="K7316" s="552"/>
      <c r="L7316" s="556" t="s">
        <v>28</v>
      </c>
      <c r="M7316" s="556">
        <v>17671.72</v>
      </c>
      <c r="N7316" s="560">
        <v>0.5</v>
      </c>
      <c r="O7316" s="897" t="s">
        <v>2757</v>
      </c>
    </row>
    <row r="7317" spans="1:17" ht="19.5" thickBot="1" x14ac:dyDescent="0.3">
      <c r="A7317" s="513">
        <f>MAX(A7136:A7316)+1</f>
        <v>4490</v>
      </c>
      <c r="B7317" s="514" t="s">
        <v>2711</v>
      </c>
      <c r="C7317" s="515" t="s">
        <v>26</v>
      </c>
      <c r="D7317" s="516">
        <v>17.420999999999999</v>
      </c>
      <c r="E7317" s="517"/>
      <c r="F7317" s="518" t="s">
        <v>16</v>
      </c>
      <c r="G7317" s="519"/>
      <c r="H7317" s="518" t="s">
        <v>2766</v>
      </c>
      <c r="I7317" s="520"/>
      <c r="J7317" s="521"/>
      <c r="K7317" s="514"/>
      <c r="L7317" s="518" t="s">
        <v>265</v>
      </c>
      <c r="M7317" s="518">
        <v>17603.78</v>
      </c>
      <c r="N7317" s="522">
        <v>4.1666666666666664E-2</v>
      </c>
      <c r="O7317" s="897" t="s">
        <v>2769</v>
      </c>
    </row>
    <row r="7318" spans="1:17" ht="38.25" customHeight="1" x14ac:dyDescent="0.25">
      <c r="A7318" s="1011">
        <f>MAX(A7137:A7317)+1</f>
        <v>4491</v>
      </c>
      <c r="B7318" s="531" t="s">
        <v>2711</v>
      </c>
      <c r="C7318" s="532" t="s">
        <v>15</v>
      </c>
      <c r="D7318" s="533">
        <v>7.9119999999999999</v>
      </c>
      <c r="E7318" s="534"/>
      <c r="F7318" s="535" t="s">
        <v>16</v>
      </c>
      <c r="G7318" s="1025" t="s">
        <v>2767</v>
      </c>
      <c r="H7318" s="535" t="s">
        <v>2766</v>
      </c>
      <c r="I7318" s="537"/>
      <c r="J7318" s="538"/>
      <c r="K7318" s="531"/>
      <c r="L7318" s="535" t="s">
        <v>28</v>
      </c>
      <c r="M7318" s="535">
        <v>8078.6400000000012</v>
      </c>
      <c r="N7318" s="539">
        <v>0.41666666666666669</v>
      </c>
      <c r="O7318" s="897" t="s">
        <v>2772</v>
      </c>
    </row>
    <row r="7319" spans="1:17" ht="38.25" customHeight="1" thickBot="1" x14ac:dyDescent="0.3">
      <c r="A7319" s="1012"/>
      <c r="B7319" s="636" t="s">
        <v>2711</v>
      </c>
      <c r="C7319" s="637" t="s">
        <v>24</v>
      </c>
      <c r="D7319" s="638">
        <v>5.5549999999999997</v>
      </c>
      <c r="E7319" s="639"/>
      <c r="F7319" s="640" t="s">
        <v>16</v>
      </c>
      <c r="G7319" s="1027"/>
      <c r="H7319" s="640" t="s">
        <v>2766</v>
      </c>
      <c r="I7319" s="642"/>
      <c r="J7319" s="643"/>
      <c r="K7319" s="636"/>
      <c r="L7319" s="640" t="s">
        <v>28</v>
      </c>
      <c r="M7319" s="640">
        <v>5692.6</v>
      </c>
      <c r="N7319" s="644">
        <v>0.41666666666666669</v>
      </c>
      <c r="O7319" s="897" t="s">
        <v>2771</v>
      </c>
    </row>
    <row r="7320" spans="1:17" ht="38.25" thickBot="1" x14ac:dyDescent="0.3">
      <c r="A7320" s="513">
        <f t="shared" ref="A7320:A7327" si="224">MAX(A7139:A7319)+1</f>
        <v>4492</v>
      </c>
      <c r="B7320" s="514" t="s">
        <v>2711</v>
      </c>
      <c r="C7320" s="515" t="s">
        <v>23</v>
      </c>
      <c r="D7320" s="516">
        <v>16.652000000000001</v>
      </c>
      <c r="E7320" s="517"/>
      <c r="F7320" s="518" t="s">
        <v>16</v>
      </c>
      <c r="G7320" s="519" t="s">
        <v>1633</v>
      </c>
      <c r="H7320" s="518" t="s">
        <v>2766</v>
      </c>
      <c r="I7320" s="520"/>
      <c r="J7320" s="521"/>
      <c r="K7320" s="514"/>
      <c r="L7320" s="518" t="s">
        <v>28</v>
      </c>
      <c r="M7320" s="518">
        <v>16838.939999999999</v>
      </c>
      <c r="N7320" s="522">
        <v>0.45833333333333331</v>
      </c>
      <c r="O7320" s="897" t="s">
        <v>2773</v>
      </c>
    </row>
    <row r="7321" spans="1:17" ht="19.5" thickBot="1" x14ac:dyDescent="0.3">
      <c r="A7321" s="503">
        <f t="shared" si="224"/>
        <v>4493</v>
      </c>
      <c r="B7321" s="504" t="s">
        <v>2711</v>
      </c>
      <c r="C7321" s="505" t="s">
        <v>26</v>
      </c>
      <c r="D7321" s="506">
        <v>15.191000000000001</v>
      </c>
      <c r="E7321" s="507"/>
      <c r="F7321" s="508" t="s">
        <v>30</v>
      </c>
      <c r="G7321" s="509"/>
      <c r="H7321" s="508" t="s">
        <v>2766</v>
      </c>
      <c r="I7321" s="510"/>
      <c r="J7321" s="511"/>
      <c r="K7321" s="504"/>
      <c r="L7321" s="508" t="s">
        <v>265</v>
      </c>
      <c r="M7321" s="508">
        <v>15191.000000000004</v>
      </c>
      <c r="N7321" s="512">
        <v>4.1666666666666664E-2</v>
      </c>
      <c r="O7321" s="897" t="s">
        <v>2779</v>
      </c>
    </row>
    <row r="7322" spans="1:17" x14ac:dyDescent="0.25">
      <c r="A7322" s="1008">
        <f t="shared" si="224"/>
        <v>4494</v>
      </c>
      <c r="B7322" s="479" t="s">
        <v>2711</v>
      </c>
      <c r="C7322" s="480" t="s">
        <v>667</v>
      </c>
      <c r="D7322" s="481">
        <v>6.0410000000000004</v>
      </c>
      <c r="E7322" s="482"/>
      <c r="F7322" s="483" t="s">
        <v>30</v>
      </c>
      <c r="G7322" s="1006"/>
      <c r="H7322" s="483" t="s">
        <v>2766</v>
      </c>
      <c r="I7322" s="484"/>
      <c r="J7322" s="485"/>
      <c r="K7322" s="479"/>
      <c r="L7322" s="483" t="s">
        <v>28</v>
      </c>
      <c r="M7322" s="483">
        <v>6041.5199999999995</v>
      </c>
      <c r="N7322" s="486">
        <v>0.41666666666666669</v>
      </c>
    </row>
    <row r="7323" spans="1:17" x14ac:dyDescent="0.25">
      <c r="A7323" s="1009"/>
      <c r="B7323" s="523" t="s">
        <v>2711</v>
      </c>
      <c r="C7323" s="524" t="s">
        <v>15</v>
      </c>
      <c r="D7323" s="525">
        <v>4.8330000000000002</v>
      </c>
      <c r="E7323" s="526"/>
      <c r="F7323" s="527" t="s">
        <v>30</v>
      </c>
      <c r="G7323" s="561"/>
      <c r="H7323" s="527" t="s">
        <v>2766</v>
      </c>
      <c r="I7323" s="528"/>
      <c r="J7323" s="529"/>
      <c r="K7323" s="523"/>
      <c r="L7323" s="527" t="s">
        <v>28</v>
      </c>
      <c r="M7323" s="527">
        <v>4833.12</v>
      </c>
      <c r="N7323" s="530">
        <v>0.41666666666666669</v>
      </c>
      <c r="O7323" s="897" t="s">
        <v>2783</v>
      </c>
    </row>
    <row r="7324" spans="1:17" ht="19.5" thickBot="1" x14ac:dyDescent="0.3">
      <c r="A7324" s="1010"/>
      <c r="B7324" s="645" t="s">
        <v>2711</v>
      </c>
      <c r="C7324" s="646" t="s">
        <v>24</v>
      </c>
      <c r="D7324" s="647">
        <v>2.4369999999999998</v>
      </c>
      <c r="E7324" s="648"/>
      <c r="F7324" s="649" t="s">
        <v>30</v>
      </c>
      <c r="G7324" s="1007"/>
      <c r="H7324" s="649" t="s">
        <v>2766</v>
      </c>
      <c r="I7324" s="651"/>
      <c r="J7324" s="652"/>
      <c r="K7324" s="645"/>
      <c r="L7324" s="649" t="s">
        <v>28</v>
      </c>
      <c r="M7324" s="649">
        <v>2437.6799999999998</v>
      </c>
      <c r="N7324" s="653">
        <v>0.41666666666666669</v>
      </c>
      <c r="P7324" s="952" t="s">
        <v>2781</v>
      </c>
      <c r="Q7324" s="900">
        <v>6.03</v>
      </c>
    </row>
    <row r="7325" spans="1:17" x14ac:dyDescent="0.25">
      <c r="A7325" s="1011">
        <f t="shared" si="224"/>
        <v>4495</v>
      </c>
      <c r="B7325" s="531" t="s">
        <v>2711</v>
      </c>
      <c r="C7325" s="532" t="s">
        <v>587</v>
      </c>
      <c r="D7325" s="533">
        <v>9.3539999999999992</v>
      </c>
      <c r="E7325" s="534"/>
      <c r="F7325" s="535" t="s">
        <v>30</v>
      </c>
      <c r="G7325" s="536" t="s">
        <v>23</v>
      </c>
      <c r="H7325" s="535" t="s">
        <v>2766</v>
      </c>
      <c r="I7325" s="537"/>
      <c r="J7325" s="538"/>
      <c r="K7325" s="531"/>
      <c r="L7325" s="535" t="s">
        <v>28</v>
      </c>
      <c r="M7325" s="535">
        <v>9354.24</v>
      </c>
      <c r="N7325" s="539">
        <v>0.45833333333333331</v>
      </c>
    </row>
    <row r="7326" spans="1:17" ht="19.5" thickBot="1" x14ac:dyDescent="0.3">
      <c r="A7326" s="1012"/>
      <c r="B7326" s="636" t="s">
        <v>2711</v>
      </c>
      <c r="C7326" s="637" t="s">
        <v>23</v>
      </c>
      <c r="D7326" s="638">
        <v>5.0990000000000002</v>
      </c>
      <c r="E7326" s="639"/>
      <c r="F7326" s="640" t="s">
        <v>30</v>
      </c>
      <c r="G7326" s="1005"/>
      <c r="H7326" s="640" t="s">
        <v>2766</v>
      </c>
      <c r="I7326" s="642"/>
      <c r="J7326" s="643"/>
      <c r="K7326" s="636"/>
      <c r="L7326" s="640" t="s">
        <v>28</v>
      </c>
      <c r="M7326" s="640">
        <v>5099.5200000000004</v>
      </c>
      <c r="N7326" s="644">
        <v>0.45833333333333331</v>
      </c>
    </row>
    <row r="7327" spans="1:17" ht="19.5" thickBot="1" x14ac:dyDescent="0.3">
      <c r="A7327" s="513">
        <f t="shared" si="224"/>
        <v>4496</v>
      </c>
      <c r="B7327" s="514" t="s">
        <v>2711</v>
      </c>
      <c r="C7327" s="515" t="s">
        <v>26</v>
      </c>
      <c r="D7327" s="516">
        <v>18.998000000000001</v>
      </c>
      <c r="E7327" s="517"/>
      <c r="F7327" s="518" t="s">
        <v>16</v>
      </c>
      <c r="G7327" s="519"/>
      <c r="H7327" s="518" t="s">
        <v>2768</v>
      </c>
      <c r="I7327" s="520"/>
      <c r="J7327" s="521"/>
      <c r="K7327" s="514"/>
      <c r="L7327" s="518" t="s">
        <v>265</v>
      </c>
      <c r="M7327" s="518">
        <v>19177.359999999997</v>
      </c>
      <c r="N7327" s="522">
        <v>4.1666666666666664E-2</v>
      </c>
      <c r="O7327" s="897" t="s">
        <v>2770</v>
      </c>
    </row>
    <row r="7328" spans="1:17" ht="19.5" thickBot="1" x14ac:dyDescent="0.3">
      <c r="A7328" s="503">
        <f t="shared" ref="A7328:A7342" si="225">MAX(A7147:A7327)+1</f>
        <v>4497</v>
      </c>
      <c r="B7328" s="504" t="s">
        <v>2711</v>
      </c>
      <c r="C7328" s="505" t="s">
        <v>23</v>
      </c>
      <c r="D7328" s="506">
        <v>17.602</v>
      </c>
      <c r="E7328" s="507"/>
      <c r="F7328" s="508" t="s">
        <v>16</v>
      </c>
      <c r="G7328" s="509"/>
      <c r="H7328" s="508" t="s">
        <v>2768</v>
      </c>
      <c r="I7328" s="510"/>
      <c r="J7328" s="511"/>
      <c r="K7328" s="504"/>
      <c r="L7328" s="508" t="s">
        <v>28</v>
      </c>
      <c r="M7328" s="508">
        <v>17741.260000000002</v>
      </c>
      <c r="N7328" s="512">
        <v>0.41666666666666669</v>
      </c>
      <c r="O7328" s="897" t="s">
        <v>2780</v>
      </c>
    </row>
    <row r="7329" spans="1:15" ht="38.25" thickBot="1" x14ac:dyDescent="0.3">
      <c r="A7329" s="513">
        <f t="shared" si="225"/>
        <v>4498</v>
      </c>
      <c r="B7329" s="514" t="s">
        <v>2711</v>
      </c>
      <c r="C7329" s="515" t="s">
        <v>47</v>
      </c>
      <c r="D7329" s="516">
        <v>16.655999999999999</v>
      </c>
      <c r="E7329" s="517"/>
      <c r="F7329" s="518" t="s">
        <v>16</v>
      </c>
      <c r="G7329" s="519" t="s">
        <v>1633</v>
      </c>
      <c r="H7329" s="518" t="s">
        <v>2768</v>
      </c>
      <c r="I7329" s="520"/>
      <c r="J7329" s="521"/>
      <c r="K7329" s="514"/>
      <c r="L7329" s="518" t="s">
        <v>28</v>
      </c>
      <c r="M7329" s="518">
        <v>16888.060000000001</v>
      </c>
      <c r="N7329" s="522">
        <v>0.45833333333333331</v>
      </c>
    </row>
    <row r="7330" spans="1:15" ht="38.25" thickBot="1" x14ac:dyDescent="0.3">
      <c r="A7330" s="503">
        <f t="shared" si="225"/>
        <v>4499</v>
      </c>
      <c r="B7330" s="504" t="s">
        <v>2711</v>
      </c>
      <c r="C7330" s="505" t="s">
        <v>2774</v>
      </c>
      <c r="D7330" s="506">
        <v>18.163</v>
      </c>
      <c r="E7330" s="507"/>
      <c r="F7330" s="508" t="s">
        <v>16</v>
      </c>
      <c r="G7330" s="509" t="s">
        <v>2782</v>
      </c>
      <c r="H7330" s="508" t="s">
        <v>2768</v>
      </c>
      <c r="I7330" s="510"/>
      <c r="J7330" s="511" t="s">
        <v>25</v>
      </c>
      <c r="K7330" s="504"/>
      <c r="L7330" s="508" t="s">
        <v>265</v>
      </c>
      <c r="M7330" s="508">
        <v>18284.600000000002</v>
      </c>
      <c r="N7330" s="512">
        <v>0.5</v>
      </c>
    </row>
    <row r="7331" spans="1:15" ht="19.5" thickBot="1" x14ac:dyDescent="0.3">
      <c r="A7331" s="513">
        <f t="shared" si="225"/>
        <v>4500</v>
      </c>
      <c r="B7331" s="514" t="s">
        <v>2711</v>
      </c>
      <c r="C7331" s="515" t="s">
        <v>587</v>
      </c>
      <c r="D7331" s="516">
        <v>11.188000000000001</v>
      </c>
      <c r="E7331" s="517"/>
      <c r="F7331" s="518" t="s">
        <v>30</v>
      </c>
      <c r="G7331" s="519" t="s">
        <v>47</v>
      </c>
      <c r="H7331" s="518" t="s">
        <v>2768</v>
      </c>
      <c r="I7331" s="520"/>
      <c r="J7331" s="521"/>
      <c r="K7331" s="514"/>
      <c r="L7331" s="518" t="s">
        <v>28</v>
      </c>
      <c r="M7331" s="518">
        <v>11188.800000000001</v>
      </c>
      <c r="N7331" s="522">
        <v>0.41666666666666669</v>
      </c>
      <c r="O7331" s="897" t="s">
        <v>2784</v>
      </c>
    </row>
    <row r="7332" spans="1:15" x14ac:dyDescent="0.25">
      <c r="A7332" s="676">
        <f t="shared" si="225"/>
        <v>4501</v>
      </c>
      <c r="B7332" s="676"/>
      <c r="C7332" s="473"/>
      <c r="D7332" s="474"/>
      <c r="E7332" s="475"/>
      <c r="F7332" s="676"/>
      <c r="G7332" s="476"/>
      <c r="H7332" s="676"/>
      <c r="I7332" s="477"/>
      <c r="J7332" s="1002"/>
      <c r="K7332" s="676"/>
      <c r="L7332" s="676"/>
      <c r="M7332" s="676"/>
      <c r="N7332" s="676"/>
    </row>
    <row r="7333" spans="1:15" x14ac:dyDescent="0.25">
      <c r="A7333" s="676">
        <f t="shared" si="225"/>
        <v>4502</v>
      </c>
      <c r="B7333" s="676"/>
      <c r="C7333" s="473"/>
      <c r="D7333" s="474"/>
      <c r="E7333" s="475"/>
      <c r="F7333" s="676"/>
      <c r="G7333" s="476"/>
      <c r="H7333" s="676"/>
      <c r="I7333" s="477"/>
      <c r="J7333" s="1002"/>
      <c r="K7333" s="676"/>
      <c r="L7333" s="676"/>
      <c r="M7333" s="676"/>
      <c r="N7333" s="676"/>
    </row>
    <row r="7334" spans="1:15" x14ac:dyDescent="0.25">
      <c r="A7334" s="676">
        <f t="shared" si="225"/>
        <v>4503</v>
      </c>
      <c r="B7334" s="676"/>
      <c r="C7334" s="473"/>
      <c r="D7334" s="474"/>
      <c r="E7334" s="475"/>
      <c r="F7334" s="676"/>
      <c r="G7334" s="476"/>
      <c r="H7334" s="676"/>
      <c r="I7334" s="477"/>
      <c r="J7334" s="1002"/>
      <c r="K7334" s="676"/>
      <c r="L7334" s="676"/>
      <c r="M7334" s="676"/>
      <c r="N7334" s="676"/>
    </row>
    <row r="7335" spans="1:15" x14ac:dyDescent="0.25">
      <c r="A7335" s="676">
        <f t="shared" si="225"/>
        <v>4504</v>
      </c>
      <c r="B7335" s="676"/>
      <c r="C7335" s="473"/>
      <c r="D7335" s="474"/>
      <c r="E7335" s="475"/>
      <c r="F7335" s="676"/>
      <c r="G7335" s="476"/>
      <c r="H7335" s="676"/>
      <c r="I7335" s="477"/>
      <c r="J7335" s="1002"/>
      <c r="K7335" s="676"/>
      <c r="L7335" s="676"/>
      <c r="M7335" s="676"/>
      <c r="N7335" s="676"/>
    </row>
    <row r="7336" spans="1:15" x14ac:dyDescent="0.25">
      <c r="A7336" s="676">
        <f t="shared" si="225"/>
        <v>4505</v>
      </c>
      <c r="B7336" s="676"/>
      <c r="C7336" s="473"/>
      <c r="D7336" s="474"/>
      <c r="E7336" s="475"/>
      <c r="F7336" s="676"/>
      <c r="G7336" s="476"/>
      <c r="H7336" s="676"/>
      <c r="I7336" s="477"/>
      <c r="J7336" s="1002"/>
      <c r="K7336" s="676"/>
      <c r="L7336" s="676"/>
      <c r="M7336" s="676"/>
      <c r="N7336" s="676"/>
    </row>
    <row r="7337" spans="1:15" x14ac:dyDescent="0.25">
      <c r="A7337" s="676">
        <f t="shared" si="225"/>
        <v>4506</v>
      </c>
      <c r="B7337" s="676"/>
      <c r="C7337" s="473"/>
      <c r="D7337" s="474"/>
      <c r="E7337" s="475"/>
      <c r="F7337" s="676"/>
      <c r="G7337" s="476"/>
      <c r="H7337" s="676"/>
      <c r="I7337" s="477"/>
      <c r="J7337" s="1002"/>
      <c r="K7337" s="676"/>
      <c r="L7337" s="676"/>
      <c r="M7337" s="676"/>
      <c r="N7337" s="676"/>
    </row>
    <row r="7338" spans="1:15" x14ac:dyDescent="0.25">
      <c r="A7338" s="676">
        <f t="shared" si="225"/>
        <v>4507</v>
      </c>
      <c r="B7338" s="676"/>
      <c r="C7338" s="473"/>
      <c r="D7338" s="474"/>
      <c r="E7338" s="475"/>
      <c r="F7338" s="676"/>
      <c r="G7338" s="476"/>
      <c r="H7338" s="676"/>
      <c r="I7338" s="477"/>
      <c r="J7338" s="1002"/>
      <c r="K7338" s="676"/>
      <c r="L7338" s="676"/>
      <c r="M7338" s="676"/>
      <c r="N7338" s="676"/>
    </row>
    <row r="7339" spans="1:15" x14ac:dyDescent="0.25">
      <c r="A7339" s="676">
        <f t="shared" si="225"/>
        <v>4508</v>
      </c>
      <c r="B7339" s="676"/>
      <c r="C7339" s="473"/>
      <c r="D7339" s="474"/>
      <c r="E7339" s="475"/>
      <c r="F7339" s="676"/>
      <c r="G7339" s="476"/>
      <c r="H7339" s="676"/>
      <c r="I7339" s="477"/>
      <c r="J7339" s="1002"/>
      <c r="K7339" s="676"/>
      <c r="L7339" s="676"/>
      <c r="M7339" s="676"/>
      <c r="N7339" s="676"/>
    </row>
    <row r="7340" spans="1:15" x14ac:dyDescent="0.25">
      <c r="A7340" s="676">
        <f t="shared" si="225"/>
        <v>4509</v>
      </c>
      <c r="B7340" s="676"/>
      <c r="C7340" s="473"/>
      <c r="D7340" s="474"/>
      <c r="E7340" s="475"/>
      <c r="F7340" s="676"/>
      <c r="G7340" s="476"/>
      <c r="H7340" s="676"/>
      <c r="I7340" s="477"/>
      <c r="J7340" s="1002"/>
      <c r="K7340" s="676"/>
      <c r="L7340" s="676"/>
      <c r="M7340" s="676"/>
      <c r="N7340" s="676"/>
    </row>
    <row r="7341" spans="1:15" x14ac:dyDescent="0.25">
      <c r="A7341" s="676">
        <f t="shared" si="225"/>
        <v>4510</v>
      </c>
      <c r="B7341" s="676"/>
      <c r="C7341" s="473"/>
      <c r="D7341" s="474"/>
      <c r="E7341" s="475"/>
      <c r="F7341" s="676"/>
      <c r="G7341" s="476"/>
      <c r="H7341" s="676"/>
      <c r="I7341" s="477"/>
      <c r="J7341" s="1002"/>
      <c r="K7341" s="676"/>
      <c r="L7341" s="676"/>
      <c r="M7341" s="676"/>
      <c r="N7341" s="676"/>
    </row>
    <row r="7342" spans="1:15" x14ac:dyDescent="0.25">
      <c r="A7342" s="676">
        <f t="shared" si="225"/>
        <v>4511</v>
      </c>
      <c r="B7342" s="676"/>
      <c r="C7342" s="473"/>
      <c r="D7342" s="474"/>
      <c r="E7342" s="475"/>
      <c r="F7342" s="676"/>
      <c r="G7342" s="476"/>
      <c r="H7342" s="676"/>
      <c r="I7342" s="477"/>
      <c r="J7342" s="1002"/>
      <c r="K7342" s="676"/>
      <c r="L7342" s="676"/>
      <c r="M7342" s="676"/>
      <c r="N7342" s="676"/>
    </row>
  </sheetData>
  <autoFilter ref="A2:R7327" xr:uid="{9E4C531E-AD50-422A-AC7C-8C5AF4C19268}">
    <filterColumn colId="10">
      <filters blank="1"/>
    </filterColumn>
  </autoFilter>
  <mergeCells count="1944">
    <mergeCell ref="A7318:A7319"/>
    <mergeCell ref="G7318:G7319"/>
    <mergeCell ref="A7312:A7313"/>
    <mergeCell ref="A7314:A7315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281:A7282"/>
    <mergeCell ref="A7294:A7295"/>
    <mergeCell ref="A7297:A729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0:A7311"/>
    <mergeCell ref="A7303:A7309"/>
    <mergeCell ref="G7281:G7282"/>
    <mergeCell ref="A7290:A7292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7322:A7324"/>
    <mergeCell ref="A7325:A7326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2026-09-18T13:42:43Z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