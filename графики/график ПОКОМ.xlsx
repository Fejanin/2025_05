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AF24540-5B09-4E2E-9298-A6CD5E96F2B2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Лист1!$A$2:$R$7130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A7126" i="1" l="1"/>
  <c r="A7128" i="1" l="1"/>
  <c r="A7129" i="1" s="1"/>
  <c r="E7083" i="1"/>
  <c r="A7130" i="1" l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/>
  <c r="A7004" i="1" l="1"/>
  <c r="A7006" i="1" l="1"/>
  <c r="A7008" i="1" l="1"/>
  <c r="A7009" i="1" s="1"/>
  <c r="A7010" i="1" s="1"/>
  <c r="A7011" i="1" l="1"/>
  <c r="A7014" i="1"/>
  <c r="A7016" i="1" l="1"/>
  <c r="A7017" i="1" l="1"/>
  <c r="A7020" i="1" l="1"/>
  <c r="A7021" i="1" l="1"/>
  <c r="A7022" i="1" l="1"/>
  <c r="A7023" i="1" s="1"/>
  <c r="A7024" i="1" s="1"/>
  <c r="A7025" i="1" s="1"/>
  <c r="A7026" i="1" s="1"/>
  <c r="A7028" i="1" s="1"/>
  <c r="A7031" i="1" s="1"/>
  <c r="A7032" i="1" s="1"/>
  <c r="A7035" i="1" s="1"/>
  <c r="A7037" i="1" s="1"/>
  <c r="A7039" i="1" s="1"/>
  <c r="A7041" i="1" s="1"/>
  <c r="A7042" i="1" s="1"/>
  <c r="A7047" i="1" l="1"/>
  <c r="A7050" i="1" s="1"/>
  <c r="A7054" i="1" s="1"/>
  <c r="A7056" i="1" s="1"/>
  <c r="A7058" i="1" s="1"/>
  <c r="A7062" i="1" l="1"/>
  <c r="A7063" i="1" s="1"/>
  <c r="A7067" i="1" s="1"/>
  <c r="A7069" i="1" s="1"/>
  <c r="A7073" i="1" s="1"/>
  <c r="A7074" i="1" l="1"/>
  <c r="A7076" i="1" s="1"/>
  <c r="A7078" i="1" s="1"/>
  <c r="A7080" i="1" s="1"/>
  <c r="A7082" i="1" s="1"/>
  <c r="A7084" i="1" s="1"/>
  <c r="A7086" i="1" s="1"/>
  <c r="A7088" i="1" s="1"/>
  <c r="A7089" i="1" l="1"/>
  <c r="A7090" i="1" s="1"/>
  <c r="A7091" i="1" s="1"/>
  <c r="A7092" i="1" l="1"/>
  <c r="A7093" i="1"/>
  <c r="A7095" i="1" s="1"/>
  <c r="A7097" i="1" l="1"/>
  <c r="A7103" i="1" s="1"/>
  <c r="A7104" i="1" l="1"/>
  <c r="A7105" i="1" s="1"/>
  <c r="A7107" i="1" l="1"/>
  <c r="A7108" i="1" s="1"/>
  <c r="A7110" i="1" s="1"/>
  <c r="A7113" i="1" l="1"/>
  <c r="A7114" i="1" s="1"/>
  <c r="A7117" i="1" s="1"/>
  <c r="A7118" i="1" s="1"/>
  <c r="A7119" i="1" s="1"/>
  <c r="A7120" i="1" s="1"/>
  <c r="A7121" i="1" s="1"/>
  <c r="A7122" i="1" l="1"/>
  <c r="A7124" i="1" s="1"/>
  <c r="A7131" i="1" s="1"/>
  <c r="A7134" i="1" s="1"/>
  <c r="A7137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</calcChain>
</file>

<file path=xl/sharedStrings.xml><?xml version="1.0" encoding="utf-8"?>
<sst xmlns="http://schemas.openxmlformats.org/spreadsheetml/2006/main" count="45707" uniqueCount="2362">
  <si>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</si>
  <si>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</si>
  <si>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</si>
  <si>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</si>
  <si>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</si>
  <si>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</si>
  <si>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</si>
  <si>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</si>
  <si>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</si>
  <si>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</si>
  <si>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</si>
  <si>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</si>
  <si>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</si>
  <si>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</si>
  <si>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</si>
  <si>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</si>
  <si>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</si>
  <si>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</si>
  <si>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</si>
  <si>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</si>
  <si>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</si>
  <si>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</si>
  <si>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</si>
  <si>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</si>
  <si>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</si>
  <si>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</si>
  <si>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</si>
  <si>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</si>
  <si>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</si>
  <si>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</si>
  <si>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</si>
  <si>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</si>
  <si>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</si>
  <si>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</si>
  <si>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</si>
  <si>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</si>
  <si>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</si>
  <si>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</si>
  <si>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</si>
  <si>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</si>
  <si>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</si>
  <si>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</si>
  <si>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</si>
  <si>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</si>
  <si>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</si>
  <si>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</si>
  <si>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</si>
  <si>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</si>
  <si>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</si>
  <si>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</si>
  <si>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</si>
  <si>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</si>
  <si>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</si>
  <si>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</si>
  <si>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</si>
  <si>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</si>
  <si>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</si>
  <si>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</si>
  <si>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</si>
  <si>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</si>
  <si>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</si>
  <si>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</si>
  <si>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</si>
  <si>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</si>
  <si>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</si>
  <si>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</si>
  <si>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</si>
  <si>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</si>
  <si>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</si>
  <si>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</si>
  <si>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</si>
  <si>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</si>
  <si>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</si>
  <si>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</si>
  <si>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</si>
  <si>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</si>
  <si>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</si>
  <si>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</si>
  <si>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</si>
  <si>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</si>
  <si>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</si>
  <si>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</si>
  <si>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</si>
  <si>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</si>
  <si>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</si>
  <si>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</si>
  <si>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</si>
  <si>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</si>
  <si>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</si>
  <si>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</si>
  <si>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</si>
  <si>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</si>
  <si>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</si>
  <si>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</si>
  <si>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</si>
  <si>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</si>
  <si>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</si>
  <si>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</si>
  <si>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</si>
  <si>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</si>
  <si>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</si>
  <si>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</si>
  <si>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</si>
  <si>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</si>
  <si>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</si>
  <si>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</si>
  <si>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</si>
  <si>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</si>
  <si>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</si>
  <si>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</si>
  <si>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</si>
  <si>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</si>
  <si>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</si>
  <si>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</si>
  <si>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</si>
  <si>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</si>
  <si>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</si>
  <si>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</si>
  <si>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</si>
  <si>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</si>
  <si>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</si>
  <si>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</si>
  <si>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</si>
  <si>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</si>
  <si>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</si>
  <si>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</si>
  <si>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</si>
  <si>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</si>
  <si>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</si>
  <si>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</si>
  <si>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</si>
  <si>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</si>
  <si>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</si>
  <si>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</si>
  <si>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</si>
  <si>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</si>
  <si>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</si>
  <si>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</si>
  <si>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</si>
  <si>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</si>
  <si>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</si>
  <si>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</si>
  <si>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</si>
  <si>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</si>
  <si>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</si>
  <si>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</si>
  <si>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</si>
  <si>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</si>
  <si>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</si>
  <si>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</si>
  <si>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</si>
  <si>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</si>
  <si>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</si>
  <si>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</si>
  <si>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</si>
  <si>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</si>
  <si>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</si>
  <si>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</si>
  <si>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</si>
  <si>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</si>
  <si>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</si>
  <si>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</si>
  <si>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</si>
  <si>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</si>
  <si>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</si>
  <si>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</si>
  <si>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</si>
  <si>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</si>
  <si>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</si>
  <si>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</si>
  <si>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</si>
  <si>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</si>
  <si>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</si>
  <si>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</si>
  <si>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</si>
  <si>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</si>
  <si>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</si>
  <si>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</si>
  <si>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</si>
  <si>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</si>
  <si>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</si>
  <si>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</si>
  <si>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</si>
  <si>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</si>
  <si>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</si>
  <si>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</si>
  <si>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</si>
  <si>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</si>
  <si>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</si>
  <si>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</si>
  <si>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</si>
  <si>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</si>
  <si>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</si>
  <si>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</si>
  <si>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</si>
  <si>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</si>
  <si>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</si>
  <si>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</si>
  <si>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</si>
  <si>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</si>
  <si>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</si>
  <si>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</si>
  <si>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</si>
  <si>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</si>
  <si>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</si>
  <si>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</si>
  <si>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</si>
  <si>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</si>
  <si>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</si>
  <si>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</si>
  <si>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</si>
  <si>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</si>
  <si>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</si>
  <si>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</si>
  <si>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</si>
  <si>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</si>
  <si>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</si>
  <si>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</si>
  <si>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</si>
  <si>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</si>
  <si>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</si>
  <si>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</si>
  <si>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</si>
  <si>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</si>
  <si>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</si>
  <si>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</si>
  <si>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</si>
  <si>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</si>
  <si>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</si>
  <si>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</si>
  <si>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</si>
  <si>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</si>
  <si>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</si>
  <si>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</si>
  <si>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</si>
  <si>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</si>
  <si>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</si>
  <si>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</si>
  <si>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</si>
  <si>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</si>
  <si>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</si>
  <si>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</si>
  <si>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</si>
  <si>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</si>
  <si>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</si>
  <si>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</si>
  <si>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</si>
  <si>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</si>
  <si>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</si>
  <si>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</si>
  <si>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</si>
  <si>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</si>
  <si>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</si>
  <si>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</si>
  <si>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</si>
  <si>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</si>
  <si>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</si>
  <si>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</si>
  <si>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</si>
  <si>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</si>
  <si>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</si>
  <si>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</si>
  <si>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</si>
  <si>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</si>
  <si>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</si>
  <si>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</si>
  <si>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</si>
  <si>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</si>
  <si>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</si>
  <si>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</si>
  <si>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</si>
  <si>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</si>
  <si>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</si>
  <si>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</si>
  <si>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</si>
  <si>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</si>
  <si>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</si>
  <si>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</si>
  <si>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</si>
  <si>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</si>
  <si>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</si>
  <si>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</si>
  <si>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</si>
  <si>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</si>
  <si>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</si>
  <si>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</si>
  <si>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</si>
  <si>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</si>
  <si>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</si>
  <si>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</si>
  <si>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</si>
  <si>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</si>
  <si>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</si>
  <si>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</si>
  <si>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</si>
  <si>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</si>
  <si>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</si>
  <si>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</si>
  <si>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</si>
  <si>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</si>
  <si>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</si>
  <si>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</si>
  <si>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</si>
  <si>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</si>
  <si>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</si>
  <si>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</si>
  <si>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</si>
  <si>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</si>
  <si>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</si>
  <si>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</si>
  <si>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</si>
  <si>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</si>
  <si>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</si>
  <si>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</si>
  <si>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</si>
  <si>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</si>
  <si>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</si>
  <si>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</si>
  <si>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</si>
  <si>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</si>
  <si>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</si>
  <si>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</si>
  <si>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</si>
  <si>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</si>
  <si>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</si>
  <si>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</si>
  <si>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</si>
  <si>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</si>
  <si>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</si>
  <si>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</si>
  <si>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</si>
  <si>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</si>
  <si>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</si>
  <si>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</si>
  <si>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</si>
  <si>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</si>
  <si>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</si>
  <si>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</si>
  <si>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</si>
  <si>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</si>
  <si>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</si>
  <si>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</si>
  <si>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</si>
  <si>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</si>
  <si>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</si>
  <si>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</si>
  <si>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</si>
  <si>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</si>
  <si>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</si>
  <si>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</si>
  <si>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</si>
  <si>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</si>
  <si>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</si>
  <si>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</si>
  <si>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</si>
  <si>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</si>
  <si>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</si>
  <si>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</si>
  <si>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</si>
  <si>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</si>
  <si>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</si>
  <si>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</si>
  <si>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</si>
  <si>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</si>
  <si>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</si>
  <si>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</si>
  <si>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</si>
  <si>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</si>
  <si>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</si>
  <si>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</si>
  <si>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</si>
  <si>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</si>
  <si>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</si>
  <si>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</si>
  <si>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</si>
  <si>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</si>
  <si>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</si>
  <si>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</si>
  <si>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</si>
  <si>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</si>
  <si>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</si>
  <si>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</si>
  <si>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</si>
  <si>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</si>
  <si>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</si>
  <si>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</si>
  <si>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</si>
  <si>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</si>
  <si>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</si>
  <si>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</si>
  <si>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</si>
  <si>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</si>
  <si>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</si>
  <si>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</si>
  <si>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</si>
  <si>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</si>
  <si>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</si>
  <si>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</si>
  <si>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</si>
  <si>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</si>
  <si>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</si>
  <si>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</si>
  <si>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</si>
  <si>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</si>
  <si>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</si>
  <si>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</si>
  <si>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</si>
  <si>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</si>
  <si>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</si>
  <si>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</si>
  <si>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</si>
  <si>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</si>
  <si>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</si>
  <si>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</si>
  <si>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</si>
  <si>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</si>
  <si>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</si>
  <si>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</si>
  <si>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</si>
  <si>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</si>
  <si>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</si>
  <si>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</si>
  <si>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</si>
  <si>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</si>
  <si>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</si>
  <si>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</si>
  <si>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</si>
  <si>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</si>
  <si>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</si>
  <si>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</si>
  <si>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</si>
  <si>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</si>
  <si>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</si>
  <si>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</si>
  <si>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</si>
  <si>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</si>
  <si>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</si>
  <si>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</si>
  <si>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</si>
  <si>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</si>
  <si>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</si>
  <si>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</si>
  <si>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</si>
  <si>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</si>
  <si>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</si>
  <si>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</si>
  <si>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</si>
  <si>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</si>
  <si>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</si>
  <si>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</si>
  <si>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</si>
  <si>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</si>
  <si>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</si>
  <si>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</si>
  <si>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</si>
  <si>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</si>
  <si>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</si>
  <si>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</si>
  <si>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</si>
  <si>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</si>
  <si>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</si>
  <si>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</si>
  <si>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</si>
  <si>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</si>
  <si>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</si>
  <si>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</si>
  <si>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</si>
  <si>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</si>
  <si>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</si>
  <si>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</si>
  <si>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</si>
  <si>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</si>
  <si>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</si>
  <si>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</si>
  <si>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</si>
  <si>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</si>
  <si>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</si>
  <si>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</si>
  <si>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</si>
  <si>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</si>
  <si>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</si>
  <si>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</si>
  <si>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</si>
  <si>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</si>
  <si>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</si>
  <si>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</si>
  <si>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</si>
  <si>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</si>
  <si>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</si>
  <si>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</si>
  <si>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</si>
  <si>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</si>
  <si>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</si>
  <si>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</si>
  <si>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</si>
  <si>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</si>
  <si>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</si>
  <si>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</si>
  <si>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</si>
  <si>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</si>
  <si>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</si>
  <si>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</si>
  <si>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</si>
  <si>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</si>
  <si>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</si>
  <si>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</si>
  <si>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</si>
  <si>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</si>
  <si>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</si>
  <si>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</si>
  <si>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</si>
  <si>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</si>
  <si>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</si>
  <si>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</si>
  <si>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</si>
  <si>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</si>
  <si>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</si>
  <si>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</si>
  <si>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</si>
  <si>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</si>
  <si>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</si>
  <si>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</si>
  <si>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</si>
  <si>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</si>
  <si>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</si>
  <si>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</si>
  <si>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</si>
  <si>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</si>
  <si>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</si>
  <si>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</si>
  <si>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</si>
  <si>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</si>
  <si>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</si>
  <si>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</si>
  <si>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</si>
  <si>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</si>
  <si>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</si>
  <si>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</si>
  <si>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</si>
  <si>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</si>
  <si>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</si>
  <si>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</si>
  <si>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</si>
  <si>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</si>
  <si>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</si>
  <si>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</si>
  <si>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</si>
  <si>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</si>
  <si>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</si>
  <si>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</si>
  <si>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</si>
  <si>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</si>
  <si>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</si>
  <si>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</si>
  <si>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</si>
  <si>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</si>
  <si>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</si>
  <si>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</si>
  <si>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</si>
  <si>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</si>
  <si>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</si>
  <si>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</si>
  <si>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</si>
  <si>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</si>
  <si>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</si>
  <si>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</si>
  <si>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</si>
  <si>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</si>
  <si>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</si>
  <si>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</si>
  <si>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</si>
  <si>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</si>
  <si>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</si>
  <si>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</si>
  <si>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</si>
  <si>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</si>
  <si>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</si>
  <si>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</si>
  <si>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</si>
  <si>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</si>
  <si>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</si>
  <si>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</si>
  <si>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</si>
  <si>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</si>
  <si>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</si>
  <si>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</si>
  <si>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</si>
  <si>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</si>
  <si>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</si>
  <si>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</si>
  <si>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</si>
  <si>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</si>
  <si>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</si>
  <si>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</si>
  <si>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</si>
  <si>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</si>
  <si>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</si>
  <si>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</si>
  <si>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</si>
  <si>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</si>
  <si>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</si>
  <si>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</si>
  <si>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</si>
  <si>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</si>
  <si>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</si>
  <si>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</si>
  <si>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</si>
  <si>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</si>
  <si>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</si>
  <si>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</si>
  <si>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</si>
  <si>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</si>
  <si>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</si>
  <si>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</si>
  <si>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</si>
  <si>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</si>
  <si>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</si>
  <si>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</si>
  <si>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</si>
  <si>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</si>
  <si>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</si>
  <si>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</si>
  <si>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</si>
  <si>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</si>
  <si>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</si>
  <si>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</si>
  <si>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</si>
  <si>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</si>
  <si>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</si>
  <si>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</si>
  <si>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</si>
  <si>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</si>
  <si>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</si>
  <si>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</si>
  <si>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</si>
  <si>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</si>
  <si>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</si>
  <si>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</si>
  <si>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</si>
  <si>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</si>
  <si>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</si>
  <si>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</si>
  <si>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</si>
  <si>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</si>
  <si>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</si>
  <si>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</si>
  <si>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</si>
  <si>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</si>
  <si>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</si>
  <si>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</si>
  <si>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</si>
  <si>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</si>
  <si>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</si>
  <si>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</si>
  <si>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</si>
  <si>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</si>
  <si>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</si>
  <si>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</si>
  <si>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</si>
  <si>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</si>
  <si>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</si>
  <si>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</si>
  <si>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</si>
  <si>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</si>
  <si>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</si>
  <si>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</si>
  <si>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</si>
  <si>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</si>
  <si>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</si>
  <si>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</si>
  <si>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</si>
  <si>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</si>
  <si>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</si>
  <si>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</si>
  <si>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</si>
  <si>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</si>
  <si>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</si>
  <si>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</si>
  <si>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</si>
  <si>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</si>
  <si>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</si>
  <si>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</si>
  <si>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</si>
  <si>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</si>
  <si>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</si>
  <si>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</si>
  <si>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</si>
  <si>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</si>
  <si>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</si>
  <si>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</si>
  <si>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</si>
  <si>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</si>
  <si>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</si>
  <si>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</si>
  <si>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</si>
  <si>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</si>
  <si>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</si>
  <si>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</si>
  <si>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</si>
  <si>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</si>
  <si>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</si>
  <si>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</si>
  <si>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</si>
  <si>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</si>
  <si>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</si>
  <si>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</si>
  <si>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</si>
  <si>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</si>
  <si>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</si>
  <si>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</si>
  <si>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</si>
  <si>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</si>
  <si>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</si>
  <si>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</si>
  <si>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</si>
  <si>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</si>
  <si>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</si>
  <si>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</si>
  <si>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</si>
  <si>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</si>
  <si>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</si>
  <si>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</si>
  <si>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</si>
  <si>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</si>
  <si>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</si>
  <si>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</si>
  <si>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</si>
  <si>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</si>
  <si>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</si>
  <si>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</si>
  <si>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</si>
  <si>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</si>
  <si>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</si>
  <si>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</si>
  <si>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</si>
  <si>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</si>
  <si>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</si>
  <si>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</si>
  <si>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</si>
  <si>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</si>
  <si>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</si>
  <si>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</si>
  <si>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</si>
  <si>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</si>
  <si>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</si>
  <si>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</si>
  <si>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</si>
  <si>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</si>
  <si>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</si>
  <si>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</si>
  <si>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</si>
  <si>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</si>
  <si>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</si>
  <si>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</si>
  <si>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</si>
  <si>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</si>
  <si>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</si>
  <si>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</si>
  <si>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</si>
  <si>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</si>
  <si>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</si>
  <si>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</si>
  <si>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</si>
  <si>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</si>
  <si>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</si>
  <si>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</si>
  <si>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</si>
  <si>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</si>
  <si>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</si>
  <si>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</si>
  <si>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</si>
  <si>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</si>
  <si>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</si>
  <si>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</si>
  <si>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</si>
  <si>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</si>
  <si>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</si>
  <si>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</si>
  <si>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</si>
  <si>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</si>
  <si>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</si>
  <si>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</si>
  <si>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</si>
  <si>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</si>
  <si>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</si>
  <si>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</si>
  <si>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</si>
  <si>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</si>
  <si>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</si>
  <si>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</si>
  <si>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</si>
  <si>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</si>
  <si>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</si>
  <si>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</si>
  <si>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</si>
  <si>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</si>
  <si>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</si>
  <si>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</si>
  <si>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</si>
  <si>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</si>
  <si>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</si>
  <si>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</si>
  <si>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</si>
  <si>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</si>
  <si>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</si>
  <si>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</si>
  <si>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</si>
  <si>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</si>
  <si>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</si>
  <si>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</si>
  <si>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</si>
  <si>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</si>
  <si>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</si>
  <si>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</si>
  <si>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</si>
  <si>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</si>
  <si>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</si>
  <si>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</si>
  <si>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</si>
  <si>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</si>
  <si>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</si>
  <si>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</si>
  <si>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</si>
  <si>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</si>
  <si>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</si>
  <si>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</si>
  <si>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</si>
  <si>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</si>
  <si>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</si>
  <si>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</si>
  <si>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</si>
  <si>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</si>
  <si>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</si>
  <si>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</si>
  <si>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</si>
  <si>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</si>
  <si>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</si>
  <si>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</si>
  <si>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</si>
  <si>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</si>
  <si>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</si>
  <si>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</si>
  <si>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</si>
  <si>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</si>
  <si>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</si>
  <si>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</si>
  <si>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</si>
  <si>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</si>
  <si>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</si>
  <si>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</si>
  <si>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</si>
  <si>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</si>
  <si>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</si>
  <si>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</si>
  <si>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</si>
  <si>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</si>
  <si>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</si>
  <si>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</si>
  <si>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</si>
  <si>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</si>
  <si>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</si>
  <si>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</si>
  <si>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</si>
  <si>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</si>
  <si>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</si>
  <si>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</si>
  <si>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</si>
  <si>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</si>
  <si>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</si>
  <si>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</si>
  <si>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</si>
  <si>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</si>
  <si>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</si>
  <si>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</si>
  <si>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</si>
  <si>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</si>
  <si>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</si>
  <si>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</si>
  <si>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</si>
  <si>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</si>
  <si>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</si>
  <si>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</si>
  <si>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</si>
  <si>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</si>
  <si>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</si>
  <si>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</si>
  <si>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</si>
  <si>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</si>
  <si>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</si>
  <si>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</si>
  <si>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</si>
  <si>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</si>
  <si>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</si>
  <si>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</si>
  <si>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</si>
  <si>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</si>
  <si>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</si>
  <si>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</si>
  <si>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</si>
  <si>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</si>
  <si>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</si>
  <si>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</si>
  <si>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</si>
  <si>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</si>
  <si>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</si>
  <si>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</si>
  <si>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</si>
  <si>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</si>
  <si>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</si>
  <si>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</si>
  <si>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</si>
  <si>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</si>
  <si>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</si>
  <si>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</si>
  <si>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</si>
  <si>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</si>
  <si>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</si>
  <si>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</si>
  <si>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</si>
  <si>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</si>
  <si>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</si>
  <si>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</si>
  <si>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</si>
  <si>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</si>
  <si>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</si>
  <si>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</si>
  <si>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</si>
  <si>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</si>
  <si>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</si>
  <si>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</si>
  <si>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</si>
  <si>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</si>
  <si>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</si>
  <si>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</si>
  <si>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</si>
  <si>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</si>
  <si>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</si>
  <si>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</si>
  <si>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</si>
  <si>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</si>
  <si>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</si>
  <si>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</si>
  <si>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</si>
  <si>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</si>
  <si>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</si>
  <si>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</si>
  <si>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</si>
  <si>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</si>
  <si>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</si>
  <si>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</si>
  <si>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</si>
  <si>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</si>
  <si>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</si>
  <si>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</si>
  <si>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</si>
  <si>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</si>
  <si>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</si>
  <si>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</si>
  <si>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</si>
  <si>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</si>
  <si>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</si>
  <si>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</si>
  <si>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</si>
  <si>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</si>
  <si>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</si>
  <si>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</si>
  <si>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</si>
  <si>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</si>
  <si>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</si>
  <si>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</si>
  <si>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</si>
  <si>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</si>
  <si>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</si>
  <si>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</si>
  <si>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</si>
  <si>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</si>
  <si>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</si>
  <si>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</si>
  <si>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</si>
  <si>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</si>
  <si>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</si>
  <si>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</si>
  <si>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</si>
  <si>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</si>
  <si>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</si>
  <si>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</si>
  <si>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</si>
  <si>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</si>
  <si>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</si>
  <si>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</si>
  <si>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</si>
  <si>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</si>
  <si>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</si>
  <si>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</si>
  <si>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</si>
  <si>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</si>
  <si>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</si>
  <si>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</si>
  <si>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</si>
  <si>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</si>
  <si>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</si>
  <si>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</si>
  <si>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</si>
  <si>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</si>
  <si>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</si>
  <si>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</si>
  <si>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</si>
  <si>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</si>
  <si>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</si>
  <si>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</si>
  <si>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</si>
  <si>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</si>
  <si>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</si>
  <si>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</si>
  <si>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</si>
  <si>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</si>
  <si>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</si>
  <si>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</si>
  <si>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</si>
  <si>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</si>
  <si>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</si>
  <si>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</si>
  <si>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</si>
  <si>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</si>
  <si>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</si>
  <si>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</si>
  <si>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</si>
  <si>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</si>
  <si>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</si>
  <si>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</si>
  <si>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</si>
  <si>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</si>
  <si>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</si>
  <si>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</si>
  <si>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</si>
  <si>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</si>
  <si>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</si>
  <si>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</si>
  <si>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</si>
  <si>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</si>
  <si>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</si>
  <si>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</si>
  <si>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</si>
  <si>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</si>
  <si>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</si>
  <si>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</si>
  <si>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</si>
  <si>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</si>
  <si>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</si>
  <si>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</si>
  <si>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</si>
  <si>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</si>
  <si>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</si>
  <si>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</si>
  <si>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</si>
  <si>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</si>
  <si>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</si>
  <si>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</si>
  <si>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</si>
  <si>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</si>
  <si>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</si>
  <si>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</si>
  <si>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</si>
  <si>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</si>
  <si>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</si>
  <si>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</si>
  <si>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</si>
  <si>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</si>
  <si>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</si>
  <si>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</si>
  <si>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</si>
  <si>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</si>
  <si>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</si>
  <si>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</si>
  <si>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</si>
  <si>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</si>
  <si>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</si>
  <si>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</si>
  <si>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</si>
  <si>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</si>
  <si>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</si>
  <si>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</si>
  <si>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</si>
  <si>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</si>
  <si>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</si>
  <si>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</si>
  <si>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</si>
  <si>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</si>
  <si>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</si>
  <si>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</si>
  <si>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</si>
  <si>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</si>
  <si>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</si>
  <si>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</si>
  <si>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</si>
  <si>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</si>
  <si>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</si>
  <si>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</si>
  <si>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</si>
  <si>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</si>
  <si>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</si>
  <si>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</si>
  <si>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</si>
  <si>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</si>
  <si>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</si>
  <si>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</si>
  <si>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</si>
  <si>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</si>
  <si>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</si>
  <si>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</si>
  <si>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</si>
  <si>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</si>
  <si>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</si>
  <si>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</si>
  <si>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</si>
  <si>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</si>
  <si>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</si>
  <si>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</si>
  <si>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</si>
  <si>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</si>
  <si>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</si>
  <si>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</si>
  <si>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</si>
  <si>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</si>
  <si>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</si>
  <si>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</si>
  <si>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</si>
  <si>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</si>
  <si>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</si>
  <si>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</si>
  <si>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</si>
  <si>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</si>
  <si>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</si>
  <si>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</si>
  <si>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</si>
  <si>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</si>
  <si>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</si>
  <si>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</si>
  <si>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</si>
  <si>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</si>
  <si>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</si>
  <si>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</si>
  <si>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</si>
  <si>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</si>
  <si>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</si>
  <si>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</si>
  <si>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</si>
  <si>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</si>
  <si>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</si>
  <si>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</si>
  <si>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</si>
  <si>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</si>
  <si>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</si>
  <si>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</si>
  <si>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</si>
  <si>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</si>
  <si>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</si>
  <si>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</si>
  <si>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</si>
  <si>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</si>
  <si>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</si>
  <si>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</si>
  <si>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</si>
  <si>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</si>
  <si>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</si>
  <si>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</si>
  <si>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</si>
  <si>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</si>
  <si>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</si>
  <si>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</si>
  <si>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</si>
  <si>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</si>
  <si>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</si>
  <si>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</si>
  <si>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</si>
  <si>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</si>
  <si>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</si>
  <si>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</si>
  <si>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</si>
  <si>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</si>
  <si>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</si>
  <si>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</si>
  <si>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</si>
  <si>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</si>
  <si>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</si>
  <si>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</si>
  <si>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</si>
  <si>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</si>
  <si>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</si>
  <si>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</si>
  <si>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</si>
  <si>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</si>
  <si>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</si>
  <si>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</si>
  <si>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</si>
  <si>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</si>
  <si>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</si>
  <si>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</si>
  <si>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</si>
  <si>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</si>
  <si>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</si>
  <si>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</si>
  <si>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</si>
  <si>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</si>
  <si>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</si>
  <si>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</si>
  <si>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</si>
  <si>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</si>
  <si>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</si>
  <si>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</si>
  <si>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</si>
  <si>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</si>
  <si>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</si>
  <si>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</si>
  <si>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</si>
  <si>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</si>
  <si>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</si>
  <si>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</si>
  <si>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</si>
  <si>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</si>
  <si>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</si>
  <si>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</si>
  <si>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</si>
  <si>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</si>
  <si>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</si>
  <si>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</si>
  <si>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</si>
  <si>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</si>
  <si>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</si>
  <si>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</si>
  <si>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</si>
  <si>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</si>
  <si>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</si>
  <si>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</si>
  <si>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</si>
  <si>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</si>
  <si>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</si>
  <si>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</si>
  <si>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</si>
  <si>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</si>
  <si>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</si>
  <si>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</si>
  <si>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</si>
  <si>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</si>
  <si>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</si>
  <si>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</si>
  <si>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</si>
  <si>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</si>
  <si>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</si>
  <si>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</si>
  <si>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</si>
  <si>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</si>
  <si>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</si>
  <si>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</si>
  <si>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</si>
  <si>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</si>
  <si>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</si>
  <si>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</si>
  <si>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</si>
  <si>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</si>
  <si>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</si>
  <si>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</si>
  <si>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</si>
  <si>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</si>
  <si>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</si>
  <si>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</si>
  <si>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</si>
  <si>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</si>
  <si>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</si>
  <si>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</si>
  <si>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</si>
  <si>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</si>
  <si>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</si>
  <si>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</si>
  <si>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</si>
  <si>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</si>
  <si>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</si>
  <si>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</si>
  <si>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</si>
  <si>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</si>
  <si>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</si>
  <si>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</si>
  <si>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</si>
  <si>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</si>
  <si>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</si>
  <si>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</si>
  <si>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</si>
  <si>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</si>
  <si>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</si>
  <si>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</si>
  <si>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</si>
  <si>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</si>
  <si>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</si>
  <si>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</si>
  <si>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</si>
  <si>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</si>
  <si>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</si>
  <si>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</si>
  <si>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</si>
  <si>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</si>
  <si>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</si>
  <si>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</si>
  <si>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</si>
  <si>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</si>
  <si>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</si>
  <si>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</si>
  <si>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</si>
  <si>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</si>
  <si>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</si>
  <si>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</si>
  <si>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</si>
  <si>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</si>
  <si>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</si>
  <si>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</si>
  <si>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</si>
  <si>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</si>
  <si>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</si>
  <si>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</si>
  <si>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</si>
  <si>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</si>
  <si>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</si>
  <si>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</si>
  <si>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</si>
  <si>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</si>
  <si>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</si>
  <si>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</si>
  <si>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</si>
  <si>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</si>
  <si>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</si>
  <si>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</si>
  <si>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</si>
  <si>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</si>
  <si>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</si>
  <si>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</si>
  <si>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</si>
  <si>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</si>
  <si>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</si>
  <si>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</si>
  <si>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</si>
  <si>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</si>
  <si>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</si>
  <si>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</si>
  <si>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</si>
  <si>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</si>
  <si>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</si>
  <si>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</si>
  <si>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</si>
  <si>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</si>
  <si>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</si>
  <si>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</si>
  <si>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</si>
  <si>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</si>
  <si>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</si>
  <si>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</si>
  <si>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</si>
  <si>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</si>
  <si>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</si>
  <si>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</si>
  <si>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</si>
  <si>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</si>
  <si>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</si>
  <si>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</si>
  <si>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</si>
  <si>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</si>
  <si>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</si>
  <si>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</si>
  <si>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</si>
  <si>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</si>
  <si>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</si>
  <si>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</si>
  <si>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</si>
  <si>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</si>
  <si>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</si>
  <si>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</si>
  <si>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</si>
  <si>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</si>
  <si>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</si>
  <si>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</si>
  <si>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</si>
  <si>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</si>
  <si>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</si>
  <si>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</si>
  <si>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</si>
  <si>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</si>
  <si>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</si>
  <si>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</si>
  <si>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</si>
  <si>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</si>
  <si>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</si>
  <si>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</si>
  <si>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</si>
  <si>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</si>
  <si>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</si>
  <si>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</si>
  <si>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</si>
  <si>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</si>
  <si>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</si>
  <si>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</si>
  <si>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</si>
  <si>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</si>
  <si>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</si>
  <si>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</si>
  <si>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</si>
  <si>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</si>
  <si>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</si>
  <si>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</si>
  <si>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</si>
  <si>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</si>
  <si>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</si>
  <si>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</si>
  <si>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</si>
  <si>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</si>
  <si>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</si>
  <si>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</si>
  <si>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</si>
  <si>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</si>
  <si>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</si>
  <si>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</si>
  <si>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</si>
  <si>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</si>
  <si>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</si>
  <si>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</si>
  <si>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</si>
  <si>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</si>
  <si>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</si>
  <si>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</si>
  <si>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</si>
  <si>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</si>
  <si>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</si>
  <si>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</si>
  <si>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</si>
  <si>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</si>
  <si>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</si>
  <si>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</si>
  <si>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</si>
  <si>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</si>
  <si>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</si>
  <si>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</si>
  <si>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</si>
  <si>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</si>
  <si>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</si>
  <si>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</si>
  <si>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</si>
  <si>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</si>
  <si>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</si>
  <si>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</si>
  <si>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</si>
  <si>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</si>
  <si>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</si>
  <si>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</si>
  <si>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</si>
  <si>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</si>
  <si>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</si>
  <si>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</si>
  <si>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</si>
  <si>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</si>
  <si>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</si>
  <si>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</si>
  <si>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</si>
  <si>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</si>
  <si>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</si>
  <si>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</si>
  <si>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</si>
  <si>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</si>
  <si>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</si>
  <si>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</si>
  <si>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</si>
  <si>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</si>
  <si>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</si>
  <si>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</si>
  <si>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</si>
  <si>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</si>
  <si>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</si>
  <si>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</si>
  <si>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</si>
  <si>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</si>
  <si>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</si>
  <si>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</si>
  <si>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</si>
  <si>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</si>
  <si>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</si>
  <si>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</si>
  <si>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</si>
  <si>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</si>
  <si>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</si>
  <si>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</si>
  <si>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</si>
  <si>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</si>
  <si>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</si>
  <si>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</si>
  <si>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</si>
  <si>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</si>
  <si>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</si>
  <si>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</si>
  <si>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</si>
  <si>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</si>
  <si>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</si>
  <si>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</si>
  <si>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</si>
  <si>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</si>
  <si>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</si>
  <si>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</si>
  <si>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</si>
  <si>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</si>
  <si>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</si>
  <si>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</si>
  <si>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</si>
  <si>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</si>
  <si>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</si>
  <si>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</si>
  <si>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</si>
  <si>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</si>
  <si>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</si>
  <si>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</si>
  <si>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</si>
  <si>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</si>
  <si>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</si>
  <si>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</si>
  <si>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</si>
  <si>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</si>
  <si>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</si>
  <si>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</si>
  <si>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</si>
  <si>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</si>
  <si>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</si>
  <si>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</si>
  <si>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</si>
  <si>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</si>
  <si>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</si>
  <si>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</si>
  <si>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</si>
  <si>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</si>
  <si>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</si>
  <si>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</si>
  <si>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</si>
  <si>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</si>
  <si>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</si>
  <si>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</si>
  <si>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</si>
  <si>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</si>
  <si>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</si>
  <si>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</si>
  <si>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</si>
  <si>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</si>
  <si>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</si>
  <si>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</si>
  <si>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</si>
  <si>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</si>
  <si>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</si>
  <si>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</si>
  <si>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</si>
  <si>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</si>
  <si>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</si>
  <si>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</si>
  <si>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</si>
  <si>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</si>
  <si>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</si>
  <si>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</si>
  <si>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</si>
  <si>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</si>
  <si>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</si>
  <si>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</si>
  <si>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</si>
  <si>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</si>
  <si>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</si>
  <si>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</si>
  <si>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</si>
  <si>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</si>
  <si>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</si>
  <si>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</si>
  <si>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</si>
  <si>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</si>
  <si>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</si>
  <si>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</si>
  <si>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</si>
  <si>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</si>
  <si>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</si>
  <si>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</si>
  <si>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</si>
  <si>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</si>
  <si>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</si>
  <si>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</si>
  <si>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</si>
  <si>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</si>
  <si>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</si>
  <si>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</si>
  <si>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</si>
  <si>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</si>
  <si>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</si>
  <si>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</si>
  <si>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</si>
  <si>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</si>
  <si>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</si>
  <si>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</si>
  <si>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</si>
  <si>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</si>
  <si>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</si>
  <si>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</si>
  <si>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</si>
  <si>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</si>
  <si>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</si>
  <si>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</si>
  <si>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</si>
  <si>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</si>
  <si>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</si>
  <si>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</si>
  <si>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</si>
  <si>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</si>
  <si>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</si>
  <si>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</si>
  <si>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</si>
  <si>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</si>
  <si>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</si>
  <si>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</si>
  <si>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</si>
  <si>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</si>
  <si>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</si>
  <si>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</si>
  <si>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</si>
  <si>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</si>
  <si>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</si>
  <si>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</si>
  <si>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</si>
  <si>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</si>
  <si>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</si>
  <si>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</si>
  <si>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</si>
  <si>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</si>
  <si>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</si>
  <si>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</si>
  <si>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</si>
  <si>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</si>
  <si>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</si>
  <si>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</si>
  <si>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</si>
  <si>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</si>
  <si>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</si>
  <si>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</si>
  <si>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</si>
  <si>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</si>
  <si>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</si>
  <si>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</si>
  <si>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</si>
  <si>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</si>
  <si>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</si>
  <si>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</si>
  <si>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</si>
  <si>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</si>
  <si>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</si>
  <si>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</si>
  <si>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</si>
  <si>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</si>
  <si>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</si>
  <si>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</si>
  <si>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</si>
  <si>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</si>
  <si>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</si>
  <si>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</si>
  <si>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</si>
  <si>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</si>
  <si>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</si>
  <si>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</si>
  <si>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</si>
  <si>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</si>
  <si>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</si>
  <si>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</si>
  <si>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</si>
  <si>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</si>
  <si>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</si>
  <si>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</si>
  <si>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</si>
  <si>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</si>
  <si>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</si>
  <si>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</si>
  <si>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</si>
  <si>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</si>
  <si>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</si>
  <si>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</si>
  <si>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</si>
  <si>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</si>
  <si>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</si>
  <si>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</si>
  <si>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</si>
  <si>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</si>
  <si>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</si>
  <si>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</si>
  <si>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</si>
  <si>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</si>
  <si>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</si>
  <si>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</si>
  <si>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</si>
  <si>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</si>
  <si>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</si>
  <si>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</si>
  <si>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</si>
  <si>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</si>
  <si>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</si>
  <si>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</si>
  <si>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</si>
  <si>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</si>
  <si>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</si>
  <si>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</si>
  <si>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</si>
  <si>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</si>
  <si>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</si>
  <si>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</si>
  <si>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</si>
  <si>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</si>
  <si>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</si>
  <si>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</si>
  <si>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</si>
  <si>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</si>
  <si>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</si>
  <si>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</si>
  <si>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</si>
  <si>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</si>
  <si>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</si>
  <si>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</si>
  <si>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</si>
  <si>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</si>
  <si>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</si>
  <si>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</si>
  <si>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</si>
  <si>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</si>
  <si>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</si>
  <si>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</si>
  <si>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</si>
  <si>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</si>
  <si>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</si>
  <si>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</si>
  <si>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</si>
  <si>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</si>
  <si>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</si>
  <si>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</si>
  <si>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</si>
  <si>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</si>
  <si>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</si>
  <si>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</si>
  <si>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</si>
  <si>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</si>
  <si>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</si>
  <si>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</si>
  <si>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</si>
  <si>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</si>
  <si>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</si>
  <si>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</si>
  <si>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</si>
  <si>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</si>
  <si>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</si>
  <si>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</si>
  <si>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</si>
  <si>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</si>
  <si>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</si>
  <si>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</si>
  <si>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</si>
  <si>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</si>
  <si>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</si>
  <si>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</si>
  <si>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</si>
  <si>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</si>
  <si>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</si>
  <si>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</si>
  <si>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</si>
  <si>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</si>
  <si>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</si>
  <si>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</si>
  <si>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</si>
  <si>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</si>
  <si>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</si>
  <si>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</si>
  <si>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</si>
  <si>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</si>
  <si>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</si>
  <si>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</si>
  <si>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</si>
  <si>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</si>
  <si>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</si>
  <si>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</si>
  <si>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</si>
  <si>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</si>
  <si>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</si>
  <si>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</si>
  <si>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</si>
  <si>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</si>
  <si>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</si>
  <si>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</si>
  <si>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</si>
  <si>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</si>
  <si>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</si>
  <si>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</si>
  <si>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</si>
  <si>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</si>
  <si>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</si>
  <si>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</si>
  <si>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</si>
  <si>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</si>
  <si>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</si>
  <si>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</si>
  <si>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</si>
  <si>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</si>
  <si>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</si>
  <si>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</si>
  <si>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</si>
  <si>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</si>
  <si>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</si>
  <si>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</si>
  <si>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</si>
  <si>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</si>
  <si>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</si>
  <si>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</si>
  <si>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</si>
  <si>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</si>
  <si>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</si>
  <si>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</si>
  <si>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</si>
  <si>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</si>
  <si>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</si>
  <si>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</si>
  <si>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</si>
  <si>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</si>
  <si>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</si>
  <si>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</si>
  <si>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</si>
  <si>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</si>
  <si>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</si>
  <si>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</si>
  <si>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</si>
  <si>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</si>
  <si>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</si>
  <si>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</si>
  <si>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</si>
  <si>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</si>
  <si>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</si>
  <si>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</si>
  <si>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</si>
  <si>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</si>
  <si>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</si>
  <si>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</si>
  <si>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</si>
  <si>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</si>
  <si>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</si>
  <si>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</si>
  <si>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</si>
  <si>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</si>
  <si>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</si>
  <si>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</si>
  <si>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</si>
  <si>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</si>
  <si>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</si>
  <si>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</si>
  <si>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</si>
  <si>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</si>
  <si>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</si>
  <si>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</si>
  <si>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</si>
  <si>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</si>
  <si>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</si>
  <si>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</si>
  <si>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</si>
  <si>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</si>
  <si>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</si>
  <si>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</si>
  <si>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</si>
  <si>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</si>
  <si>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</si>
  <si>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</si>
  <si>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</si>
  <si>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</si>
  <si>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</si>
  <si>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</si>
  <si>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</si>
  <si>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</si>
  <si>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</si>
  <si>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</si>
  <si>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</si>
  <si>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</si>
  <si>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</si>
  <si>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</si>
  <si>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</si>
  <si>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</si>
  <si>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</si>
  <si>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</si>
  <si>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</si>
  <si>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</si>
  <si>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</si>
  <si>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</si>
  <si>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</si>
  <si>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</si>
  <si>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</si>
  <si>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</si>
  <si>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</si>
  <si>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</si>
  <si>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</si>
  <si>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</si>
  <si>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</si>
  <si>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</si>
  <si>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</si>
  <si>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</si>
  <si>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</si>
  <si>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</si>
  <si>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</si>
  <si>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</si>
  <si>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</si>
  <si>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</si>
  <si>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</si>
  <si>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</si>
  <si>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</si>
  <si>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</si>
  <si>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</si>
  <si>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</si>
  <si>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</si>
  <si>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</si>
  <si>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</si>
  <si>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</si>
  <si>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</si>
  <si>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</si>
  <si>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</si>
  <si>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</si>
  <si>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</si>
  <si>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</si>
  <si>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</si>
  <si>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</si>
  <si>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</si>
  <si>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</si>
  <si>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</si>
  <si>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</si>
  <si>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</si>
  <si>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</si>
  <si>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</si>
  <si>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</si>
  <si>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</si>
  <si>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</si>
  <si>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</si>
  <si>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</si>
  <si>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</si>
  <si>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</si>
  <si>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</si>
  <si>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</si>
  <si>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</si>
  <si>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</si>
  <si>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</si>
  <si>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</si>
  <si>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</si>
  <si>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</si>
  <si>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</si>
  <si>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</si>
  <si>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</si>
  <si>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</si>
  <si>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</si>
  <si>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</si>
  <si>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</si>
  <si>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</si>
  <si>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</si>
  <si>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</si>
  <si>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</si>
  <si>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</si>
  <si>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</si>
  <si>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</si>
  <si>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</si>
  <si>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</si>
  <si>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</si>
  <si>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</si>
  <si>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</si>
  <si>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</si>
  <si>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</si>
  <si>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</si>
  <si>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</si>
  <si>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</si>
  <si>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</si>
  <si>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</si>
  <si>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</si>
  <si>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</si>
  <si>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</si>
  <si>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</si>
  <si>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</si>
  <si>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</si>
  <si>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</si>
  <si>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</si>
  <si>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</si>
  <si>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</si>
  <si>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</si>
  <si>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</si>
  <si>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</si>
  <si>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</si>
  <si>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</si>
  <si>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</si>
  <si>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</si>
  <si>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</si>
  <si>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</si>
  <si>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</si>
  <si>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</si>
  <si>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</si>
  <si>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</si>
  <si>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</si>
  <si>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</si>
  <si>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</si>
  <si>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</si>
  <si>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</si>
  <si>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</si>
  <si>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</si>
  <si>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</si>
  <si>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</si>
  <si>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</si>
  <si>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</si>
  <si>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</si>
  <si>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</si>
  <si>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</si>
  <si>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</si>
  <si>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</si>
  <si>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</si>
  <si>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</si>
  <si>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</si>
  <si>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</si>
  <si>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</si>
  <si>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</si>
  <si>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</si>
  <si>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</si>
  <si>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</si>
  <si>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</si>
  <si>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</si>
  <si>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</si>
  <si>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</si>
  <si>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</si>
  <si>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</si>
  <si>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</si>
  <si>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</si>
  <si>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</si>
  <si>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</si>
  <si>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</si>
  <si>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</si>
  <si>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</si>
  <si>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</si>
  <si>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</si>
  <si>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</si>
  <si>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</si>
  <si>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</si>
  <si>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</si>
  <si>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</si>
  <si>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</si>
  <si>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</si>
  <si>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</si>
  <si>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</si>
  <si>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</si>
  <si>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</si>
  <si>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</si>
  <si>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</si>
  <si>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</si>
  <si>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</si>
  <si>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</si>
  <si>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</si>
  <si>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</si>
  <si>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</si>
  <si>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</si>
  <si>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</si>
  <si>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</si>
  <si>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</si>
  <si>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</si>
  <si>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</si>
  <si>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</si>
  <si>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</si>
  <si>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</si>
  <si>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</si>
  <si>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</si>
  <si>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</si>
  <si>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</si>
  <si>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</si>
  <si>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</si>
  <si>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</si>
  <si>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</si>
  <si>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</si>
  <si>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</si>
  <si>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</si>
  <si>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</si>
  <si>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</si>
  <si>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</si>
  <si>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</si>
  <si>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</si>
  <si>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</si>
  <si>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</si>
  <si>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</si>
  <si>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</si>
  <si>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</si>
  <si>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</si>
  <si>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</si>
  <si>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</si>
  <si>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</si>
  <si>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</si>
  <si>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</si>
  <si>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</si>
  <si>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</si>
  <si>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</si>
  <si>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</si>
  <si>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</si>
  <si>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</si>
  <si>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</si>
  <si>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</si>
  <si>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</si>
  <si>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</si>
  <si>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</si>
  <si>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</si>
  <si>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</si>
  <si>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</si>
  <si>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</si>
  <si>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</si>
  <si>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</si>
  <si>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</si>
  <si>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</si>
  <si>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</si>
  <si>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</si>
  <si>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</si>
  <si>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</si>
  <si>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</si>
  <si>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</si>
  <si>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</si>
  <si>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</si>
  <si>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</si>
  <si>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</si>
  <si>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</si>
  <si>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</si>
  <si>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</si>
  <si>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</si>
  <si>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</si>
  <si>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</si>
  <si>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</si>
  <si>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</si>
  <si>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</si>
  <si>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</si>
  <si>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</si>
  <si>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</si>
  <si>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</si>
  <si>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</si>
  <si>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</si>
  <si>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</si>
  <si>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</si>
  <si>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</si>
  <si>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</si>
  <si>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</si>
  <si>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</si>
  <si>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</si>
  <si>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</si>
  <si>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</si>
  <si>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</si>
  <si>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</si>
  <si>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</si>
  <si>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</si>
  <si>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</si>
  <si>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</si>
  <si>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</si>
  <si>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</si>
  <si>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</si>
  <si>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</si>
  <si>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</si>
  <si>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</si>
  <si>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</si>
  <si>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</si>
  <si>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</si>
  <si>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</si>
  <si>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</si>
  <si>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</si>
  <si>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</si>
  <si>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</si>
  <si>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</si>
  <si>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</si>
  <si>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</si>
  <si>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</si>
  <si>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</si>
  <si>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</si>
  <si>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</si>
  <si>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</si>
  <si>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</si>
  <si>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</si>
  <si>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</si>
  <si>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</si>
  <si>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</si>
  <si>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</si>
  <si>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</si>
  <si>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</si>
  <si>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</si>
  <si>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</si>
  <si>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</si>
  <si>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</si>
  <si>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</si>
  <si>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</si>
  <si>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</si>
  <si>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</si>
  <si>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</si>
  <si>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</si>
  <si>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</si>
  <si>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</si>
  <si>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</si>
  <si>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</si>
  <si>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</si>
  <si>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</si>
  <si>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</si>
  <si>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</si>
  <si>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</si>
  <si>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</si>
  <si>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</si>
  <si>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</si>
  <si>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</si>
  <si>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</si>
  <si>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</si>
  <si>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</si>
  <si>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</si>
  <si>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</si>
  <si>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</si>
  <si>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</si>
  <si>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</si>
  <si>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</si>
  <si>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</si>
  <si>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</si>
  <si>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</si>
  <si>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</si>
  <si>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</si>
  <si>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</si>
  <si>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</si>
  <si>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</si>
  <si>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</si>
  <si>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</si>
  <si>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</si>
  <si>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</si>
  <si>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</si>
  <si>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</si>
  <si>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</si>
  <si>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</si>
  <si>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</si>
  <si>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</si>
  <si>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</si>
  <si>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</si>
  <si>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</si>
  <si>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</si>
  <si>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</si>
  <si>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</si>
  <si>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</si>
  <si>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</si>
  <si>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</si>
  <si>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</si>
  <si>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</si>
  <si>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</si>
  <si>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</si>
  <si>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</si>
  <si>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</si>
  <si>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</si>
  <si>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</si>
  <si>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</si>
  <si>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</si>
  <si>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</si>
  <si>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</si>
  <si>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</si>
  <si>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</si>
  <si>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</si>
  <si>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</si>
  <si>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</si>
  <si>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</si>
  <si>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</si>
  <si>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</si>
  <si>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</si>
  <si>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</si>
  <si>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</si>
  <si>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</si>
  <si>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</si>
  <si>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</si>
  <si>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</si>
  <si>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</si>
  <si>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</si>
  <si>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</si>
  <si>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</si>
  <si>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</si>
  <si>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</si>
  <si>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</si>
  <si>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</si>
  <si>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</si>
  <si>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</si>
  <si>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</si>
  <si>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</si>
  <si>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</si>
  <si>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</si>
  <si>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</si>
  <si>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</si>
  <si>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</si>
  <si>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</si>
  <si>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</si>
  <si>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</si>
  <si>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</si>
  <si>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</si>
  <si>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</si>
  <si>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</si>
  <si>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</si>
  <si>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</si>
  <si>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</si>
  <si>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</si>
  <si>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</si>
  <si>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</si>
  <si>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</si>
  <si>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</si>
  <si>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</si>
  <si>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</si>
  <si>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</si>
  <si>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</si>
  <si>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</si>
  <si>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</si>
  <si>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</si>
  <si>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</si>
  <si>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</si>
  <si>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</si>
  <si>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</si>
  <si>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</si>
  <si>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</si>
  <si>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</si>
  <si>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</si>
  <si>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</si>
  <si>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</si>
  <si>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</si>
  <si>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</si>
  <si>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</si>
  <si>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</si>
  <si>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</si>
  <si>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</si>
  <si>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</si>
  <si>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</si>
  <si>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</si>
  <si>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</si>
  <si>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</si>
  <si>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</si>
  <si>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</si>
  <si>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</si>
  <si>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</si>
  <si>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</si>
  <si>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</si>
  <si>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</si>
  <si>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КИ - 29 паллет + СЫРЫ (ПРС)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</si>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</sst>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66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50"/>
  <sheetViews>
    <sheetView tabSelected="1" zoomScale="70" zoomScaleNormal="70" workbookViewId="0">
      <pane ySplit="2" topLeftCell="A7119" activePane="bottomLeft" state="frozen"/>
      <selection pane="bottomLeft" activeCell="M7145" sqref="M714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35" t="s">
        <v>0</v>
      </c>
      <c r="B1" s="1035"/>
      <c r="C1" s="1035"/>
      <c r="D1" s="1035"/>
      <c r="E1" s="1035"/>
      <c r="F1" s="1035"/>
      <c r="G1" s="1035"/>
      <c r="H1" s="1035"/>
      <c r="I1" s="1035"/>
      <c r="J1" s="1035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36">
        <v>1</v>
      </c>
      <c r="B3" s="103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36"/>
      <c r="B4" s="103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32">
        <v>3</v>
      </c>
      <c r="B6" s="1032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32"/>
      <c r="B7" s="1032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32"/>
      <c r="B8" s="1032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32">
        <v>5</v>
      </c>
      <c r="B10" s="1032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32"/>
      <c r="B11" s="1032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0">
        <v>8</v>
      </c>
      <c r="B14" s="103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0"/>
      <c r="B15" s="103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32">
        <v>11</v>
      </c>
      <c r="B18" s="1032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32"/>
      <c r="B19" s="1032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32"/>
      <c r="B20" s="1032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32"/>
      <c r="B21" s="1032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32">
        <v>13</v>
      </c>
      <c r="B23" s="1032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32"/>
      <c r="B24" s="1032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0">
        <v>14</v>
      </c>
      <c r="B25" s="103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0"/>
      <c r="B26" s="103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32">
        <v>15</v>
      </c>
      <c r="B27" s="1032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32"/>
      <c r="B28" s="1032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32"/>
      <c r="B29" s="1032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32"/>
      <c r="B30" s="1032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0">
        <v>16</v>
      </c>
      <c r="B31" s="103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0"/>
      <c r="B32" s="103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0"/>
      <c r="B33" s="103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0"/>
      <c r="B34" s="103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32">
        <v>17</v>
      </c>
      <c r="B35" s="1032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32"/>
      <c r="B36" s="1032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32">
        <v>21</v>
      </c>
      <c r="B40" s="1032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32"/>
      <c r="B41" s="1032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32">
        <v>23</v>
      </c>
      <c r="B43" s="1032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32"/>
      <c r="B44" s="1032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32"/>
      <c r="B45" s="1032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0">
        <v>24</v>
      </c>
      <c r="B46" s="103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0"/>
      <c r="B47" s="103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32">
        <v>25</v>
      </c>
      <c r="B48" s="1032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32"/>
      <c r="B49" s="1032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32"/>
      <c r="B50" s="1032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0">
        <v>26</v>
      </c>
      <c r="B51" s="103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0"/>
      <c r="B52" s="103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32">
        <v>29</v>
      </c>
      <c r="B55" s="1032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32"/>
      <c r="B56" s="1032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0">
        <v>32</v>
      </c>
      <c r="B59" s="103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0"/>
      <c r="B60" s="103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0">
        <v>34</v>
      </c>
      <c r="B62" s="103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0"/>
      <c r="B63" s="103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0"/>
      <c r="B64" s="103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0"/>
      <c r="B65" s="103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0"/>
      <c r="B66" s="103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32">
        <v>35</v>
      </c>
      <c r="B67" s="1032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32"/>
      <c r="B68" s="1032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17">
        <v>40</v>
      </c>
      <c r="B73" s="103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17"/>
      <c r="B74" s="103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16">
        <v>41</v>
      </c>
      <c r="B75" s="1032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16"/>
      <c r="B76" s="1032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16"/>
      <c r="B77" s="1032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17">
        <v>42</v>
      </c>
      <c r="B78" s="103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17"/>
      <c r="B79" s="103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16">
        <v>49</v>
      </c>
      <c r="B86" s="1032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16"/>
      <c r="B87" s="1032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16"/>
      <c r="B88" s="1032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17">
        <v>50</v>
      </c>
      <c r="B89" s="103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17"/>
      <c r="B90" s="103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16">
        <v>51</v>
      </c>
      <c r="B91" s="1032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16"/>
      <c r="B92" s="1032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16">
        <v>53</v>
      </c>
      <c r="B94" s="1032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16"/>
      <c r="B95" s="1032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17">
        <v>54</v>
      </c>
      <c r="B96" s="103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17"/>
      <c r="B97" s="103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17"/>
      <c r="B98" s="103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17">
        <v>58</v>
      </c>
      <c r="B102" s="103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17"/>
      <c r="B103" s="103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17">
        <v>60</v>
      </c>
      <c r="B105" s="103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17"/>
      <c r="B106" s="103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17"/>
      <c r="B107" s="103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16">
        <v>61</v>
      </c>
      <c r="B108" s="1032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16"/>
      <c r="B109" s="1032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16"/>
      <c r="B110" s="1032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17">
        <v>64</v>
      </c>
      <c r="B113" s="103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17"/>
      <c r="B114" s="103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17">
        <v>66</v>
      </c>
      <c r="B116" s="103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17"/>
      <c r="B117" s="103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16">
        <v>67</v>
      </c>
      <c r="B118" s="1032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16"/>
      <c r="B119" s="1032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16"/>
      <c r="B120" s="1032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17">
        <v>68</v>
      </c>
      <c r="B121" s="103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17"/>
      <c r="B122" s="103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16">
        <v>69</v>
      </c>
      <c r="B123" s="1032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16"/>
      <c r="B124" s="1032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17">
        <v>72</v>
      </c>
      <c r="B127" s="1030" t="s">
        <v>65</v>
      </c>
      <c r="C127" s="119" t="s">
        <v>26</v>
      </c>
      <c r="D127" s="120">
        <v>3.3</v>
      </c>
      <c r="E127" s="121"/>
      <c r="F127" s="122" t="s">
        <v>30</v>
      </c>
      <c r="G127" s="102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17"/>
      <c r="B128" s="1030"/>
      <c r="C128" s="103" t="s">
        <v>26</v>
      </c>
      <c r="D128" s="88">
        <v>12.9</v>
      </c>
      <c r="E128" s="106"/>
      <c r="F128" s="107" t="s">
        <v>16</v>
      </c>
      <c r="G128" s="102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17">
        <v>76</v>
      </c>
      <c r="B132" s="103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17"/>
      <c r="B133" s="103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17"/>
      <c r="B134" s="103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17"/>
      <c r="B135" s="103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17">
        <v>78</v>
      </c>
      <c r="B137" s="103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17"/>
      <c r="B138" s="103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3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3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1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1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1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1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1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1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1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1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1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1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1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1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1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1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1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1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1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1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1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1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1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1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34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1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34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1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1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1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1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1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1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1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1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1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1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1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1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1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1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1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1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1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1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1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1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1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1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1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1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1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1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1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1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1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1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1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1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1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1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1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1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1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1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1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1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1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2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1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2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1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1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1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1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1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1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1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1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1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1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1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1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1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1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1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1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1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1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1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1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1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1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1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1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1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1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1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1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1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1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1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1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3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1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3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1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1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1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2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1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2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1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1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1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1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1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1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1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1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1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1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1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1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1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1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1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1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1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1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1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1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1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1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1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1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1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1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1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1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1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34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1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34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1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1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1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1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1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1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1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1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1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1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1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1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1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1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1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1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1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1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1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1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1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1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1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1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1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1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1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1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1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1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1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1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1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1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1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1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1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1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1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1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1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1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1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1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1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1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1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1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1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1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1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1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1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1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1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1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1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1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1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1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1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1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1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1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1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1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1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1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1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1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1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1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1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1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1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1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37" t="s">
        <v>133</v>
      </c>
      <c r="J420" s="1037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1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1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1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1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1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1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1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1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1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1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1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1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1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1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1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1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1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1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1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1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1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1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1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1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1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2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1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2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1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1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1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1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1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1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1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1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2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2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2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1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1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1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1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1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1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1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1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1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1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1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1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1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1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1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1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1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1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1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1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1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1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1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1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1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1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41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1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41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1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41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1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41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1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41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1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1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1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1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1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1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1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1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1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1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1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1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1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1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1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1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1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1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1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1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1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1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1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1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1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1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1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1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1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1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1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1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1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1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1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1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1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1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1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1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2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1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2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1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1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1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1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1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1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1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1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1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1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1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1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1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1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1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1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1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1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1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1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1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1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1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1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1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1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1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1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1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1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1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1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1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1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1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1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1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1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1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1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1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1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1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1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1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1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1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1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1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1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1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1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1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1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1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1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1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1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1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1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1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1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1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1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1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1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1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1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1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1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1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1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1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1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1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1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1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1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1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1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1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0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1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0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1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1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1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1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1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1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1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1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1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1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1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1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1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1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1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1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1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1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1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1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1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1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1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1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1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1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1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1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1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1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102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102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2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1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1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1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102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2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1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1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1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102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2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1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1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1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1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1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1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1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1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1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1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1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1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1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1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1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1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1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1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1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1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1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1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42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1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42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1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1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1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1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1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1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1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1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1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1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1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1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1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1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1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1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102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102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102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102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102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2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1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1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1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1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1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1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1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1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24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24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24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24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24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1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1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1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1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1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2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2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1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1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1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1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1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1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1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1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1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1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1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1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1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1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1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1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1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1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1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1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1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1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1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1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1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2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1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2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1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1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1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1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1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1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1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1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1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1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1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1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1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1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1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1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1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1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1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1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1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1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1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1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1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1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1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1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1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1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1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1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1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1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1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1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1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1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1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1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1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1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1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1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1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1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1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1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1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1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1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1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1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1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1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1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1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1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1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1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1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1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1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1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1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1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1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1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1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1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1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1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1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1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1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1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1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1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1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1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1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1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1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1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1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1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1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1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1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1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1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1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1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2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1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2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1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1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1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1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1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1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1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1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1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1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1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1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1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1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1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1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1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1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1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1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1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6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6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1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1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1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1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1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1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1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1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1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1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1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1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1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1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1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1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1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1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1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1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1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1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1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1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1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1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1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1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1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1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1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1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1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1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1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1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1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1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1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1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2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2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1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1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1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1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1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1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1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1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1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1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1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1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1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1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1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1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1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1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1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1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1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1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1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1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1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1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1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1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1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1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1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1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1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1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1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1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1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1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1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1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1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1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1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1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1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1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1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1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1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1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1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1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1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1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1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1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1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1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1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1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1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1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1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1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2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1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2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1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1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1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1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1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1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1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1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1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1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1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1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1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1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1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1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1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1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1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1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1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1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1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1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1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1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2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1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2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1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1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1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1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1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1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1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1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1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1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1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1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1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1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1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1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1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1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1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1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1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1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1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1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1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1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1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1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1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1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1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2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1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2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1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1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1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1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1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1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1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1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1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1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1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1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1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1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1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1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1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1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1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1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1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1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1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1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1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1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2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1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2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1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1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1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1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1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1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1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1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1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1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1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1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1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1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1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1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1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1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1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1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1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1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1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1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1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1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1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1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1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1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1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1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1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1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1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1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2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1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2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1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1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1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1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1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1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1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1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1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1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1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1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1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1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1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1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1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1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1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1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1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1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1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1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1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1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1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1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1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1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1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1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1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1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1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1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1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1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1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1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1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1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1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1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1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1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1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1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1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1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1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1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1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1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1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1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1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2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1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2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1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1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1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1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1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1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1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1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1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1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1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1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1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1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1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1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1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1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1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1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1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1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1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1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1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1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1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1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1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1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1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1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1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1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1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1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1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1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1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1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1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1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1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1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1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1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1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1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1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1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1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1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1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1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1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1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1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1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1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1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1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1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1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1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1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1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1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1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1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1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1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1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1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1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1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1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1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1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1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1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1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1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1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1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1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1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1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1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1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1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1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1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1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1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1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1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1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1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1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1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1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1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2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1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2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1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1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1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1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1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1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1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1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1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1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1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1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1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1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1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1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1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1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1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1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1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1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1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1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1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1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1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1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1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1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1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1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1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1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1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1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1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1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1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1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1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1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1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1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1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1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1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1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1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1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1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1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1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1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1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1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1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1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1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1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1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1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1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1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1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1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1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1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1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2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1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2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1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1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1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1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1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1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1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1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1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1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1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1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1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1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1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1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1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1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1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1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1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1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1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1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1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1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1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1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1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1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1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1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1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1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1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1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1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1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1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2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1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2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1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1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1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1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1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1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1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1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1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1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1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1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1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1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1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1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1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1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1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1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1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1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1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1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1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1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1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1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1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1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1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1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1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1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1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1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1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1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1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16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1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1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1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1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1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1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1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1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1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1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1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1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1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1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1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1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1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1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1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1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1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1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2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1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2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1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1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1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1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1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1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1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1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1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1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1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1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1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1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1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1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1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1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1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1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1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1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1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1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1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1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1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1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1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1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1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1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1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1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1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1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1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1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1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1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1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1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1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1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1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1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1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1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1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1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1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1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1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1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1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1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1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1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1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1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1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1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1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16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1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1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1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1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16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1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1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1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1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1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1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1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1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1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1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1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1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1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1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1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1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1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1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1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1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1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1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1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1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1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1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2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1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2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16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1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1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1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1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1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1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1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1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1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1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1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1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1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1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1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1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1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1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1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1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1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1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1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1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1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1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1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1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1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1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1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1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1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1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1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1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1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1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1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2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2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2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1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1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1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1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1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1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16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1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1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1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1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1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1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1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1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1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1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1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1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1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1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1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1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1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1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1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1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1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1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16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1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1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1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1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2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1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2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16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1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1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1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1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1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1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1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1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1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1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1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1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1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1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1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1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1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1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1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1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1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1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1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1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1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1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1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1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1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1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1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1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1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1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1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1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1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16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1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1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1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1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1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1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1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1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1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1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1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1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1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1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1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1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1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1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1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1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1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1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4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44" t="s">
        <v>467</v>
      </c>
      <c r="H2160" s="414" t="s">
        <v>515</v>
      </c>
      <c r="I2160" s="415" t="s">
        <v>516</v>
      </c>
      <c r="J2160" s="1045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4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44"/>
      <c r="H2161" s="421" t="s">
        <v>515</v>
      </c>
      <c r="I2161" s="422" t="s">
        <v>516</v>
      </c>
      <c r="J2161" s="1045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4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44"/>
      <c r="H2162" s="429" t="s">
        <v>515</v>
      </c>
      <c r="I2162" s="430" t="s">
        <v>516</v>
      </c>
      <c r="J2162" s="1045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4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44" t="s">
        <v>467</v>
      </c>
      <c r="H2165" s="414" t="s">
        <v>516</v>
      </c>
      <c r="I2165" s="415" t="s">
        <v>516</v>
      </c>
      <c r="J2165" s="1045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4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44"/>
      <c r="H2166" s="429" t="s">
        <v>516</v>
      </c>
      <c r="I2166" s="430" t="s">
        <v>516</v>
      </c>
      <c r="J2166" s="1045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1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1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1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1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1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16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1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1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1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1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1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1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1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16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1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1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1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2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1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2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16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6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1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6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1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3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1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3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16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1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1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1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1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1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1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1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1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1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1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1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1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1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1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1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1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1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1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16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1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1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1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1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1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1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1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1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1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1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1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1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1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1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1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1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1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1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1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1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1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1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1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1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1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1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1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1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1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1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1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1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1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1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1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1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1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1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1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1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1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1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1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1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1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1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2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2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1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1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1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1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1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1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1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1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1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1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1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1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1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1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1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1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16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1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1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1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24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24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24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1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1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1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1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1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1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1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1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1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1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1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1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1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1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1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1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1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16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1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1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24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24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24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16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1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24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24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16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1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1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1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1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1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1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1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1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1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1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1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1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1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1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1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1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1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1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1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1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1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2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2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1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1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1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1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1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1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1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1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1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1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1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1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1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1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16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1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1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1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2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2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1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1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1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1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1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1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1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1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1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1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1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1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16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1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1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1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1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2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2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2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1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1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1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1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1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1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1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1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1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1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1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2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1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2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1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2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2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2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2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2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16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1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1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1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2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2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1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2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1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2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1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1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1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1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1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1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1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1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16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1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1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1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1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1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1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1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1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1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24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24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1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1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1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1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1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1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1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2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2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1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1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1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1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2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49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2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49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1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1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1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2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1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2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1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1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1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1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24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24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1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1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1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1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1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1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1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1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1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1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1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1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1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1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1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1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1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2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1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2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1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1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1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1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2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2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2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1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1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1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1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1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1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1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1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1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24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24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24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24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24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24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1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1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0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0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1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1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1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1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1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1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1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1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1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1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1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1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1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1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2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2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2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2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2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2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1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1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1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1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1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1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24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24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1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1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1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1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1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1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1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1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1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1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1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1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1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1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2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1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2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1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2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2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2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2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2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1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1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1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1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1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1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1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1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1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16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1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1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1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1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1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1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1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1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2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2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2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2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2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1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1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1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1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1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1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1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1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2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2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1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1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1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1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24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24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1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1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1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1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1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24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51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24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51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1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1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16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1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1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1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1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1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1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2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2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16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1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1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1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1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1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1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1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1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1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1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1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24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24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24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24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24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1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1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1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2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1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2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1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1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1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1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1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1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2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2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1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1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1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1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1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1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1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2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2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2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1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1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24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24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24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24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1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1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1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1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1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1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1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1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1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2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2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1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1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1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1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2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2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1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1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24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24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24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24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24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1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1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16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1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1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1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1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2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2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1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1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1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1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1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1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1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2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2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2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24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24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24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24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24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24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1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1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1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1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1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1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1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1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1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1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24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2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24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2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24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2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16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1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1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1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1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1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1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1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1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1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1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24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24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1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1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1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1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1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1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1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2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1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2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1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2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1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2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2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2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2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2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2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1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1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1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2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1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2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1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2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1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1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24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24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24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1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1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1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1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1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1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1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1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1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1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1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1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1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1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1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2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1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2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2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2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1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1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1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1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1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1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1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1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24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24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24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24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24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24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24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24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1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1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1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1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1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1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1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1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1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1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1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1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24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24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1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1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1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1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1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1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1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1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1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1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1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1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1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1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1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1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1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1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1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1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24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24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24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1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1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1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1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1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1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1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1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1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1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1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1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1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1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1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1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1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1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1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1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1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1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1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1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1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1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24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24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24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1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1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1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1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1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1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1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1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1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1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1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1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2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2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1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1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1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1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1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1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2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49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2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49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2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49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2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49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2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49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2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49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1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1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1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1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1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1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1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1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2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2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2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2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1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1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1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1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1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1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1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1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1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1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1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1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2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2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2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1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1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1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1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24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24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24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24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24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24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24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24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1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1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1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1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1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1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2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2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2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1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1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1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1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1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1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1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1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1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1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1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1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1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2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2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1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1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1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1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24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24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24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24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24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24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24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24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24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1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1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2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2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2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16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1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1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24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24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1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1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24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24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1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1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24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24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2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2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2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1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1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1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1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1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1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2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2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2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2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2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2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2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2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1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1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1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1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1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1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2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2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1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1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1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1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1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1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1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1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1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1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1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2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2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2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2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2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2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1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1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1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1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1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1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1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1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24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24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24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24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1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1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1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1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1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1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1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1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2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2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1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1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1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1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1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1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1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1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1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1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1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2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49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2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49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2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49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1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1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1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1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1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1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1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1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1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1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1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1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1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24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24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24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24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24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1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1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1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2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1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2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1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1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2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2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1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1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1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1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1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1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1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1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1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1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24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24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24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24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24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24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24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1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1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1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2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1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2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1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1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1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1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1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1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24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24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1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1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1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1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1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1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1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1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2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1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2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2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8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96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82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8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99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96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99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96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96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79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5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82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5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82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8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5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5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82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99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99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79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8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8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8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5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82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5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79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5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82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99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99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99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99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79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0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5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5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82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5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79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0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5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5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82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99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99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5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82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79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8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8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5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79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8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82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99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99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99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99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79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5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82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8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5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5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82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8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5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5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82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5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79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5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82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82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5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79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5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82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99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5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79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8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5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79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8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8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8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8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82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5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79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0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5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5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82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5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79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5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82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99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99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5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2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8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5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5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79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8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5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82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5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79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0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5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5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82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99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99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99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99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79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5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79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5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79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0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5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5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82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99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5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79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8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5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82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99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5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79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8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8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79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5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82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99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5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82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99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99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79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79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8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8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8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8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82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5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82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8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99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96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5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5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99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5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79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8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5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99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8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5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5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79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8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8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5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82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5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82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5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79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5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79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8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8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8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82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5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82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99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5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79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5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82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5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79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5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82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8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5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5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79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82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99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5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79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5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82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5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79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5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82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5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82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8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8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8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8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8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82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5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82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5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79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8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8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5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82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99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99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99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99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5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82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5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79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8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8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5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79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8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8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8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8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82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5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82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8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5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5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79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5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2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5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79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5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2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8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96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5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5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79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0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5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5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2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5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79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5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2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79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5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2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5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79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5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2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5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79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5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2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8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5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5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2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5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79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5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79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5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2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79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79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8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8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8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82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5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82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79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0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5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5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82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99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99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99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99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99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5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79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8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8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82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99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5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82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5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79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5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82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99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5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82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5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100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105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5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82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99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99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99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99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5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79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5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82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99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5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79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5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82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5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82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5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79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8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82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99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79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82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8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8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82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79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0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0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82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99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99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99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79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82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82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99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79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82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99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79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0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99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0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79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79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8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82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99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79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8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8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8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82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79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8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82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99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99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79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82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99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99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82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79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8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82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79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8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8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8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82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79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8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82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79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82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82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99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82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79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79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8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82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99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99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99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82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79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79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79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82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99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79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8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8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82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99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2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8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8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79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8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79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8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82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99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99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82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79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0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99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99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0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82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99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82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79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8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82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79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8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79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0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0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82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79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8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79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82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79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82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79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8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8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8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82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99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82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8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99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96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99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96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8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79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82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82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79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8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82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79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0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0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79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79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8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8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8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8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82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79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8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82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82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99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79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8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82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99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79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8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79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82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79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8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99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99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79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0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0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99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79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82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99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99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79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82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79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8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8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82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79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79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79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82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99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99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82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82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99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99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79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79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82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99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79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8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79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8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79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8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82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82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99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99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79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0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99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82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79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82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79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82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82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99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79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82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79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8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82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99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79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82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82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79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8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82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99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82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82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79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82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79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82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99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79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8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79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8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82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79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8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2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8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96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8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79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8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79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79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82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99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82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79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82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99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99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82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2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8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8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79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79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79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82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99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99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79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82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82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82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99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79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8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82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79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8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82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79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82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79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79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2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79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2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79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2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2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8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8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82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99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79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8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82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99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79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79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82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79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82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79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0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99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99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0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79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79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0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0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2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2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79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2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8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8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2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79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79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8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8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82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8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96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79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79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82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79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2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8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8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82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99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79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8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79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0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0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82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82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82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79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8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8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82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79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82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79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0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8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99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0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82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82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8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8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79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82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99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99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79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0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0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82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79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82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79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82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8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8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79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8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82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2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8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8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79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8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8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82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79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8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82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99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99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79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82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79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2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8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8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79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79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8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2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8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96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79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79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8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82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99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82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82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79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8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8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82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8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8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82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79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0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0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82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99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79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82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79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2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8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8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79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82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79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0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0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82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79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8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82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79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8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79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0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0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82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79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8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82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82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99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79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8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79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0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0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79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0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0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82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82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99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79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8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82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79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79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0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0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79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8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82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79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0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0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82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79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8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82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8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99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96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96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79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0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0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99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99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99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99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82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79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82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8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99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58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99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99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79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82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99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79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82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82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79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0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8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99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0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82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79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0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0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79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8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8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79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8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82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99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82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8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99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96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99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96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96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79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82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8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8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82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79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8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82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8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8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79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82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99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99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79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2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8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8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79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8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79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82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99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79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79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8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8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79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79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82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99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99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79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8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82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79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82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82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8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96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79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8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8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82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8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8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82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2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8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8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82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99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79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82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79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0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0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79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8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82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99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99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79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8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82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82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8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8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79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82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99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79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82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99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79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82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79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82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82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79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8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82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79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79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0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99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82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99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79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82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99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99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79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8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79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82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79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8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82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99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99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79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82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82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82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8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99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96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99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96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99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96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96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79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79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8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8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79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8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8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82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79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8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82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99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82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99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79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79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0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0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79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0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8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99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8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99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99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82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79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82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82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79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79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8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8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99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79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96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96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79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82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8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8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79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82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8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96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79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82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79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82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79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82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8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8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82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79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82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79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82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99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79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79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79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8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82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82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79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8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79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8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82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99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79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8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82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79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0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0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82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99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82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79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82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82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8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8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82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79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82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79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0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0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79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8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8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8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82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99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82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79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0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0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79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0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8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99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8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99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8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99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0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82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99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79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8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8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8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2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8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8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79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82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99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82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82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79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8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82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79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82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82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99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99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79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82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99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79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82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79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0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0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79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82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82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82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99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99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82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79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82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79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0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0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82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13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14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100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100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1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79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100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0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6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1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6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100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1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79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100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8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0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105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94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101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1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100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0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79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79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8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8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8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79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79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8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82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82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82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99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79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79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79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8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82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99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79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8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82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79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8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79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8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8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79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1.5" hidden="1" x14ac:dyDescent="0.25">
      <c r="A6650" s="98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82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79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0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0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79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100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0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94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94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95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86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88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82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82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86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88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93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95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86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87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87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88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93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94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95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86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88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93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95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86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87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88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93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95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86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87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88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82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99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99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79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8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8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93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95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93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0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94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1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95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79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99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99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93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8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95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96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86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88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82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79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82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100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15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93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95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93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95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93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94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95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79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81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82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99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79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81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79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93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94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95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86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87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87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88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93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94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94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79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1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79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93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94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94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95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86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87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87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93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95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86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87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87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93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8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95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8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79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0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1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0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82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79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81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1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86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87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87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87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82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82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99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99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idden="1" x14ac:dyDescent="0.25">
      <c r="A6812" s="979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81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81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79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81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81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81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82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99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99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99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99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99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86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87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87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88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82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99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86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87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88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86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87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87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87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82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99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87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87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87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87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88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93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95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86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88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93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94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94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95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93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0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94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1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95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79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idden="1" x14ac:dyDescent="0.25">
      <c r="A6866" s="982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idden="1" x14ac:dyDescent="0.25">
      <c r="A6870" s="986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87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88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idden="1" x14ac:dyDescent="0.25">
      <c r="A6873" s="993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994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95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idden="1" x14ac:dyDescent="0.25">
      <c r="A6876" s="986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99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88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99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idden="1" x14ac:dyDescent="0.25">
      <c r="A6878" s="982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8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8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idden="1" x14ac:dyDescent="0.25">
      <c r="A6881" s="982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idden="1" x14ac:dyDescent="0.25">
      <c r="A6887" s="986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88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idden="1" x14ac:dyDescent="0.25">
      <c r="A6889" s="982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idden="1" x14ac:dyDescent="0.25">
      <c r="A6891" s="979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idden="1" x14ac:dyDescent="0.25">
      <c r="A6893" s="982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idden="1" x14ac:dyDescent="0.25">
      <c r="A6894" s="99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idden="1" x14ac:dyDescent="0.25">
      <c r="A6896" s="986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idden="1" x14ac:dyDescent="0.25">
      <c r="A6897" s="987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88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idden="1" x14ac:dyDescent="0.25">
      <c r="A6899" s="993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idden="1" x14ac:dyDescent="0.25">
      <c r="A6900" s="994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95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6.25" hidden="1" x14ac:dyDescent="0.25">
      <c r="A6902" s="979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idden="1" x14ac:dyDescent="0.25">
      <c r="A6903" s="981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idden="1" x14ac:dyDescent="0.25">
      <c r="A6904" s="981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1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idden="1" x14ac:dyDescent="0.25">
      <c r="A6908" s="982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idden="1" x14ac:dyDescent="0.25">
      <c r="A6909" s="99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idden="1" x14ac:dyDescent="0.25">
      <c r="A6910" s="99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7.5" hidden="1" x14ac:dyDescent="0.25">
      <c r="A6912" s="1011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2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idden="1" x14ac:dyDescent="0.25">
      <c r="A6915" s="979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idden="1" x14ac:dyDescent="0.25">
      <c r="A6916" s="981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idden="1" x14ac:dyDescent="0.25">
      <c r="A6917" s="981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idden="1" x14ac:dyDescent="0.25">
      <c r="A6918" s="981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idden="1" x14ac:dyDescent="0.25">
      <c r="A6920" s="982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idden="1" x14ac:dyDescent="0.25">
      <c r="A6921" s="99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idden="1" x14ac:dyDescent="0.25">
      <c r="A6924" s="982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idden="1" x14ac:dyDescent="0.25">
      <c r="A6926" s="986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88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idden="1" x14ac:dyDescent="0.25">
      <c r="A6928" s="982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idden="1" x14ac:dyDescent="0.25">
      <c r="A6929" s="99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idden="1" x14ac:dyDescent="0.25">
      <c r="A6930" s="99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idden="1" x14ac:dyDescent="0.25">
      <c r="A6932" s="986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0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idden="1" x14ac:dyDescent="0.25">
      <c r="A6933" s="987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99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idden="1" x14ac:dyDescent="0.25">
      <c r="A6934" s="987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99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88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0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idden="1" x14ac:dyDescent="0.25">
      <c r="A6936" s="982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idden="1" x14ac:dyDescent="0.25">
      <c r="A6939" s="982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idden="1" x14ac:dyDescent="0.25">
      <c r="A6941" s="986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88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idden="1" x14ac:dyDescent="0.25">
      <c r="A6943" s="993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0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idden="1" x14ac:dyDescent="0.25">
      <c r="A6944" s="994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1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idden="1" x14ac:dyDescent="0.25">
      <c r="A6945" s="994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0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idden="1" x14ac:dyDescent="0.25">
      <c r="A6946" s="994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0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995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idden="1" x14ac:dyDescent="0.25">
      <c r="A6948" s="986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99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idden="1" x14ac:dyDescent="0.25">
      <c r="A6949" s="987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99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88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0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idden="1" x14ac:dyDescent="0.25">
      <c r="A6951" s="982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idden="1" x14ac:dyDescent="0.25">
      <c r="A6958" s="982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idden="1" x14ac:dyDescent="0.25">
      <c r="A6959" s="99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idden="1" x14ac:dyDescent="0.25">
      <c r="A6961" s="986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88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idden="1" x14ac:dyDescent="0.25">
      <c r="A6963" s="982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idden="1" x14ac:dyDescent="0.25">
      <c r="A6964" s="99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idden="1" x14ac:dyDescent="0.25">
      <c r="A6965" s="99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idden="1" x14ac:dyDescent="0.25">
      <c r="A6966" s="99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idden="1" x14ac:dyDescent="0.25">
      <c r="A6968" s="986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88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idden="1" x14ac:dyDescent="0.25">
      <c r="A6970" s="982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idden="1" x14ac:dyDescent="0.25">
      <c r="A6971" s="99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idden="1" x14ac:dyDescent="0.25">
      <c r="A6972" s="99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idden="1" x14ac:dyDescent="0.25">
      <c r="A6973" s="99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6.25" hidden="1" x14ac:dyDescent="0.25">
      <c r="A6975" s="979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idden="1" x14ac:dyDescent="0.25">
      <c r="A6976" s="981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idden="1" x14ac:dyDescent="0.25">
      <c r="A6977" s="981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1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idden="1" x14ac:dyDescent="0.25">
      <c r="A6981" s="982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idden="1" x14ac:dyDescent="0.25">
      <c r="A6982" s="99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idden="1" x14ac:dyDescent="0.25">
      <c r="A6983" s="99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idden="1" x14ac:dyDescent="0.25">
      <c r="A6985" s="986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88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idden="1" x14ac:dyDescent="0.25">
      <c r="A6987" s="982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idden="1" x14ac:dyDescent="0.25">
      <c r="A6989" s="979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idden="1" x14ac:dyDescent="0.25">
      <c r="A6990" s="981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0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idden="1" x14ac:dyDescent="0.25">
      <c r="A6992" s="982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idden="1" x14ac:dyDescent="0.25">
      <c r="A6993" s="99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idden="1" x14ac:dyDescent="0.25">
      <c r="A6994" s="99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idden="1" x14ac:dyDescent="0.25">
      <c r="A6996" s="986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idden="1" x14ac:dyDescent="0.25">
      <c r="A6997" s="987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88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993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84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idden="1" x14ac:dyDescent="0.25">
      <c r="A7000" s="994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996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994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996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994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996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995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85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idden="1" x14ac:dyDescent="0.25">
      <c r="A7004" s="986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88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idden="1" x14ac:dyDescent="0.25">
      <c r="A7006" s="982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idden="1" x14ac:dyDescent="0.25">
      <c r="A7011" s="982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idden="1" x14ac:dyDescent="0.25">
      <c r="A7012" s="99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idden="1" x14ac:dyDescent="0.25">
      <c r="A7014" s="986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0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88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0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idden="1" x14ac:dyDescent="0.25">
      <c r="A7017" s="986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idden="1" x14ac:dyDescent="0.25">
      <c r="A7018" s="987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88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idden="1" x14ac:dyDescent="0.25">
      <c r="A7026" s="982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idden="1" x14ac:dyDescent="0.25">
      <c r="A7028" s="979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idden="1" x14ac:dyDescent="0.25">
      <c r="A7029" s="981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0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idden="1" x14ac:dyDescent="0.25">
      <c r="A7032" s="979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idden="1" x14ac:dyDescent="0.25">
      <c r="A7033" s="981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80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idden="1" x14ac:dyDescent="0.25">
      <c r="A7035" s="982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idden="1" x14ac:dyDescent="0.25">
      <c r="A7037" s="986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88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idden="1" x14ac:dyDescent="0.25">
      <c r="A7039" s="982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idden="1" x14ac:dyDescent="0.25">
      <c r="A7042" s="982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7.5" hidden="1" x14ac:dyDescent="0.25">
      <c r="A7043" s="99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idden="1" x14ac:dyDescent="0.25">
      <c r="A7044" s="99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idden="1" x14ac:dyDescent="0.25">
      <c r="A7045" s="99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idden="1" x14ac:dyDescent="0.25">
      <c r="A7047" s="986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idden="1" x14ac:dyDescent="0.25">
      <c r="A7048" s="987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88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6.25" hidden="1" x14ac:dyDescent="0.25">
      <c r="A7050" s="982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idden="1" x14ac:dyDescent="0.25">
      <c r="A7051" s="99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idden="1" x14ac:dyDescent="0.25">
      <c r="A7052" s="99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idden="1" x14ac:dyDescent="0.25">
      <c r="A7054" s="986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88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82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20" ht="19.5" thickBot="1" x14ac:dyDescent="0.3">
      <c r="A7057" s="98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20" x14ac:dyDescent="0.25">
      <c r="A7058" s="979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20" x14ac:dyDescent="0.25">
      <c r="A7059" s="981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20" x14ac:dyDescent="0.25">
      <c r="A7060" s="981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20" ht="38.25" thickBot="1" x14ac:dyDescent="0.3">
      <c r="A7061" s="980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20" x14ac:dyDescent="0.25">
      <c r="A7063" s="986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89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20" x14ac:dyDescent="0.25">
      <c r="A7064" s="987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990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20" x14ac:dyDescent="0.25">
      <c r="A7065" s="987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990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20" ht="19.5" thickBot="1" x14ac:dyDescent="0.3">
      <c r="A7066" s="988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1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20" x14ac:dyDescent="0.25">
      <c r="A7067" s="982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84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20" ht="19.5" thickBot="1" x14ac:dyDescent="0.3">
      <c r="A7068" s="98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85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20" x14ac:dyDescent="0.25">
      <c r="A7069" s="979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R7069" s="943"/>
      <c r="T7069" s="974">
        <v>1318</v>
      </c>
    </row>
    <row r="7070" spans="1:20" x14ac:dyDescent="0.25">
      <c r="A7070" s="981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20" x14ac:dyDescent="0.25">
      <c r="A7071" s="981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20" ht="19.5" thickBot="1" x14ac:dyDescent="0.3">
      <c r="A7072" s="980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79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80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82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8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86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88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82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997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8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998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79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80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82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8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79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2340</v>
      </c>
    </row>
    <row r="7087" spans="1:19" ht="19.5" thickBot="1" x14ac:dyDescent="0.3">
      <c r="A7087" s="980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2341</v>
      </c>
    </row>
    <row r="7088" spans="1:19" ht="38.25" thickBot="1" x14ac:dyDescent="0.3">
      <c r="A7088" s="572">
        <f t="shared" ref="A7088:A709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2342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2343</v>
      </c>
    </row>
    <row r="7092" spans="1:18" ht="19.5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975"/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2346</v>
      </c>
    </row>
    <row r="7093" spans="1:18" x14ac:dyDescent="0.25">
      <c r="A7093" s="986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/>
      <c r="F7093" s="535" t="s">
        <v>16</v>
      </c>
      <c r="G7093" s="898"/>
      <c r="H7093" s="535" t="s">
        <v>2294</v>
      </c>
      <c r="I7093" s="537"/>
      <c r="J7093" s="538"/>
      <c r="K7093" s="563"/>
      <c r="L7093" s="567" t="s">
        <v>265</v>
      </c>
      <c r="M7093" s="567">
        <v>17539.759999999998</v>
      </c>
      <c r="N7093" s="571">
        <v>0.375</v>
      </c>
      <c r="O7093" s="897" t="s">
        <v>2304</v>
      </c>
    </row>
    <row r="7094" spans="1:18" ht="19.5" thickBot="1" x14ac:dyDescent="0.3">
      <c r="A7094" s="988"/>
      <c r="B7094" s="798" t="s">
        <v>2294</v>
      </c>
      <c r="C7094" s="799" t="s">
        <v>26</v>
      </c>
      <c r="D7094" s="800">
        <v>8.4649999999999999</v>
      </c>
      <c r="E7094" s="800"/>
      <c r="F7094" s="801" t="s">
        <v>16</v>
      </c>
      <c r="G7094" s="942" t="s">
        <v>76</v>
      </c>
      <c r="H7094" s="801" t="s">
        <v>2294</v>
      </c>
      <c r="I7094" s="801"/>
      <c r="J7094" s="803"/>
      <c r="K7094" s="848"/>
      <c r="L7094" s="801" t="s">
        <v>265</v>
      </c>
      <c r="M7094" s="801">
        <v>8487.7800000000007</v>
      </c>
      <c r="N7094" s="804">
        <v>0.375</v>
      </c>
      <c r="O7094" s="897" t="s">
        <v>2355</v>
      </c>
    </row>
    <row r="7095" spans="1:18" x14ac:dyDescent="0.25">
      <c r="A7095" s="982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/>
      <c r="F7095" s="483" t="s">
        <v>16</v>
      </c>
      <c r="G7095" s="899"/>
      <c r="H7095" s="483" t="s">
        <v>2294</v>
      </c>
      <c r="I7095" s="484"/>
      <c r="J7095" s="485"/>
      <c r="K7095" s="479"/>
      <c r="L7095" s="483" t="s">
        <v>265</v>
      </c>
      <c r="M7095" s="483">
        <v>17506.2</v>
      </c>
      <c r="N7095" s="486">
        <v>0.41666666666666669</v>
      </c>
      <c r="O7095" s="897" t="s">
        <v>2305</v>
      </c>
    </row>
    <row r="7096" spans="1:18" ht="19.5" thickBot="1" x14ac:dyDescent="0.3">
      <c r="A7096" s="983"/>
      <c r="B7096" s="805" t="s">
        <v>2294</v>
      </c>
      <c r="C7096" s="806" t="s">
        <v>26</v>
      </c>
      <c r="D7096" s="807">
        <v>6.5</v>
      </c>
      <c r="E7096" s="807"/>
      <c r="F7096" s="808" t="s">
        <v>16</v>
      </c>
      <c r="G7096" s="902" t="s">
        <v>76</v>
      </c>
      <c r="H7096" s="808" t="s">
        <v>2294</v>
      </c>
      <c r="I7096" s="808"/>
      <c r="J7096" s="810"/>
      <c r="K7096" s="887"/>
      <c r="L7096" s="808" t="s">
        <v>265</v>
      </c>
      <c r="M7096" s="808">
        <v>6525</v>
      </c>
      <c r="N7096" s="778">
        <v>0.41666666666666669</v>
      </c>
      <c r="O7096" s="897" t="s">
        <v>2356</v>
      </c>
    </row>
    <row r="7097" spans="1:18" ht="18.75" customHeight="1" x14ac:dyDescent="0.25">
      <c r="A7097" s="979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/>
      <c r="F7097" s="535" t="s">
        <v>16</v>
      </c>
      <c r="G7097" s="536"/>
      <c r="H7097" s="535" t="s">
        <v>2294</v>
      </c>
      <c r="I7097" s="537"/>
      <c r="J7097" s="538"/>
      <c r="K7097" s="531"/>
      <c r="L7097" s="535" t="s">
        <v>266</v>
      </c>
      <c r="M7097" s="535">
        <v>1707.42</v>
      </c>
      <c r="N7097" s="539">
        <v>0.45833333333333331</v>
      </c>
      <c r="O7097" s="897" t="s">
        <v>2314</v>
      </c>
      <c r="R7097" s="943"/>
    </row>
    <row r="7098" spans="1:18" x14ac:dyDescent="0.25">
      <c r="A7098" s="981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x14ac:dyDescent="0.25">
      <c r="A7099" s="981"/>
      <c r="B7099" s="563" t="s">
        <v>2261</v>
      </c>
      <c r="C7099" s="564" t="s">
        <v>981</v>
      </c>
      <c r="D7099" s="565">
        <v>4.726</v>
      </c>
      <c r="E7099" s="566"/>
      <c r="F7099" s="567" t="s">
        <v>16</v>
      </c>
      <c r="G7099" s="568"/>
      <c r="H7099" s="567" t="s">
        <v>2294</v>
      </c>
      <c r="I7099" s="569"/>
      <c r="J7099" s="570"/>
      <c r="K7099" s="563"/>
      <c r="L7099" s="567" t="s">
        <v>266</v>
      </c>
      <c r="M7099" s="567">
        <v>4727.74</v>
      </c>
      <c r="N7099" s="571">
        <v>0.45833333333333331</v>
      </c>
      <c r="O7099" s="897" t="s">
        <v>2313</v>
      </c>
      <c r="R7099" s="943"/>
    </row>
    <row r="7100" spans="1:18" x14ac:dyDescent="0.25">
      <c r="A7100" s="981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x14ac:dyDescent="0.25">
      <c r="A7101" s="981"/>
      <c r="B7101" s="563" t="s">
        <v>2261</v>
      </c>
      <c r="C7101" s="564" t="s">
        <v>32</v>
      </c>
      <c r="D7101" s="565">
        <v>6.7249999999999996</v>
      </c>
      <c r="E7101" s="566"/>
      <c r="F7101" s="567" t="s">
        <v>16</v>
      </c>
      <c r="G7101" s="568" t="s">
        <v>1702</v>
      </c>
      <c r="H7101" s="567" t="s">
        <v>2294</v>
      </c>
      <c r="I7101" s="569"/>
      <c r="J7101" s="570"/>
      <c r="K7101" s="563"/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R7101" s="943"/>
    </row>
    <row r="7102" spans="1:18" ht="19.5" thickBot="1" x14ac:dyDescent="0.3">
      <c r="A7102" s="980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1"/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4"/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2344</v>
      </c>
    </row>
    <row r="7104" spans="1:18" ht="19.5" thickBot="1" x14ac:dyDescent="0.3">
      <c r="A7104" s="503">
        <f>MAX(A6971:A7103)+1</f>
        <v>4389</v>
      </c>
      <c r="B7104" s="504" t="s">
        <v>2261</v>
      </c>
      <c r="C7104" s="505" t="s">
        <v>26</v>
      </c>
      <c r="D7104" s="506">
        <v>17.768999999999998</v>
      </c>
      <c r="E7104" s="507"/>
      <c r="F7104" s="508" t="s">
        <v>16</v>
      </c>
      <c r="G7104" s="509"/>
      <c r="H7104" s="508" t="s">
        <v>2301</v>
      </c>
      <c r="I7104" s="510"/>
      <c r="J7104" s="511"/>
      <c r="K7104" s="504"/>
      <c r="L7104" s="508" t="s">
        <v>265</v>
      </c>
      <c r="M7104" s="508">
        <v>17937.810000000001</v>
      </c>
      <c r="N7104" s="512">
        <v>0.375</v>
      </c>
      <c r="O7104" s="897" t="s">
        <v>2302</v>
      </c>
    </row>
    <row r="7105" spans="1:15" x14ac:dyDescent="0.25">
      <c r="A7105" s="982">
        <f>MAX(A6972:A7104)+1</f>
        <v>4390</v>
      </c>
      <c r="B7105" s="479" t="s">
        <v>2261</v>
      </c>
      <c r="C7105" s="480" t="s">
        <v>24</v>
      </c>
      <c r="D7105" s="481">
        <v>11.032</v>
      </c>
      <c r="E7105" s="482"/>
      <c r="F7105" s="483" t="s">
        <v>16</v>
      </c>
      <c r="G7105" s="549"/>
      <c r="H7105" s="483" t="s">
        <v>2301</v>
      </c>
      <c r="I7105" s="484"/>
      <c r="J7105" s="485"/>
      <c r="K7105" s="479"/>
      <c r="L7105" s="483" t="s">
        <v>28</v>
      </c>
      <c r="M7105" s="483">
        <v>11245.769999999999</v>
      </c>
      <c r="N7105" s="486">
        <v>0.41666666666666669</v>
      </c>
      <c r="O7105" s="897" t="s">
        <v>2306</v>
      </c>
    </row>
    <row r="7106" spans="1:15" ht="19.5" thickBot="1" x14ac:dyDescent="0.3">
      <c r="A7106" s="983"/>
      <c r="B7106" s="645" t="s">
        <v>2261</v>
      </c>
      <c r="C7106" s="646" t="s">
        <v>15</v>
      </c>
      <c r="D7106" s="647">
        <v>6.5730000000000004</v>
      </c>
      <c r="E7106" s="648"/>
      <c r="F7106" s="649" t="s">
        <v>16</v>
      </c>
      <c r="G7106" s="650"/>
      <c r="H7106" s="649" t="s">
        <v>2301</v>
      </c>
      <c r="I7106" s="651"/>
      <c r="J7106" s="652"/>
      <c r="K7106" s="645"/>
      <c r="L7106" s="649" t="s">
        <v>28</v>
      </c>
      <c r="M7106" s="649">
        <v>6731.05</v>
      </c>
      <c r="N7106" s="653">
        <v>0.41666666666666669</v>
      </c>
      <c r="O7106" s="897" t="s">
        <v>2307</v>
      </c>
    </row>
    <row r="7107" spans="1:15" ht="19.5" thickBot="1" x14ac:dyDescent="0.3">
      <c r="A7107" s="551">
        <f>MAX(A6974:A7106)+1</f>
        <v>4391</v>
      </c>
      <c r="B7107" s="552" t="s">
        <v>2261</v>
      </c>
      <c r="C7107" s="553" t="s">
        <v>23</v>
      </c>
      <c r="D7107" s="554">
        <v>17.905000000000001</v>
      </c>
      <c r="E7107" s="555"/>
      <c r="F7107" s="556" t="s">
        <v>16</v>
      </c>
      <c r="G7107" s="557"/>
      <c r="H7107" s="556" t="s">
        <v>2301</v>
      </c>
      <c r="I7107" s="558"/>
      <c r="J7107" s="559"/>
      <c r="K7107" s="552"/>
      <c r="L7107" s="556" t="s">
        <v>28</v>
      </c>
      <c r="M7107" s="556">
        <v>18046.53</v>
      </c>
      <c r="N7107" s="560">
        <v>0.45833333333333331</v>
      </c>
      <c r="O7107" s="897" t="s">
        <v>2308</v>
      </c>
    </row>
    <row r="7108" spans="1:15" x14ac:dyDescent="0.25">
      <c r="A7108" s="982">
        <f>MAX(A6975:A7107)+1</f>
        <v>4392</v>
      </c>
      <c r="B7108" s="479" t="s">
        <v>2279</v>
      </c>
      <c r="C7108" s="480" t="s">
        <v>26</v>
      </c>
      <c r="D7108" s="481">
        <v>17.033999999999999</v>
      </c>
      <c r="E7108" s="482"/>
      <c r="F7108" s="483" t="s">
        <v>16</v>
      </c>
      <c r="G7108" s="549"/>
      <c r="H7108" s="483" t="s">
        <v>2329</v>
      </c>
      <c r="I7108" s="484"/>
      <c r="J7108" s="485"/>
      <c r="K7108" s="479"/>
      <c r="L7108" s="483" t="s">
        <v>265</v>
      </c>
      <c r="M7108" s="483">
        <v>17216.78</v>
      </c>
      <c r="N7108" s="486">
        <v>0.375</v>
      </c>
      <c r="O7108" s="897" t="s">
        <v>2331</v>
      </c>
    </row>
    <row r="7109" spans="1:15" ht="19.5" thickBot="1" x14ac:dyDescent="0.3">
      <c r="A7109" s="983"/>
      <c r="B7109" s="645" t="s">
        <v>2279</v>
      </c>
      <c r="C7109" s="646" t="s">
        <v>952</v>
      </c>
      <c r="D7109" s="647">
        <v>1.8169999999999999</v>
      </c>
      <c r="E7109" s="648"/>
      <c r="F7109" s="649" t="s">
        <v>16</v>
      </c>
      <c r="G7109" s="650"/>
      <c r="H7109" s="649" t="s">
        <v>2329</v>
      </c>
      <c r="I7109" s="651"/>
      <c r="J7109" s="652"/>
      <c r="K7109" s="645"/>
      <c r="L7109" s="649" t="s">
        <v>265</v>
      </c>
      <c r="M7109" s="649">
        <v>1880.24</v>
      </c>
      <c r="N7109" s="653">
        <v>0.375</v>
      </c>
      <c r="O7109" s="897" t="s">
        <v>2332</v>
      </c>
    </row>
    <row r="7110" spans="1:15" x14ac:dyDescent="0.25">
      <c r="A7110" s="979">
        <f>MAX(A6977:A7109)+1</f>
        <v>4393</v>
      </c>
      <c r="B7110" s="531" t="s">
        <v>2279</v>
      </c>
      <c r="C7110" s="532" t="s">
        <v>23</v>
      </c>
      <c r="D7110" s="533">
        <v>3.2</v>
      </c>
      <c r="E7110" s="534"/>
      <c r="F7110" s="535" t="s">
        <v>16</v>
      </c>
      <c r="G7110" s="1006" t="s">
        <v>2330</v>
      </c>
      <c r="H7110" s="535" t="s">
        <v>2329</v>
      </c>
      <c r="I7110" s="537"/>
      <c r="J7110" s="538"/>
      <c r="K7110" s="531"/>
      <c r="L7110" s="535" t="s">
        <v>28</v>
      </c>
      <c r="M7110" s="535">
        <v>3253.0800000000004</v>
      </c>
      <c r="N7110" s="539">
        <v>0.41666666666666669</v>
      </c>
      <c r="O7110" s="897" t="s">
        <v>2333</v>
      </c>
    </row>
    <row r="7111" spans="1:15" x14ac:dyDescent="0.25">
      <c r="A7111" s="981"/>
      <c r="B7111" s="563" t="s">
        <v>2279</v>
      </c>
      <c r="C7111" s="564" t="s">
        <v>839</v>
      </c>
      <c r="D7111" s="565">
        <v>1.52</v>
      </c>
      <c r="E7111" s="566"/>
      <c r="F7111" s="567" t="s">
        <v>16</v>
      </c>
      <c r="G7111" s="999"/>
      <c r="H7111" s="567" t="s">
        <v>2329</v>
      </c>
      <c r="I7111" s="569"/>
      <c r="J7111" s="570"/>
      <c r="K7111" s="563"/>
      <c r="L7111" s="567" t="s">
        <v>28</v>
      </c>
      <c r="M7111" s="567">
        <v>1537.5</v>
      </c>
      <c r="N7111" s="571">
        <v>0.41666666666666669</v>
      </c>
      <c r="O7111" s="897" t="s">
        <v>2334</v>
      </c>
    </row>
    <row r="7112" spans="1:15" ht="19.5" thickBot="1" x14ac:dyDescent="0.3">
      <c r="A7112" s="980"/>
      <c r="B7112" s="636" t="s">
        <v>2279</v>
      </c>
      <c r="C7112" s="637" t="s">
        <v>840</v>
      </c>
      <c r="D7112" s="638">
        <v>10.016999999999999</v>
      </c>
      <c r="E7112" s="639"/>
      <c r="F7112" s="640" t="s">
        <v>16</v>
      </c>
      <c r="G7112" s="1005"/>
      <c r="H7112" s="640" t="s">
        <v>2329</v>
      </c>
      <c r="I7112" s="642"/>
      <c r="J7112" s="643"/>
      <c r="K7112" s="636"/>
      <c r="L7112" s="640" t="s">
        <v>266</v>
      </c>
      <c r="M7112" s="640">
        <v>10081.98</v>
      </c>
      <c r="N7112" s="644">
        <v>0.41666666666666669</v>
      </c>
      <c r="O7112" s="897" t="s">
        <v>2335</v>
      </c>
    </row>
    <row r="7113" spans="1:15" ht="19.5" thickBot="1" x14ac:dyDescent="0.3">
      <c r="A7113" s="513">
        <f>MAX(A6980:A7112)+1</f>
        <v>4394</v>
      </c>
      <c r="B7113" s="514" t="s">
        <v>2279</v>
      </c>
      <c r="C7113" s="515" t="s">
        <v>840</v>
      </c>
      <c r="D7113" s="516">
        <v>5</v>
      </c>
      <c r="E7113" s="517"/>
      <c r="F7113" s="518" t="s">
        <v>16</v>
      </c>
      <c r="G7113" s="519" t="s">
        <v>2299</v>
      </c>
      <c r="H7113" s="518" t="s">
        <v>2329</v>
      </c>
      <c r="I7113" s="520"/>
      <c r="J7113" s="521"/>
      <c r="K7113" s="514"/>
      <c r="L7113" s="518" t="s">
        <v>266</v>
      </c>
      <c r="M7113" s="518">
        <v>5004</v>
      </c>
      <c r="N7113" s="522">
        <v>0.41666666666666669</v>
      </c>
      <c r="O7113" s="897" t="s">
        <v>2336</v>
      </c>
    </row>
    <row r="7114" spans="1:15" ht="56.25" x14ac:dyDescent="0.25">
      <c r="A7114" s="979">
        <f>MAX(A6981:A7113)+1</f>
        <v>4395</v>
      </c>
      <c r="B7114" s="531" t="s">
        <v>2279</v>
      </c>
      <c r="C7114" s="532" t="s">
        <v>587</v>
      </c>
      <c r="D7114" s="533">
        <v>0.93600000000000005</v>
      </c>
      <c r="E7114" s="534"/>
      <c r="F7114" s="535" t="s">
        <v>16</v>
      </c>
      <c r="G7114" s="536" t="s">
        <v>794</v>
      </c>
      <c r="H7114" s="535" t="s">
        <v>2329</v>
      </c>
      <c r="I7114" s="537"/>
      <c r="J7114" s="538"/>
      <c r="K7114" s="531"/>
      <c r="L7114" s="535" t="s">
        <v>28</v>
      </c>
      <c r="M7114" s="535">
        <v>936.96</v>
      </c>
      <c r="N7114" s="539">
        <v>0.45833333333333331</v>
      </c>
      <c r="O7114" s="897" t="s">
        <v>2338</v>
      </c>
    </row>
    <row r="7115" spans="1:15" x14ac:dyDescent="0.25">
      <c r="A7115" s="981"/>
      <c r="B7115" s="563" t="s">
        <v>2279</v>
      </c>
      <c r="C7115" s="564" t="s">
        <v>587</v>
      </c>
      <c r="D7115" s="565">
        <v>6.3150000000000004</v>
      </c>
      <c r="E7115" s="566"/>
      <c r="F7115" s="567" t="s">
        <v>16</v>
      </c>
      <c r="G7115" s="568" t="s">
        <v>47</v>
      </c>
      <c r="H7115" s="567" t="s">
        <v>2329</v>
      </c>
      <c r="I7115" s="569"/>
      <c r="J7115" s="570"/>
      <c r="K7115" s="563"/>
      <c r="L7115" s="567" t="s">
        <v>28</v>
      </c>
      <c r="M7115" s="567">
        <v>6315.9200000000019</v>
      </c>
      <c r="N7115" s="571">
        <v>0.45833333333333331</v>
      </c>
      <c r="O7115" s="897" t="s">
        <v>2339</v>
      </c>
    </row>
    <row r="7116" spans="1:15" ht="19.5" thickBot="1" x14ac:dyDescent="0.3">
      <c r="A7116" s="981"/>
      <c r="B7116" s="590" t="s">
        <v>2279</v>
      </c>
      <c r="C7116" s="591" t="s">
        <v>47</v>
      </c>
      <c r="D7116" s="592">
        <v>10.348000000000001</v>
      </c>
      <c r="E7116" s="593"/>
      <c r="F7116" s="594" t="s">
        <v>16</v>
      </c>
      <c r="G7116" s="595"/>
      <c r="H7116" s="594" t="s">
        <v>2329</v>
      </c>
      <c r="I7116" s="596"/>
      <c r="J7116" s="597"/>
      <c r="K7116" s="590"/>
      <c r="L7116" s="594" t="s">
        <v>28</v>
      </c>
      <c r="M7116" s="594">
        <v>10510.679999999997</v>
      </c>
      <c r="N7116" s="598">
        <v>0.45833333333333331</v>
      </c>
      <c r="O7116" s="897" t="s">
        <v>2337</v>
      </c>
    </row>
    <row r="7117" spans="1:15" ht="19.5" thickBot="1" x14ac:dyDescent="0.3">
      <c r="A7117" s="513">
        <f>MAX(A6984:A7116)+1</f>
        <v>4396</v>
      </c>
      <c r="B7117" s="514" t="s">
        <v>2294</v>
      </c>
      <c r="C7117" s="515" t="s">
        <v>26</v>
      </c>
      <c r="D7117" s="516">
        <v>17.015000000000001</v>
      </c>
      <c r="E7117" s="517"/>
      <c r="F7117" s="518" t="s">
        <v>30</v>
      </c>
      <c r="G7117" s="519"/>
      <c r="H7117" s="518" t="s">
        <v>2329</v>
      </c>
      <c r="I7117" s="520"/>
      <c r="J7117" s="521"/>
      <c r="K7117" s="514"/>
      <c r="L7117" s="518" t="s">
        <v>265</v>
      </c>
      <c r="M7117" s="518">
        <v>17015.000000000004</v>
      </c>
      <c r="N7117" s="522">
        <v>0.375</v>
      </c>
      <c r="O7117" s="897" t="s">
        <v>2349</v>
      </c>
    </row>
    <row r="7118" spans="1:15" ht="19.5" thickBot="1" x14ac:dyDescent="0.3">
      <c r="A7118" s="503">
        <f t="shared" ref="A7118:A7121" si="215">MAX(A6985:A7117)+1</f>
        <v>4397</v>
      </c>
      <c r="B7118" s="504" t="s">
        <v>2294</v>
      </c>
      <c r="C7118" s="505" t="s">
        <v>26</v>
      </c>
      <c r="D7118" s="506">
        <v>17.413</v>
      </c>
      <c r="E7118" s="507"/>
      <c r="F7118" s="508" t="s">
        <v>16</v>
      </c>
      <c r="G7118" s="509"/>
      <c r="H7118" s="508" t="s">
        <v>2345</v>
      </c>
      <c r="I7118" s="510"/>
      <c r="J7118" s="511"/>
      <c r="K7118" s="504"/>
      <c r="L7118" s="508" t="s">
        <v>265</v>
      </c>
      <c r="M7118" s="508">
        <v>17578.12</v>
      </c>
      <c r="N7118" s="512">
        <v>0.375</v>
      </c>
      <c r="O7118" s="897" t="s">
        <v>2357</v>
      </c>
    </row>
    <row r="7119" spans="1:15" ht="19.5" thickBot="1" x14ac:dyDescent="0.3">
      <c r="A7119" s="513">
        <f t="shared" si="215"/>
        <v>4398</v>
      </c>
      <c r="B7119" s="514" t="s">
        <v>2294</v>
      </c>
      <c r="C7119" s="515" t="s">
        <v>26</v>
      </c>
      <c r="D7119" s="516">
        <v>17.45</v>
      </c>
      <c r="E7119" s="517"/>
      <c r="F7119" s="518" t="s">
        <v>16</v>
      </c>
      <c r="G7119" s="519"/>
      <c r="H7119" s="518" t="s">
        <v>2345</v>
      </c>
      <c r="I7119" s="520"/>
      <c r="J7119" s="521"/>
      <c r="K7119" s="514"/>
      <c r="L7119" s="518" t="s">
        <v>265</v>
      </c>
      <c r="M7119" s="518">
        <v>17583.800000000003</v>
      </c>
      <c r="N7119" s="522">
        <v>0.41666666666666669</v>
      </c>
    </row>
    <row r="7120" spans="1:15" ht="38.25" thickBot="1" x14ac:dyDescent="0.3">
      <c r="A7120" s="503">
        <f t="shared" si="215"/>
        <v>4399</v>
      </c>
      <c r="B7120" s="504" t="s">
        <v>2294</v>
      </c>
      <c r="C7120" s="505" t="s">
        <v>23</v>
      </c>
      <c r="D7120" s="506">
        <v>17.201000000000001</v>
      </c>
      <c r="E7120" s="507"/>
      <c r="F7120" s="508" t="s">
        <v>16</v>
      </c>
      <c r="G7120" s="509" t="s">
        <v>1634</v>
      </c>
      <c r="H7120" s="508" t="s">
        <v>2345</v>
      </c>
      <c r="I7120" s="510"/>
      <c r="J7120" s="511"/>
      <c r="K7120" s="504"/>
      <c r="L7120" s="508" t="s">
        <v>28</v>
      </c>
      <c r="M7120" s="508">
        <v>17377.23</v>
      </c>
      <c r="N7120" s="512">
        <v>0.45833333333333331</v>
      </c>
      <c r="O7120" s="897" t="s">
        <v>2351</v>
      </c>
    </row>
    <row r="7121" spans="1:15" ht="38.25" thickBot="1" x14ac:dyDescent="0.3">
      <c r="A7121" s="513">
        <f t="shared" si="215"/>
        <v>4400</v>
      </c>
      <c r="B7121" s="514" t="s">
        <v>2294</v>
      </c>
      <c r="C7121" s="515" t="s">
        <v>47</v>
      </c>
      <c r="D7121" s="516">
        <v>17.001999999999999</v>
      </c>
      <c r="E7121" s="517"/>
      <c r="F7121" s="518" t="s">
        <v>16</v>
      </c>
      <c r="G7121" s="519" t="s">
        <v>1634</v>
      </c>
      <c r="H7121" s="518" t="s">
        <v>2345</v>
      </c>
      <c r="I7121" s="520"/>
      <c r="J7121" s="521"/>
      <c r="K7121" s="514"/>
      <c r="L7121" s="518" t="s">
        <v>28</v>
      </c>
      <c r="M7121" s="518">
        <v>17213.829999999998</v>
      </c>
      <c r="N7121" s="522">
        <v>0.5</v>
      </c>
      <c r="O7121" s="897" t="s">
        <v>2353</v>
      </c>
    </row>
    <row r="7122" spans="1:15" x14ac:dyDescent="0.25">
      <c r="A7122" s="979">
        <f>MAX(A6987:A7121)+1</f>
        <v>4401</v>
      </c>
      <c r="B7122" s="531" t="s">
        <v>2294</v>
      </c>
      <c r="C7122" s="532" t="s">
        <v>15</v>
      </c>
      <c r="D7122" s="533">
        <v>8.5050000000000008</v>
      </c>
      <c r="E7122" s="534"/>
      <c r="F7122" s="535" t="s">
        <v>16</v>
      </c>
      <c r="G7122" s="536"/>
      <c r="H7122" s="535" t="s">
        <v>2345</v>
      </c>
      <c r="I7122" s="537"/>
      <c r="J7122" s="538"/>
      <c r="K7122" s="531"/>
      <c r="L7122" s="535" t="s">
        <v>28</v>
      </c>
      <c r="M7122" s="535">
        <v>8707.6400000000012</v>
      </c>
      <c r="N7122" s="539">
        <v>0.54166666666666663</v>
      </c>
      <c r="O7122" s="897" t="s">
        <v>2352</v>
      </c>
    </row>
    <row r="7123" spans="1:15" ht="19.5" thickBot="1" x14ac:dyDescent="0.3">
      <c r="A7123" s="980"/>
      <c r="B7123" s="636" t="s">
        <v>2294</v>
      </c>
      <c r="C7123" s="637" t="s">
        <v>24</v>
      </c>
      <c r="D7123" s="638">
        <v>9.032</v>
      </c>
      <c r="E7123" s="639"/>
      <c r="F7123" s="640" t="s">
        <v>16</v>
      </c>
      <c r="G7123" s="641"/>
      <c r="H7123" s="640" t="s">
        <v>2345</v>
      </c>
      <c r="I7123" s="642"/>
      <c r="J7123" s="643"/>
      <c r="K7123" s="636"/>
      <c r="L7123" s="640" t="s">
        <v>28</v>
      </c>
      <c r="M7123" s="640">
        <v>9237.6900000000023</v>
      </c>
      <c r="N7123" s="644">
        <v>0.54166666666666663</v>
      </c>
      <c r="O7123" s="897" t="s">
        <v>2354</v>
      </c>
    </row>
    <row r="7124" spans="1:15" x14ac:dyDescent="0.25">
      <c r="A7124" s="982">
        <f t="shared" ref="A7124" si="216">MAX(A6989:A7123)+1</f>
        <v>4402</v>
      </c>
      <c r="B7124" s="479" t="s">
        <v>2294</v>
      </c>
      <c r="C7124" s="480" t="s">
        <v>1358</v>
      </c>
      <c r="D7124" s="481">
        <v>2.5390000000000001</v>
      </c>
      <c r="E7124" s="482"/>
      <c r="F7124" s="483" t="s">
        <v>16</v>
      </c>
      <c r="G7124" s="1063" t="s">
        <v>2347</v>
      </c>
      <c r="H7124" s="483" t="s">
        <v>2345</v>
      </c>
      <c r="I7124" s="484"/>
      <c r="J7124" s="485"/>
      <c r="K7124" s="479"/>
      <c r="L7124" s="483" t="s">
        <v>265</v>
      </c>
      <c r="M7124" s="483">
        <v>2653.8800000000006</v>
      </c>
      <c r="N7124" s="486">
        <v>0.58333333333333337</v>
      </c>
    </row>
    <row r="7125" spans="1:15" ht="19.5" thickBot="1" x14ac:dyDescent="0.3">
      <c r="A7125" s="983"/>
      <c r="B7125" s="645" t="s">
        <v>2294</v>
      </c>
      <c r="C7125" s="646" t="s">
        <v>1358</v>
      </c>
      <c r="D7125" s="647">
        <v>8.4090000000000007</v>
      </c>
      <c r="E7125" s="648"/>
      <c r="F7125" s="649" t="s">
        <v>16</v>
      </c>
      <c r="G7125" s="1064"/>
      <c r="H7125" s="649" t="s">
        <v>2345</v>
      </c>
      <c r="I7125" s="651"/>
      <c r="J7125" s="652"/>
      <c r="K7125" s="645"/>
      <c r="L7125" s="649" t="s">
        <v>265</v>
      </c>
      <c r="M7125" s="649">
        <v>8545.6</v>
      </c>
      <c r="N7125" s="653">
        <v>0.58333333333333337</v>
      </c>
    </row>
    <row r="7126" spans="1:15" x14ac:dyDescent="0.25">
      <c r="A7126" s="979">
        <f t="shared" ref="A7126:A7128" si="217">MAX(A6988:A7125)+1</f>
        <v>4403</v>
      </c>
      <c r="B7126" s="531" t="s">
        <v>2294</v>
      </c>
      <c r="C7126" s="532" t="s">
        <v>587</v>
      </c>
      <c r="D7126" s="533">
        <v>8.1219999999999999</v>
      </c>
      <c r="E7126" s="534"/>
      <c r="F7126" s="535" t="s">
        <v>30</v>
      </c>
      <c r="G7126" s="977" t="s">
        <v>23</v>
      </c>
      <c r="H7126" s="535" t="s">
        <v>2345</v>
      </c>
      <c r="I7126" s="537"/>
      <c r="J7126" s="538"/>
      <c r="K7126" s="531"/>
      <c r="L7126" s="535" t="s">
        <v>28</v>
      </c>
      <c r="M7126" s="535">
        <v>8122.92</v>
      </c>
      <c r="N7126" s="539">
        <v>0.41666666666666669</v>
      </c>
      <c r="O7126" s="897" t="s">
        <v>2359</v>
      </c>
    </row>
    <row r="7127" spans="1:15" ht="19.5" thickBot="1" x14ac:dyDescent="0.3">
      <c r="A7127" s="980"/>
      <c r="B7127" s="636" t="s">
        <v>2294</v>
      </c>
      <c r="C7127" s="637" t="s">
        <v>23</v>
      </c>
      <c r="D7127" s="638">
        <v>4.9219999999999997</v>
      </c>
      <c r="E7127" s="639"/>
      <c r="F7127" s="640" t="s">
        <v>30</v>
      </c>
      <c r="G7127" s="978"/>
      <c r="H7127" s="640" t="s">
        <v>2345</v>
      </c>
      <c r="I7127" s="642"/>
      <c r="J7127" s="643"/>
      <c r="K7127" s="636"/>
      <c r="L7127" s="640" t="s">
        <v>28</v>
      </c>
      <c r="M7127" s="640">
        <v>4922.3999999999996</v>
      </c>
      <c r="N7127" s="644">
        <v>0.41666666666666669</v>
      </c>
      <c r="O7127" s="897" t="s">
        <v>2358</v>
      </c>
    </row>
    <row r="7128" spans="1:15" ht="19.5" thickBot="1" x14ac:dyDescent="0.3">
      <c r="A7128" s="513">
        <f t="shared" si="217"/>
        <v>4404</v>
      </c>
      <c r="B7128" s="514" t="s">
        <v>2294</v>
      </c>
      <c r="C7128" s="515" t="s">
        <v>47</v>
      </c>
      <c r="D7128" s="516">
        <v>13.061999999999999</v>
      </c>
      <c r="E7128" s="517"/>
      <c r="F7128" s="518" t="s">
        <v>30</v>
      </c>
      <c r="G7128" s="976"/>
      <c r="H7128" s="518" t="s">
        <v>2345</v>
      </c>
      <c r="I7128" s="520"/>
      <c r="J7128" s="521"/>
      <c r="K7128" s="514"/>
      <c r="L7128" s="518" t="s">
        <v>28</v>
      </c>
      <c r="M7128" s="518">
        <v>13062.08</v>
      </c>
      <c r="N7128" s="522">
        <v>0.45833333333333331</v>
      </c>
      <c r="O7128" s="897" t="s">
        <v>2360</v>
      </c>
    </row>
    <row r="7129" spans="1:15" ht="19.5" thickBot="1" x14ac:dyDescent="0.3">
      <c r="A7129" s="503">
        <f>MAX(A6991:A7128)+1</f>
        <v>4405</v>
      </c>
      <c r="B7129" s="504" t="s">
        <v>2294</v>
      </c>
      <c r="C7129" s="505" t="s">
        <v>26</v>
      </c>
      <c r="D7129" s="506">
        <v>15.789</v>
      </c>
      <c r="E7129" s="507"/>
      <c r="F7129" s="508" t="s">
        <v>30</v>
      </c>
      <c r="G7129" s="509"/>
      <c r="H7129" s="508" t="s">
        <v>2348</v>
      </c>
      <c r="I7129" s="510"/>
      <c r="J7129" s="511"/>
      <c r="K7129" s="504"/>
      <c r="L7129" s="508" t="s">
        <v>265</v>
      </c>
      <c r="M7129" s="508">
        <v>15789.479999999998</v>
      </c>
      <c r="N7129" s="512">
        <v>0.375</v>
      </c>
      <c r="O7129" s="897" t="s">
        <v>2350</v>
      </c>
    </row>
    <row r="7130" spans="1:15" ht="19.5" thickBot="1" x14ac:dyDescent="0.3">
      <c r="A7130" s="513">
        <f>MAX(A6992:A7129)+1</f>
        <v>4406</v>
      </c>
      <c r="B7130" s="514" t="s">
        <v>2294</v>
      </c>
      <c r="C7130" s="515" t="s">
        <v>26</v>
      </c>
      <c r="D7130" s="516">
        <v>19.164000000000001</v>
      </c>
      <c r="E7130" s="517"/>
      <c r="F7130" s="518" t="s">
        <v>16</v>
      </c>
      <c r="G7130" s="519"/>
      <c r="H7130" s="518" t="s">
        <v>2348</v>
      </c>
      <c r="I7130" s="520"/>
      <c r="J7130" s="521"/>
      <c r="K7130" s="514"/>
      <c r="L7130" s="518" t="s">
        <v>265</v>
      </c>
      <c r="M7130" s="518">
        <v>19337.64</v>
      </c>
      <c r="N7130" s="522">
        <v>0.375</v>
      </c>
    </row>
    <row r="7131" spans="1:15" x14ac:dyDescent="0.25">
      <c r="A7131" s="979">
        <f>MAX(A6993:A7130)+1</f>
        <v>4407</v>
      </c>
      <c r="B7131" s="531" t="s">
        <v>2294</v>
      </c>
      <c r="C7131" s="532" t="s">
        <v>480</v>
      </c>
      <c r="D7131" s="533">
        <v>8.08</v>
      </c>
      <c r="E7131" s="534"/>
      <c r="F7131" s="535" t="s">
        <v>16</v>
      </c>
      <c r="G7131" s="536"/>
      <c r="H7131" s="535" t="s">
        <v>2348</v>
      </c>
      <c r="I7131" s="537"/>
      <c r="J7131" s="538"/>
      <c r="K7131" s="531"/>
      <c r="L7131" s="535" t="s">
        <v>266</v>
      </c>
      <c r="M7131" s="535">
        <v>8170.920000000001</v>
      </c>
      <c r="N7131" s="539">
        <v>0.41666666666666669</v>
      </c>
    </row>
    <row r="7132" spans="1:15" x14ac:dyDescent="0.25">
      <c r="A7132" s="981"/>
      <c r="B7132" s="563" t="s">
        <v>2294</v>
      </c>
      <c r="C7132" s="564" t="s">
        <v>913</v>
      </c>
      <c r="D7132" s="565">
        <v>1.552</v>
      </c>
      <c r="E7132" s="566"/>
      <c r="F7132" s="567" t="s">
        <v>16</v>
      </c>
      <c r="G7132" s="568"/>
      <c r="H7132" s="567" t="s">
        <v>2348</v>
      </c>
      <c r="I7132" s="569"/>
      <c r="J7132" s="570"/>
      <c r="K7132" s="563"/>
      <c r="L7132" s="567" t="s">
        <v>266</v>
      </c>
      <c r="M7132" s="567">
        <v>1564.1</v>
      </c>
      <c r="N7132" s="571">
        <v>0.41666666666666669</v>
      </c>
    </row>
    <row r="7133" spans="1:15" ht="19.5" thickBot="1" x14ac:dyDescent="0.3">
      <c r="A7133" s="980"/>
      <c r="B7133" s="636" t="s">
        <v>2294</v>
      </c>
      <c r="C7133" s="637" t="s">
        <v>23</v>
      </c>
      <c r="D7133" s="638">
        <v>7.7270000000000003</v>
      </c>
      <c r="E7133" s="639"/>
      <c r="F7133" s="640" t="s">
        <v>16</v>
      </c>
      <c r="G7133" s="641"/>
      <c r="H7133" s="640" t="s">
        <v>2348</v>
      </c>
      <c r="I7133" s="642"/>
      <c r="J7133" s="643"/>
      <c r="K7133" s="636"/>
      <c r="L7133" s="640" t="s">
        <v>28</v>
      </c>
      <c r="M7133" s="640">
        <v>7791.96</v>
      </c>
      <c r="N7133" s="644">
        <v>0.41666666666666669</v>
      </c>
    </row>
    <row r="7134" spans="1:15" x14ac:dyDescent="0.25">
      <c r="A7134" s="982">
        <f>MAX(A6996:A7133)+1</f>
        <v>4408</v>
      </c>
      <c r="B7134" s="479" t="s">
        <v>2294</v>
      </c>
      <c r="C7134" s="480" t="s">
        <v>15</v>
      </c>
      <c r="D7134" s="481">
        <v>3.5640000000000001</v>
      </c>
      <c r="E7134" s="482"/>
      <c r="F7134" s="483" t="s">
        <v>16</v>
      </c>
      <c r="G7134" s="997" t="s">
        <v>1633</v>
      </c>
      <c r="H7134" s="483" t="s">
        <v>2348</v>
      </c>
      <c r="I7134" s="484"/>
      <c r="J7134" s="485"/>
      <c r="K7134" s="479"/>
      <c r="L7134" s="483" t="s">
        <v>28</v>
      </c>
      <c r="M7134" s="483">
        <v>3623.4400000000005</v>
      </c>
      <c r="N7134" s="486">
        <v>0.45833333333333331</v>
      </c>
    </row>
    <row r="7135" spans="1:15" x14ac:dyDescent="0.25">
      <c r="A7135" s="992"/>
      <c r="B7135" s="523" t="s">
        <v>2294</v>
      </c>
      <c r="C7135" s="524" t="s">
        <v>24</v>
      </c>
      <c r="D7135" s="525">
        <v>4.7569999999999997</v>
      </c>
      <c r="E7135" s="526"/>
      <c r="F7135" s="527" t="s">
        <v>16</v>
      </c>
      <c r="G7135" s="1065"/>
      <c r="H7135" s="527" t="s">
        <v>2348</v>
      </c>
      <c r="I7135" s="528"/>
      <c r="J7135" s="529"/>
      <c r="K7135" s="523"/>
      <c r="L7135" s="527" t="s">
        <v>28</v>
      </c>
      <c r="M7135" s="527">
        <v>4839.5399999999981</v>
      </c>
      <c r="N7135" s="530">
        <v>0.45833333333333331</v>
      </c>
    </row>
    <row r="7136" spans="1:15" ht="19.5" thickBot="1" x14ac:dyDescent="0.3">
      <c r="A7136" s="983"/>
      <c r="B7136" s="645" t="s">
        <v>2294</v>
      </c>
      <c r="C7136" s="646" t="s">
        <v>764</v>
      </c>
      <c r="D7136" s="647">
        <v>8.1</v>
      </c>
      <c r="E7136" s="648"/>
      <c r="F7136" s="649" t="s">
        <v>16</v>
      </c>
      <c r="G7136" s="998"/>
      <c r="H7136" s="649" t="s">
        <v>2348</v>
      </c>
      <c r="I7136" s="651"/>
      <c r="J7136" s="652"/>
      <c r="K7136" s="645"/>
      <c r="L7136" s="649" t="s">
        <v>28</v>
      </c>
      <c r="M7136" s="649">
        <v>8110.2</v>
      </c>
      <c r="N7136" s="653">
        <v>0.45833333333333331</v>
      </c>
    </row>
    <row r="7137" spans="1:15" x14ac:dyDescent="0.25">
      <c r="A7137" s="979">
        <f>MAX(A6999:A7136)+1</f>
        <v>4409</v>
      </c>
      <c r="B7137" s="531" t="s">
        <v>2294</v>
      </c>
      <c r="C7137" s="532" t="s">
        <v>1382</v>
      </c>
      <c r="D7137" s="533">
        <v>8.7739999999999991</v>
      </c>
      <c r="E7137" s="534"/>
      <c r="F7137" s="535" t="s">
        <v>16</v>
      </c>
      <c r="G7137" s="536"/>
      <c r="H7137" s="535" t="s">
        <v>2348</v>
      </c>
      <c r="I7137" s="537"/>
      <c r="J7137" s="538"/>
      <c r="K7137" s="531"/>
      <c r="L7137" s="535" t="s">
        <v>266</v>
      </c>
      <c r="M7137" s="535">
        <v>8835.18</v>
      </c>
      <c r="N7137" s="539">
        <v>0.5</v>
      </c>
    </row>
    <row r="7138" spans="1:15" ht="19.5" thickBot="1" x14ac:dyDescent="0.3">
      <c r="A7138" s="980"/>
      <c r="B7138" s="636" t="s">
        <v>2294</v>
      </c>
      <c r="C7138" s="637" t="s">
        <v>23</v>
      </c>
      <c r="D7138" s="638">
        <v>8.6920000000000002</v>
      </c>
      <c r="E7138" s="639"/>
      <c r="F7138" s="640" t="s">
        <v>16</v>
      </c>
      <c r="G7138" s="641"/>
      <c r="H7138" s="640" t="s">
        <v>2348</v>
      </c>
      <c r="I7138" s="642"/>
      <c r="J7138" s="643"/>
      <c r="K7138" s="636"/>
      <c r="L7138" s="640" t="s">
        <v>28</v>
      </c>
      <c r="M7138" s="640">
        <v>8805.5400000000009</v>
      </c>
      <c r="N7138" s="644">
        <v>0.5</v>
      </c>
    </row>
    <row r="7139" spans="1:15" ht="19.5" thickBot="1" x14ac:dyDescent="0.3">
      <c r="A7139" s="513">
        <f t="shared" ref="A7139:A7150" si="218">MAX(A7001:A7138)+1</f>
        <v>4410</v>
      </c>
      <c r="B7139" s="514" t="s">
        <v>2294</v>
      </c>
      <c r="C7139" s="515" t="s">
        <v>1382</v>
      </c>
      <c r="D7139" s="516">
        <v>8</v>
      </c>
      <c r="E7139" s="517"/>
      <c r="F7139" s="518" t="s">
        <v>16</v>
      </c>
      <c r="G7139" s="519"/>
      <c r="H7139" s="518" t="s">
        <v>2348</v>
      </c>
      <c r="I7139" s="520"/>
      <c r="J7139" s="521"/>
      <c r="K7139" s="514"/>
      <c r="L7139" s="518" t="s">
        <v>266</v>
      </c>
      <c r="M7139" s="518">
        <v>8001</v>
      </c>
      <c r="N7139" s="522">
        <v>0.54166666666666663</v>
      </c>
    </row>
    <row r="7140" spans="1:15" ht="19.5" thickBot="1" x14ac:dyDescent="0.3">
      <c r="A7140" s="503">
        <f t="shared" si="218"/>
        <v>4411</v>
      </c>
      <c r="B7140" s="504" t="s">
        <v>2294</v>
      </c>
      <c r="C7140" s="505" t="s">
        <v>23</v>
      </c>
      <c r="D7140" s="506">
        <v>11.664999999999999</v>
      </c>
      <c r="E7140" s="507"/>
      <c r="F7140" s="508" t="s">
        <v>30</v>
      </c>
      <c r="G7140" s="509"/>
      <c r="H7140" s="508" t="s">
        <v>2348</v>
      </c>
      <c r="I7140" s="510"/>
      <c r="J7140" s="511"/>
      <c r="K7140" s="504"/>
      <c r="L7140" s="508" t="s">
        <v>28</v>
      </c>
      <c r="M7140" s="508">
        <v>11665.92</v>
      </c>
      <c r="N7140" s="512">
        <v>0.41666666666666669</v>
      </c>
      <c r="O7140" s="897" t="s">
        <v>2361</v>
      </c>
    </row>
    <row r="7141" spans="1:15" x14ac:dyDescent="0.25">
      <c r="A7141" s="676">
        <f t="shared" si="218"/>
        <v>4412</v>
      </c>
      <c r="B7141" s="676"/>
      <c r="C7141" s="473"/>
      <c r="D7141" s="474"/>
      <c r="E7141" s="475"/>
      <c r="F7141" s="676"/>
      <c r="G7141" s="476"/>
      <c r="H7141" s="676"/>
      <c r="I7141" s="477"/>
      <c r="J7141" s="478"/>
      <c r="K7141" s="676"/>
      <c r="L7141" s="676"/>
      <c r="M7141" s="676"/>
      <c r="N7141" s="676"/>
    </row>
    <row r="7142" spans="1:15" x14ac:dyDescent="0.25">
      <c r="A7142" s="676">
        <f t="shared" si="218"/>
        <v>4413</v>
      </c>
      <c r="B7142" s="676"/>
      <c r="C7142" s="473"/>
      <c r="D7142" s="474"/>
      <c r="E7142" s="475"/>
      <c r="F7142" s="676"/>
      <c r="G7142" s="476"/>
      <c r="H7142" s="676"/>
      <c r="I7142" s="477"/>
      <c r="J7142" s="478"/>
      <c r="K7142" s="676"/>
      <c r="L7142" s="676"/>
      <c r="M7142" s="676"/>
      <c r="N7142" s="676"/>
    </row>
    <row r="7143" spans="1:15" x14ac:dyDescent="0.25">
      <c r="A7143" s="676">
        <f t="shared" si="218"/>
        <v>4414</v>
      </c>
      <c r="B7143" s="676"/>
      <c r="C7143" s="473"/>
      <c r="D7143" s="474"/>
      <c r="E7143" s="475"/>
      <c r="F7143" s="676"/>
      <c r="G7143" s="476"/>
      <c r="H7143" s="676"/>
      <c r="I7143" s="477"/>
      <c r="J7143" s="478"/>
      <c r="K7143" s="676"/>
      <c r="L7143" s="676"/>
      <c r="M7143" s="676"/>
      <c r="N7143" s="676"/>
    </row>
    <row r="7144" spans="1:15" x14ac:dyDescent="0.25">
      <c r="A7144" s="676">
        <f t="shared" si="218"/>
        <v>4415</v>
      </c>
      <c r="B7144" s="676"/>
      <c r="C7144" s="473"/>
      <c r="D7144" s="474"/>
      <c r="E7144" s="475"/>
      <c r="F7144" s="676"/>
      <c r="G7144" s="476"/>
      <c r="H7144" s="676"/>
      <c r="I7144" s="477"/>
      <c r="J7144" s="478"/>
      <c r="K7144" s="676"/>
      <c r="L7144" s="676"/>
      <c r="M7144" s="676"/>
      <c r="N7144" s="676"/>
    </row>
    <row r="7145" spans="1:15" x14ac:dyDescent="0.25">
      <c r="A7145" s="676">
        <f t="shared" si="218"/>
        <v>4416</v>
      </c>
      <c r="B7145" s="676"/>
      <c r="C7145" s="473"/>
      <c r="D7145" s="474"/>
      <c r="E7145" s="475"/>
      <c r="F7145" s="676"/>
      <c r="G7145" s="476"/>
      <c r="H7145" s="676"/>
      <c r="I7145" s="477"/>
      <c r="J7145" s="478"/>
      <c r="K7145" s="676"/>
      <c r="L7145" s="676"/>
      <c r="M7145" s="676"/>
      <c r="N7145" s="676"/>
    </row>
    <row r="7146" spans="1:15" x14ac:dyDescent="0.25">
      <c r="A7146" s="676">
        <f t="shared" si="218"/>
        <v>4417</v>
      </c>
      <c r="B7146" s="676"/>
      <c r="C7146" s="473"/>
      <c r="D7146" s="474"/>
      <c r="E7146" s="475"/>
      <c r="F7146" s="676"/>
      <c r="G7146" s="476"/>
      <c r="H7146" s="676"/>
      <c r="I7146" s="477"/>
      <c r="J7146" s="478"/>
      <c r="K7146" s="676"/>
      <c r="L7146" s="676"/>
      <c r="M7146" s="676"/>
      <c r="N7146" s="676"/>
    </row>
    <row r="7147" spans="1:15" x14ac:dyDescent="0.25">
      <c r="A7147" s="676">
        <f t="shared" si="218"/>
        <v>4418</v>
      </c>
      <c r="B7147" s="676"/>
      <c r="C7147" s="473"/>
      <c r="D7147" s="474"/>
      <c r="E7147" s="475"/>
      <c r="F7147" s="676"/>
      <c r="G7147" s="476"/>
      <c r="H7147" s="676"/>
      <c r="I7147" s="477"/>
      <c r="J7147" s="478"/>
      <c r="K7147" s="676"/>
      <c r="L7147" s="676"/>
      <c r="M7147" s="676"/>
      <c r="N7147" s="676"/>
    </row>
    <row r="7148" spans="1:15" x14ac:dyDescent="0.25">
      <c r="A7148" s="676">
        <f t="shared" si="218"/>
        <v>4419</v>
      </c>
      <c r="B7148" s="676"/>
      <c r="C7148" s="473"/>
      <c r="D7148" s="474"/>
      <c r="E7148" s="475"/>
      <c r="F7148" s="676"/>
      <c r="G7148" s="476"/>
      <c r="H7148" s="676"/>
      <c r="I7148" s="477"/>
      <c r="J7148" s="478"/>
      <c r="K7148" s="676"/>
      <c r="L7148" s="676"/>
      <c r="M7148" s="676"/>
      <c r="N7148" s="676"/>
    </row>
    <row r="7149" spans="1:15" x14ac:dyDescent="0.25">
      <c r="A7149" s="676">
        <f t="shared" si="218"/>
        <v>4420</v>
      </c>
      <c r="B7149" s="676"/>
      <c r="C7149" s="473"/>
      <c r="D7149" s="474"/>
      <c r="E7149" s="475"/>
      <c r="F7149" s="676"/>
      <c r="G7149" s="476"/>
      <c r="H7149" s="676"/>
      <c r="I7149" s="477"/>
      <c r="J7149" s="478"/>
      <c r="K7149" s="676"/>
      <c r="L7149" s="676"/>
      <c r="M7149" s="676"/>
      <c r="N7149" s="676"/>
    </row>
    <row r="7150" spans="1:15" x14ac:dyDescent="0.25">
      <c r="A7150" s="676">
        <f t="shared" si="218"/>
        <v>4421</v>
      </c>
      <c r="B7150" s="676"/>
      <c r="C7150" s="473"/>
      <c r="D7150" s="474"/>
      <c r="E7150" s="475"/>
      <c r="F7150" s="676"/>
      <c r="G7150" s="476"/>
      <c r="H7150" s="676"/>
      <c r="I7150" s="477"/>
      <c r="J7150" s="478"/>
      <c r="K7150" s="676"/>
      <c r="L7150" s="676"/>
      <c r="M7150" s="676"/>
      <c r="N7150" s="676"/>
    </row>
  </sheetData>
  <autoFilter ref="A2:R7130" xr:uid="{9E4C531E-AD50-422A-AC7C-8C5AF4C19268}">
    <filterColumn colId="10">
      <filters blank="1"/>
    </filterColumn>
  </autoFilter>
  <mergeCells count="1879">
    <mergeCell ref="A7131:A7133"/>
    <mergeCell ref="A7134:A7136"/>
    <mergeCell ref="G7134:G7136"/>
    <mergeCell ref="A7137:A7138"/>
    <mergeCell ref="A7122:A712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7108:A7109"/>
    <mergeCell ref="A7110:A7112"/>
    <mergeCell ref="A7114:A7116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G6560:G6561"/>
    <mergeCell ref="A6735:A6736"/>
    <mergeCell ref="A7093:A7094"/>
    <mergeCell ref="G7110:G7112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7095:A7096"/>
    <mergeCell ref="A5385:A5386"/>
    <mergeCell ref="A5387:A5388"/>
    <mergeCell ref="A6721:A6722"/>
    <mergeCell ref="A5625:A5626"/>
    <mergeCell ref="A5577:A5578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441:A5442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889:A4890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595:A6599"/>
    <mergeCell ref="A6941:A6942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G6876:G6877"/>
    <mergeCell ref="A6785:A6786"/>
    <mergeCell ref="A6780:A6781"/>
    <mergeCell ref="G6718:G6720"/>
    <mergeCell ref="G6878:G6879"/>
    <mergeCell ref="G6861:G6863"/>
    <mergeCell ref="A6870:A6872"/>
    <mergeCell ref="A7126:A7127"/>
    <mergeCell ref="A7097:A7102"/>
    <mergeCell ref="A7105:A7106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24:A7125"/>
    <mergeCell ref="G7124:G712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2026-08-28T15:54:33Z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