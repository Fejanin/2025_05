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5257273-BC52-4316-A172-E1E2DDBAA86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Лист1!$A$2:$R$7185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5" i="1" s="1"/>
  <c r="A7166" i="1" s="1"/>
  <c r="A7168" i="1" s="1"/>
  <c r="A7169" i="1" s="1"/>
  <c r="A7173" i="1" s="1"/>
  <c r="A7175" i="1" s="1"/>
  <c r="A7177" i="1" s="1"/>
  <c r="A7178" i="1" s="1"/>
  <c r="A7179" i="1" s="1"/>
  <c r="A7180" i="1" s="1"/>
  <c r="A7181" i="1" s="1"/>
  <c r="A7182" i="1" s="1"/>
  <c r="A7183" i="1" s="1"/>
  <c r="A7184" i="1" s="1"/>
  <c r="A7185" i="1" s="1"/>
</calcChain>
</file>

<file path=xl/sharedStrings.xml><?xml version="1.0" encoding="utf-8"?>
<sst xmlns="http://schemas.openxmlformats.org/spreadsheetml/2006/main" count="46048" uniqueCount="2464">
  <si>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</si>
  <si>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</si>
  <si>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</si>
  <si>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</si>
  <si>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</si>
  <si>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</si>
  <si>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</si>
  <si>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</si>
  <si>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</si>
  <si>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</si>
  <si>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</si>
  <si>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</si>
  <si>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</si>
  <si>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</si>
  <si>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</si>
  <si>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</si>
  <si>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</si>
  <si>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</si>
  <si>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</si>
  <si>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</si>
  <si>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</si>
  <si>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</si>
  <si>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</si>
  <si>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</si>
  <si>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</si>
  <si>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</si>
  <si>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</si>
  <si>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</si>
  <si>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</si>
  <si>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</si>
  <si>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</si>
  <si>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</si>
  <si>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</si>
  <si>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</si>
  <si>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</si>
  <si>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</si>
  <si>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</si>
  <si>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</si>
  <si>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</si>
  <si>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</si>
  <si>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</si>
  <si>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</si>
  <si>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</si>
  <si>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</si>
  <si>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</si>
  <si>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</si>
  <si>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</si>
  <si>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</si>
  <si>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</si>
  <si>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</si>
  <si>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</si>
  <si>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</si>
  <si>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</si>
  <si>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</si>
  <si>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</si>
  <si>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</si>
  <si>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</si>
  <si>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</si>
  <si>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</si>
  <si>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</si>
  <si>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</si>
  <si>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</si>
  <si>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</si>
  <si>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</si>
  <si>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</si>
  <si>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</si>
  <si>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</si>
  <si>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</si>
  <si>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</si>
  <si>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</si>
  <si>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</si>
  <si>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</si>
  <si>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</si>
  <si>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</si>
  <si>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</si>
  <si>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</si>
  <si>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</si>
  <si>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</si>
  <si>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</si>
  <si>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</si>
  <si>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</si>
  <si>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</si>
  <si>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</si>
  <si>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</si>
  <si>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</si>
  <si>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</si>
  <si>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</si>
  <si>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</si>
  <si>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</si>
  <si>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</si>
  <si>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</si>
  <si>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</si>
  <si>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</si>
  <si>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</si>
  <si>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</si>
  <si>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</si>
  <si>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</si>
  <si>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</si>
  <si>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</si>
  <si>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</si>
  <si>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</si>
  <si>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</si>
  <si>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</si>
  <si>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</si>
  <si>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</si>
  <si>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</si>
  <si>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</si>
  <si>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</si>
  <si>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</si>
  <si>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</si>
  <si>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</si>
  <si>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</si>
  <si>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</si>
  <si>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</si>
  <si>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</si>
  <si>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</si>
  <si>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</si>
  <si>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</si>
  <si>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</si>
  <si>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</si>
  <si>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</si>
  <si>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</si>
  <si>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</si>
  <si>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</si>
  <si>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</si>
  <si>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</si>
  <si>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</si>
  <si>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</si>
  <si>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</si>
  <si>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</si>
  <si>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</si>
  <si>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</si>
  <si>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</si>
  <si>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</si>
  <si>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</si>
  <si>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</si>
  <si>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</si>
  <si>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</si>
  <si>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</si>
  <si>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</si>
  <si>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</si>
  <si>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</si>
  <si>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</si>
  <si>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</si>
  <si>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</si>
  <si>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</si>
  <si>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</si>
  <si>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</si>
  <si>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</si>
  <si>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</si>
  <si>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</si>
  <si>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</si>
  <si>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</si>
  <si>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</si>
  <si>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</si>
  <si>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</si>
  <si>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</si>
  <si>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</si>
  <si>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</si>
  <si>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</si>
  <si>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</si>
  <si>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</si>
  <si>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</si>
  <si>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</si>
  <si>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</si>
  <si>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</si>
  <si>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</si>
  <si>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</si>
  <si>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</si>
  <si>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</si>
  <si>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</si>
  <si>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</si>
  <si>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</si>
  <si>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</si>
  <si>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</si>
  <si>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</si>
  <si>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</si>
  <si>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</si>
  <si>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</si>
  <si>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</si>
  <si>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</si>
  <si>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</si>
  <si>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</si>
  <si>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</si>
  <si>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</si>
  <si>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</si>
  <si>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</si>
  <si>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</si>
  <si>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</si>
  <si>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</si>
  <si>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</si>
  <si>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</si>
  <si>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</si>
  <si>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</si>
  <si>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</si>
  <si>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</si>
  <si>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</si>
  <si>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</si>
  <si>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</si>
  <si>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</si>
  <si>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</si>
  <si>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</si>
  <si>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</si>
  <si>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</si>
  <si>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</si>
  <si>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</si>
  <si>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</si>
  <si>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</si>
  <si>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</si>
  <si>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</si>
  <si>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</si>
  <si>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</si>
  <si>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</si>
  <si>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</si>
  <si>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</si>
  <si>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</si>
  <si>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</si>
  <si>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</si>
  <si>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</si>
  <si>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</si>
  <si>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</si>
  <si>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</si>
  <si>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</si>
  <si>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</si>
  <si>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</si>
  <si>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</si>
  <si>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</si>
  <si>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</si>
  <si>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</si>
  <si>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</si>
  <si>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</si>
  <si>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</si>
  <si>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</si>
  <si>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</si>
  <si>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</si>
  <si>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</si>
  <si>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</si>
  <si>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</si>
  <si>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</si>
  <si>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</si>
  <si>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</si>
  <si>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</si>
  <si>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</si>
  <si>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</si>
  <si>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</si>
  <si>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</si>
  <si>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</si>
  <si>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</si>
  <si>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</si>
  <si>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</si>
  <si>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</si>
  <si>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</si>
  <si>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</si>
  <si>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</si>
  <si>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</si>
  <si>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</si>
  <si>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</si>
  <si>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</si>
  <si>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</si>
  <si>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</si>
  <si>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</si>
  <si>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</si>
  <si>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</si>
  <si>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</si>
  <si>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</si>
  <si>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</si>
  <si>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</si>
  <si>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</si>
  <si>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</si>
  <si>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</si>
  <si>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</si>
  <si>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</si>
  <si>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</si>
  <si>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</si>
  <si>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</si>
  <si>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</si>
  <si>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</si>
  <si>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</si>
  <si>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</si>
  <si>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</si>
  <si>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</si>
  <si>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</si>
  <si>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</si>
  <si>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</si>
  <si>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</si>
  <si>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</si>
  <si>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</si>
  <si>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</si>
  <si>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</si>
  <si>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</si>
  <si>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</si>
  <si>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</si>
  <si>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</si>
  <si>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</si>
  <si>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</si>
  <si>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</si>
  <si>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</si>
  <si>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</si>
  <si>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</si>
  <si>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</si>
  <si>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</si>
  <si>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</si>
  <si>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</si>
  <si>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</si>
  <si>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</si>
  <si>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</si>
  <si>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</si>
  <si>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</si>
  <si>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</si>
  <si>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</si>
  <si>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</si>
  <si>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</si>
  <si>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</si>
  <si>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</si>
  <si>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</si>
  <si>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</si>
  <si>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</si>
  <si>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</si>
  <si>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</si>
  <si>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</si>
  <si>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</si>
  <si>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</si>
  <si>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</si>
  <si>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</si>
  <si>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</si>
  <si>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</si>
  <si>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</si>
  <si>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</si>
  <si>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</si>
  <si>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</si>
  <si>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</si>
  <si>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</si>
  <si>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</si>
  <si>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</si>
  <si>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</si>
  <si>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</si>
  <si>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</si>
  <si>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</si>
  <si>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</si>
  <si>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</si>
  <si>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</si>
  <si>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</si>
  <si>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</si>
  <si>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</si>
  <si>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</si>
  <si>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</si>
  <si>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</si>
  <si>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</si>
  <si>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</si>
  <si>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</si>
  <si>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</si>
  <si>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</si>
  <si>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</si>
  <si>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</si>
  <si>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</si>
  <si>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</si>
  <si>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</si>
  <si>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</si>
  <si>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</si>
  <si>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</si>
  <si>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</si>
  <si>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</si>
  <si>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</si>
  <si>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</si>
  <si>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</si>
  <si>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</si>
  <si>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</si>
  <si>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</si>
  <si>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</si>
  <si>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</si>
  <si>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</si>
  <si>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</si>
  <si>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</si>
  <si>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</si>
  <si>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</si>
  <si>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</si>
  <si>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</si>
  <si>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</si>
  <si>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</si>
  <si>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</si>
  <si>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</si>
  <si>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</si>
  <si>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</si>
  <si>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</si>
  <si>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</si>
  <si>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</si>
  <si>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</si>
  <si>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</si>
  <si>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</si>
  <si>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</si>
  <si>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</si>
  <si>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</si>
  <si>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</si>
  <si>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</si>
  <si>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</si>
  <si>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</si>
  <si>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</si>
  <si>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</si>
  <si>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</si>
  <si>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</si>
  <si>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</si>
  <si>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</si>
  <si>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</si>
  <si>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</si>
  <si>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</si>
  <si>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</si>
  <si>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</si>
  <si>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</si>
  <si>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</si>
  <si>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</si>
  <si>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</si>
  <si>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</si>
  <si>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</si>
  <si>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</si>
  <si>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</si>
  <si>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</si>
  <si>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</si>
  <si>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</si>
  <si>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</si>
  <si>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</si>
  <si>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</si>
  <si>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</si>
  <si>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</si>
  <si>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</si>
  <si>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</si>
  <si>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</si>
  <si>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</si>
  <si>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</si>
  <si>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</si>
  <si>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</si>
  <si>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</si>
  <si>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</si>
  <si>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</si>
  <si>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</si>
  <si>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</si>
  <si>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</si>
  <si>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</si>
  <si>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</si>
  <si>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</si>
  <si>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</si>
  <si>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</si>
  <si>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</si>
  <si>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</si>
  <si>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</si>
  <si>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</si>
  <si>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</si>
  <si>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</si>
  <si>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</si>
  <si>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</si>
  <si>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</si>
  <si>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</si>
  <si>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</si>
  <si>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</si>
  <si>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</si>
  <si>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</si>
  <si>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</si>
  <si>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</si>
  <si>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</si>
  <si>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</si>
  <si>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</si>
  <si>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</si>
  <si>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</si>
  <si>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</si>
  <si>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</si>
  <si>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</si>
  <si>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</si>
  <si>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</si>
  <si>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</si>
  <si>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</si>
  <si>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</si>
  <si>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</si>
  <si>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</si>
  <si>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</si>
  <si>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</si>
  <si>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</si>
  <si>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</si>
  <si>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</si>
  <si>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</si>
  <si>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</si>
  <si>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</si>
  <si>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</si>
  <si>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</si>
  <si>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</si>
  <si>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</si>
  <si>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</si>
  <si>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</si>
  <si>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</si>
  <si>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</si>
  <si>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</si>
  <si>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</si>
  <si>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</si>
  <si>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</si>
  <si>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</si>
  <si>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</si>
  <si>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</si>
  <si>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</si>
  <si>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</si>
  <si>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</si>
  <si>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</si>
  <si>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</si>
  <si>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</si>
  <si>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</si>
  <si>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</si>
  <si>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</si>
  <si>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</si>
  <si>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</si>
  <si>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</si>
  <si>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</si>
  <si>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</si>
  <si>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</si>
  <si>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</si>
  <si>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</si>
  <si>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</si>
  <si>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</si>
  <si>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</si>
  <si>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</si>
  <si>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</si>
  <si>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</si>
  <si>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</si>
  <si>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</si>
  <si>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</si>
  <si>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</si>
  <si>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</si>
  <si>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</si>
  <si>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</si>
  <si>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</si>
  <si>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</si>
  <si>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</si>
  <si>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</si>
  <si>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</si>
  <si>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</si>
  <si>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</si>
  <si>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</si>
  <si>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</si>
  <si>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</si>
  <si>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</si>
  <si>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</si>
  <si>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</si>
  <si>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</si>
  <si>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</si>
  <si>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</si>
  <si>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</si>
  <si>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</si>
  <si>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</si>
  <si>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</si>
  <si>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</si>
  <si>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</si>
  <si>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</si>
  <si>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</si>
  <si>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</si>
  <si>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</si>
  <si>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</si>
  <si>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</si>
  <si>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</si>
  <si>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</si>
  <si>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</si>
  <si>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</si>
  <si>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</si>
  <si>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</si>
  <si>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</si>
  <si>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</si>
  <si>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</si>
  <si>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</si>
  <si>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</si>
  <si>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</si>
  <si>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</si>
  <si>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</si>
  <si>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</si>
  <si>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</si>
  <si>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</si>
  <si>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</si>
  <si>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</si>
  <si>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</si>
  <si>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</si>
  <si>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</si>
  <si>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</si>
  <si>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</si>
  <si>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</si>
  <si>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</si>
  <si>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</si>
  <si>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</si>
  <si>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</si>
  <si>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</si>
  <si>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</si>
  <si>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</si>
  <si>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</si>
  <si>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</si>
  <si>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</si>
  <si>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</si>
  <si>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</si>
  <si>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</si>
  <si>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</si>
  <si>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</si>
  <si>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</si>
  <si>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</si>
  <si>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</si>
  <si>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</si>
  <si>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</si>
  <si>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</si>
  <si>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</si>
  <si>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</si>
  <si>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</si>
  <si>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</si>
  <si>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</si>
  <si>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</si>
  <si>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</si>
  <si>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</si>
  <si>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</si>
  <si>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</si>
  <si>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</si>
  <si>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</si>
  <si>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</si>
  <si>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</si>
  <si>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</si>
  <si>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</si>
  <si>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</si>
  <si>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</si>
  <si>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</si>
  <si>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</si>
  <si>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</si>
  <si>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</si>
  <si>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</si>
  <si>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</si>
  <si>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</si>
  <si>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</si>
  <si>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</si>
  <si>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</si>
  <si>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</si>
  <si>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</si>
  <si>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</si>
  <si>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</si>
  <si>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</si>
  <si>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</si>
  <si>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</si>
  <si>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</si>
  <si>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</si>
  <si>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</si>
  <si>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</si>
  <si>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</si>
  <si>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</si>
  <si>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</si>
  <si>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</si>
  <si>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</si>
  <si>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</si>
  <si>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</si>
  <si>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</si>
  <si>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</si>
  <si>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</si>
  <si>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</si>
  <si>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</si>
  <si>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</si>
  <si>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</si>
  <si>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</si>
  <si>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</si>
  <si>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</si>
  <si>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</si>
  <si>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</si>
  <si>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</si>
  <si>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</si>
  <si>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</si>
  <si>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</si>
  <si>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</si>
  <si>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</si>
  <si>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</si>
  <si>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</si>
  <si>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</si>
  <si>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</si>
  <si>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</si>
  <si>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</si>
  <si>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</si>
  <si>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</si>
  <si>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</si>
  <si>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</si>
  <si>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</si>
  <si>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</si>
  <si>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</si>
  <si>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</si>
  <si>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</si>
  <si>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</si>
  <si>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</si>
  <si>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</si>
  <si>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</si>
  <si>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</si>
  <si>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</si>
  <si>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</si>
  <si>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</si>
  <si>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</si>
  <si>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</si>
  <si>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</si>
  <si>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</si>
  <si>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</si>
  <si>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</si>
  <si>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</si>
  <si>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</si>
  <si>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</si>
  <si>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</si>
  <si>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</si>
  <si>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</si>
  <si>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</si>
  <si>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</si>
  <si>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</si>
  <si>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</si>
  <si>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</si>
  <si>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</si>
  <si>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</si>
  <si>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</si>
  <si>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</si>
  <si>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</si>
  <si>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</si>
  <si>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</si>
  <si>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</si>
  <si>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</si>
  <si>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</si>
  <si>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</si>
  <si>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</si>
  <si>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</si>
  <si>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</si>
  <si>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</si>
  <si>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</si>
  <si>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</si>
  <si>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</si>
  <si>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</si>
  <si>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</si>
  <si>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</si>
  <si>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</si>
  <si>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</si>
  <si>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</si>
  <si>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</si>
  <si>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</si>
  <si>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</si>
  <si>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</si>
  <si>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</si>
  <si>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</si>
  <si>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</si>
  <si>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</si>
  <si>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</si>
  <si>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</si>
  <si>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</si>
  <si>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</si>
  <si>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</si>
  <si>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</si>
  <si>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</si>
  <si>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</si>
  <si>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</si>
  <si>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</si>
  <si>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</si>
  <si>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</si>
  <si>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</si>
  <si>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</si>
  <si>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</si>
  <si>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</si>
  <si>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</si>
  <si>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</si>
  <si>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</si>
  <si>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</si>
  <si>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</si>
  <si>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</si>
  <si>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</si>
  <si>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</si>
  <si>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</si>
  <si>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</si>
  <si>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</si>
  <si>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</si>
  <si>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</si>
  <si>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</si>
  <si>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</si>
  <si>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</si>
  <si>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</si>
  <si>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</si>
  <si>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</si>
  <si>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</si>
  <si>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</si>
  <si>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</si>
  <si>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</si>
  <si>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</si>
  <si>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</si>
  <si>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</si>
  <si>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</si>
  <si>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</si>
  <si>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</si>
  <si>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</si>
  <si>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</si>
  <si>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</si>
  <si>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</si>
  <si>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</si>
  <si>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</si>
  <si>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</si>
  <si>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</si>
  <si>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</si>
  <si>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</si>
  <si>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</si>
  <si>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</si>
  <si>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</si>
  <si>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</si>
  <si>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</si>
  <si>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</si>
  <si>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</si>
  <si>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</si>
  <si>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</si>
  <si>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</si>
  <si>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</si>
  <si>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</si>
  <si>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</si>
  <si>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</si>
  <si>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</si>
  <si>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</si>
  <si>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</si>
  <si>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</si>
  <si>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</si>
  <si>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</si>
  <si>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</si>
  <si>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</si>
  <si>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</si>
  <si>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</si>
  <si>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</si>
  <si>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</si>
  <si>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</si>
  <si>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</si>
  <si>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</si>
  <si>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</si>
  <si>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</si>
  <si>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</si>
  <si>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</si>
  <si>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</si>
  <si>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</si>
  <si>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</si>
  <si>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</si>
  <si>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</si>
  <si>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</si>
  <si>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</si>
  <si>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</si>
  <si>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</si>
  <si>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</si>
  <si>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</si>
  <si>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</si>
  <si>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</si>
  <si>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</si>
  <si>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</si>
  <si>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</si>
  <si>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</si>
  <si>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</si>
  <si>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</si>
  <si>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</si>
  <si>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</si>
  <si>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</si>
  <si>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</si>
  <si>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</si>
  <si>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</si>
  <si>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</si>
  <si>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</si>
  <si>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</si>
  <si>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</si>
  <si>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</si>
  <si>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</si>
  <si>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</si>
  <si>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</si>
  <si>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</si>
  <si>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</si>
  <si>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</si>
  <si>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</si>
  <si>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</si>
  <si>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</si>
  <si>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</si>
  <si>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</si>
  <si>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</si>
  <si>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</si>
  <si>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</si>
  <si>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</si>
  <si>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</si>
  <si>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</si>
  <si>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</si>
  <si>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</si>
  <si>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</si>
  <si>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</si>
  <si>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</si>
  <si>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</si>
  <si>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</si>
  <si>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</si>
  <si>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</si>
  <si>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</si>
  <si>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</si>
  <si>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</si>
  <si>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</si>
  <si>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</si>
  <si>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</si>
  <si>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</si>
  <si>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</si>
  <si>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</si>
  <si>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</si>
  <si>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</si>
  <si>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</si>
  <si>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</si>
  <si>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</si>
  <si>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</si>
  <si>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</si>
  <si>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</si>
  <si>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</si>
  <si>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</si>
  <si>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</si>
  <si>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</si>
  <si>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</si>
  <si>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</si>
  <si>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</si>
  <si>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</si>
  <si>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</si>
  <si>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</si>
  <si>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</si>
  <si>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</si>
  <si>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</si>
  <si>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</si>
  <si>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</si>
  <si>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</si>
  <si>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</si>
  <si>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</si>
  <si>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</si>
  <si>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</si>
  <si>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</si>
  <si>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</si>
  <si>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</si>
  <si>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</si>
  <si>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</si>
  <si>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</si>
  <si>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</si>
  <si>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</si>
  <si>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</si>
  <si>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</si>
  <si>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</si>
  <si>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</si>
  <si>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</si>
  <si>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</si>
  <si>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</si>
  <si>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</si>
  <si>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</si>
  <si>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</si>
  <si>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</si>
  <si>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</si>
  <si>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</si>
  <si>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</si>
  <si>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</si>
  <si>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</si>
  <si>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</si>
  <si>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</si>
  <si>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</si>
  <si>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</si>
  <si>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</si>
  <si>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</si>
  <si>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</si>
  <si>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</si>
  <si>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</si>
  <si>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</si>
  <si>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</si>
  <si>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</si>
  <si>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</si>
  <si>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</si>
  <si>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</si>
  <si>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</si>
  <si>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</si>
  <si>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</si>
  <si>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</si>
  <si>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</si>
  <si>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</si>
  <si>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</si>
  <si>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</si>
  <si>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</si>
  <si>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</si>
  <si>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</si>
  <si>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</si>
  <si>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</si>
  <si>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</si>
  <si>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</si>
  <si>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</si>
  <si>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</si>
  <si>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</si>
  <si>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</si>
  <si>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</si>
  <si>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</si>
  <si>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</si>
  <si>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</si>
  <si>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</si>
  <si>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</si>
  <si>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</si>
  <si>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</si>
  <si>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</si>
  <si>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</si>
  <si>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</si>
  <si>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</si>
  <si>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</si>
  <si>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</si>
  <si>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</si>
  <si>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</si>
  <si>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</si>
  <si>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</si>
  <si>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</si>
  <si>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</si>
  <si>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</si>
  <si>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</si>
  <si>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</si>
  <si>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</si>
  <si>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</si>
  <si>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</si>
  <si>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</si>
  <si>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</si>
  <si>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</si>
  <si>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</si>
  <si>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</si>
  <si>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</si>
  <si>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</si>
  <si>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</si>
  <si>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</si>
  <si>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</si>
  <si>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</si>
  <si>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</si>
  <si>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</si>
  <si>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</si>
  <si>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</si>
  <si>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</si>
  <si>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</si>
  <si>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</si>
  <si>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</si>
  <si>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</si>
  <si>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</si>
  <si>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</si>
  <si>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</si>
  <si>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</si>
  <si>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</si>
  <si>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</si>
  <si>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</si>
  <si>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</si>
  <si>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</si>
  <si>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</si>
  <si>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</si>
  <si>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</si>
  <si>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</si>
  <si>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</si>
  <si>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</si>
  <si>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</si>
  <si>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</si>
  <si>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</si>
  <si>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</si>
  <si>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</si>
  <si>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</si>
  <si>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</si>
  <si>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</si>
  <si>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</si>
  <si>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</si>
  <si>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</si>
  <si>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</si>
  <si>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</si>
  <si>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</si>
  <si>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</si>
  <si>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</si>
  <si>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</si>
  <si>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</si>
  <si>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</si>
  <si>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</si>
  <si>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</si>
  <si>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</si>
  <si>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</si>
  <si>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</si>
  <si>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</si>
  <si>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</si>
  <si>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</si>
  <si>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</si>
  <si>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</si>
  <si>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</si>
  <si>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</si>
  <si>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</si>
  <si>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</si>
  <si>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</si>
  <si>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</si>
  <si>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</si>
  <si>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</si>
  <si>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</si>
  <si>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</si>
  <si>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</si>
  <si>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</si>
  <si>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</si>
  <si>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</si>
  <si>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</si>
  <si>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</si>
  <si>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</si>
  <si>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</si>
  <si>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</si>
  <si>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</si>
  <si>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</si>
  <si>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</si>
  <si>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</si>
  <si>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</si>
  <si>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</si>
  <si>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</si>
  <si>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</si>
  <si>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</si>
  <si>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</si>
  <si>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</si>
  <si>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</si>
  <si>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</si>
  <si>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</si>
  <si>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</si>
  <si>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</si>
  <si>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</si>
  <si>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</si>
  <si>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</si>
  <si>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</si>
  <si>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</si>
  <si>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</si>
  <si>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</si>
  <si>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</si>
  <si>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</si>
  <si>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</si>
  <si>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</si>
  <si>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</si>
  <si>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</si>
  <si>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</si>
  <si>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</si>
  <si>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</si>
  <si>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</si>
  <si>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</si>
  <si>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</si>
  <si>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</si>
  <si>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</si>
  <si>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</si>
  <si>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</si>
  <si>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</si>
  <si>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</si>
  <si>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</si>
  <si>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</si>
  <si>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</si>
  <si>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</si>
  <si>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</si>
  <si>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</si>
  <si>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</si>
  <si>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</si>
  <si>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</si>
  <si>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</si>
  <si>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</si>
  <si>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</si>
  <si>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</si>
  <si>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</si>
  <si>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</si>
  <si>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</si>
  <si>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</si>
  <si>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</si>
  <si>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</si>
  <si>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</si>
  <si>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</si>
  <si>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</si>
  <si>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</si>
  <si>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</si>
  <si>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</si>
  <si>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</si>
  <si>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</si>
  <si>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</si>
  <si>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</si>
  <si>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</si>
  <si>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</si>
  <si>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</si>
  <si>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</si>
  <si>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</si>
  <si>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</si>
  <si>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</si>
  <si>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</si>
  <si>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</si>
  <si>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</si>
  <si>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</si>
  <si>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</si>
  <si>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</si>
  <si>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</si>
  <si>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</si>
  <si>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</si>
  <si>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</si>
  <si>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</si>
  <si>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</si>
  <si>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</si>
  <si>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</si>
  <si>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</si>
  <si>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</si>
  <si>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</si>
  <si>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</si>
  <si>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</si>
  <si>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</si>
  <si>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</si>
  <si>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</si>
  <si>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</si>
  <si>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</si>
  <si>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</si>
  <si>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</si>
  <si>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</si>
  <si>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</si>
  <si>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</si>
  <si>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</si>
  <si>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</si>
  <si>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</si>
  <si>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</si>
  <si>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</si>
  <si>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</si>
  <si>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</si>
  <si>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</si>
  <si>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</si>
  <si>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</si>
  <si>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</si>
  <si>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</si>
  <si>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</si>
  <si>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</si>
  <si>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</si>
  <si>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</si>
  <si>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</si>
  <si>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</si>
  <si>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</si>
  <si>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</si>
  <si>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</si>
  <si>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</si>
  <si>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</si>
  <si>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</si>
  <si>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</si>
  <si>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</si>
  <si>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</si>
  <si>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</si>
  <si>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</si>
  <si>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</si>
  <si>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</si>
  <si>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</si>
  <si>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</si>
  <si>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</si>
  <si>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</si>
  <si>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</si>
  <si>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</si>
  <si>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</si>
  <si>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</si>
  <si>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</si>
  <si>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</si>
  <si>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</si>
  <si>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</si>
  <si>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</si>
  <si>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</si>
  <si>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</si>
  <si>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</si>
  <si>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</si>
  <si>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</si>
  <si>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</si>
  <si>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</si>
  <si>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</si>
  <si>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</si>
  <si>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</si>
  <si>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</si>
  <si>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</si>
  <si>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</si>
  <si>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</si>
  <si>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</si>
  <si>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</si>
  <si>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</si>
  <si>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</si>
  <si>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</si>
  <si>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</si>
  <si>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</si>
  <si>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</si>
  <si>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</si>
  <si>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</si>
  <si>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</si>
  <si>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</si>
  <si>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</si>
  <si>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</si>
  <si>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</si>
  <si>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</si>
  <si>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</si>
  <si>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</si>
  <si>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</si>
  <si>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</si>
  <si>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</si>
  <si>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</si>
  <si>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</si>
  <si>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</si>
  <si>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</si>
  <si>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</si>
  <si>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</si>
  <si>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</si>
  <si>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</si>
  <si>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</si>
  <si>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</si>
  <si>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</si>
  <si>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</si>
  <si>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</si>
  <si>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</si>
  <si>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</si>
  <si>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</si>
  <si>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</si>
  <si>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</si>
  <si>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</si>
  <si>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</si>
  <si>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</si>
  <si>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</si>
  <si>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</si>
  <si>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</si>
  <si>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</si>
  <si>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</si>
  <si>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</si>
  <si>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</si>
  <si>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</si>
  <si>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</si>
  <si>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</si>
  <si>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</si>
  <si>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</si>
  <si>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</si>
  <si>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</si>
  <si>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</si>
  <si>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</si>
  <si>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</si>
  <si>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</si>
  <si>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</si>
  <si>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</si>
  <si>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</si>
  <si>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</si>
  <si>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</si>
  <si>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</si>
  <si>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</si>
  <si>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</si>
  <si>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</si>
  <si>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</si>
  <si>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</si>
  <si>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</si>
  <si>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</si>
  <si>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</si>
  <si>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</si>
  <si>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</si>
  <si>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</si>
  <si>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</si>
  <si>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</si>
  <si>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</si>
  <si>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</si>
  <si>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</si>
  <si>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</si>
  <si>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</si>
  <si>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</si>
  <si>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</si>
  <si>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</si>
  <si>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</si>
  <si>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</si>
  <si>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</si>
  <si>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</si>
  <si>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</si>
  <si>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</si>
  <si>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</si>
  <si>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</si>
  <si>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</si>
  <si>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</si>
  <si>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</si>
  <si>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</si>
  <si>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</si>
  <si>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</si>
  <si>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</si>
  <si>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</si>
  <si>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</si>
  <si>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</si>
  <si>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</si>
  <si>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</si>
  <si>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</si>
  <si>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</si>
  <si>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</si>
  <si>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</si>
  <si>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</si>
  <si>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</si>
  <si>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</si>
  <si>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</si>
  <si>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</si>
  <si>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</si>
  <si>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</si>
  <si>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</si>
  <si>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</si>
  <si>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</si>
  <si>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</si>
  <si>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</si>
  <si>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</si>
  <si>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</si>
  <si>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</si>
  <si>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</si>
  <si>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</si>
  <si>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</si>
  <si>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</si>
  <si>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</si>
  <si>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</si>
  <si>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</si>
  <si>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</si>
  <si>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</si>
  <si>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</si>
  <si>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</si>
  <si>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</si>
  <si>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</si>
  <si>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</si>
  <si>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</si>
  <si>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</si>
  <si>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</si>
  <si>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</si>
  <si>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</si>
  <si>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</si>
  <si>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</si>
  <si>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</si>
  <si>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</si>
  <si>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</si>
  <si>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</si>
  <si>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</si>
  <si>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</si>
  <si>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</si>
  <si>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</si>
  <si>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</si>
  <si>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</si>
  <si>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</si>
  <si>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</si>
  <si>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</si>
  <si>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</si>
  <si>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</si>
  <si>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</si>
  <si>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</si>
  <si>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</si>
  <si>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</si>
  <si>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</si>
  <si>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</si>
  <si>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</si>
  <si>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</si>
  <si>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</si>
  <si>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</si>
  <si>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</si>
  <si>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</si>
  <si>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</si>
  <si>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</si>
  <si>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</si>
  <si>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</si>
  <si>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</si>
  <si>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</si>
  <si>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</si>
  <si>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</si>
  <si>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</si>
  <si>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</si>
  <si>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</si>
  <si>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</si>
  <si>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</si>
  <si>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</si>
  <si>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</si>
  <si>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</si>
  <si>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</si>
  <si>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</si>
  <si>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</si>
  <si>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</si>
  <si>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</si>
  <si>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</si>
  <si>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</si>
  <si>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</si>
  <si>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</si>
  <si>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</si>
  <si>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</si>
  <si>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</si>
  <si>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</si>
  <si>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</si>
  <si>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</si>
  <si>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</si>
  <si>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</si>
  <si>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</si>
  <si>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</si>
  <si>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</si>
  <si>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</si>
  <si>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</si>
  <si>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</si>
  <si>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</si>
  <si>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</si>
  <si>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</si>
  <si>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</si>
  <si>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</si>
  <si>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</si>
  <si>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</si>
  <si>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</si>
  <si>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</si>
  <si>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</si>
  <si>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</si>
  <si>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</si>
  <si>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</si>
  <si>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</si>
  <si>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</si>
  <si>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</si>
  <si>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</si>
  <si>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</si>
  <si>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</si>
  <si>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</si>
  <si>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</si>
  <si>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</si>
  <si>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</si>
  <si>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</si>
  <si>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</si>
  <si>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</si>
  <si>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</si>
  <si>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</si>
  <si>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</si>
  <si>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</si>
  <si>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</si>
  <si>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</si>
  <si>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</si>
  <si>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</si>
  <si>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</si>
  <si>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</si>
  <si>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</si>
  <si>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</si>
  <si>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</si>
  <si>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</si>
  <si>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</si>
  <si>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</si>
  <si>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</si>
  <si>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</si>
  <si>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</si>
  <si>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</si>
  <si>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</si>
  <si>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</si>
  <si>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</si>
  <si>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</si>
  <si>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</si>
  <si>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</si>
  <si>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</si>
  <si>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</si>
  <si>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</si>
  <si>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</si>
  <si>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</si>
  <si>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</si>
  <si>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</si>
  <si>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</si>
  <si>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</si>
  <si>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</si>
  <si>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</si>
  <si>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</si>
  <si>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</si>
  <si>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</si>
  <si>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</si>
  <si>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</si>
  <si>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</si>
  <si>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</si>
  <si>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</si>
  <si>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</si>
  <si>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</si>
  <si>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</si>
  <si>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</si>
  <si>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</si>
  <si>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</si>
  <si>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</si>
  <si>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</si>
  <si>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</si>
  <si>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</si>
  <si>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</si>
  <si>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</si>
  <si>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</si>
  <si>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</si>
  <si>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</si>
  <si>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</si>
  <si>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</si>
  <si>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</si>
  <si>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</si>
  <si>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</si>
  <si>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</si>
  <si>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</si>
  <si>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</si>
  <si>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</si>
  <si>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</si>
  <si>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</si>
  <si>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</si>
  <si>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</si>
  <si>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</si>
  <si>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</si>
  <si>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</si>
  <si>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</si>
  <si>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</si>
  <si>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</si>
  <si>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</si>
  <si>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</si>
  <si>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</si>
  <si>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</si>
  <si>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</si>
  <si>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</si>
  <si>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</si>
  <si>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</si>
  <si>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</si>
  <si>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</si>
  <si>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</si>
  <si>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</si>
  <si>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</si>
  <si>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</si>
  <si>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</si>
  <si>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</si>
  <si>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</si>
  <si>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</si>
  <si>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</si>
  <si>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</si>
  <si>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</si>
  <si>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</si>
  <si>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</si>
  <si>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</si>
  <si>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</si>
  <si>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</si>
  <si>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</si>
  <si>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</si>
  <si>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</si>
  <si>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</si>
  <si>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</si>
  <si>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</si>
  <si>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</si>
  <si>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</si>
  <si>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</si>
  <si>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</si>
  <si>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</si>
  <si>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</si>
  <si>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</si>
  <si>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</si>
  <si>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</si>
  <si>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</si>
  <si>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</si>
  <si>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</si>
  <si>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</si>
  <si>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</si>
  <si>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</si>
  <si>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</si>
  <si>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</si>
  <si>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</si>
  <si>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</si>
  <si>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</si>
  <si>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</si>
  <si>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</si>
  <si>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</si>
  <si>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</si>
  <si>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</si>
  <si>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</si>
  <si>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</si>
  <si>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</si>
  <si>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</si>
  <si>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</si>
  <si>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</si>
  <si>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</si>
  <si>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</si>
  <si>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</si>
  <si>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</si>
  <si>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</si>
  <si>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</si>
  <si>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</si>
  <si>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</si>
  <si>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</si>
  <si>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</si>
  <si>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</si>
  <si>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</si>
  <si>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</si>
  <si>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</si>
  <si>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</si>
  <si>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</si>
  <si>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</si>
  <si>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</si>
  <si>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</si>
  <si>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</si>
  <si>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</si>
  <si>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</si>
  <si>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</si>
  <si>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</si>
  <si>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</si>
  <si>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</si>
  <si>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</si>
  <si>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</si>
  <si>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</si>
  <si>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</si>
  <si>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</si>
  <si>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</si>
  <si>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</si>
  <si>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</si>
  <si>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</si>
  <si>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</si>
  <si>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</si>
  <si>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</si>
  <si>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</si>
  <si>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</si>
  <si>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</si>
  <si>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</si>
  <si>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</si>
  <si>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</si>
  <si>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</si>
  <si>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</si>
  <si>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</si>
  <si>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</si>
  <si>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</si>
  <si>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</si>
  <si>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</si>
  <si>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</si>
  <si>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</si>
  <si>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</si>
  <si>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</si>
  <si>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</si>
  <si>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</si>
  <si>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</si>
  <si>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</si>
  <si>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</si>
  <si>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</si>
  <si>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</si>
  <si>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</si>
  <si>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</si>
  <si>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</si>
  <si>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</si>
  <si>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</si>
  <si>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</si>
  <si>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</si>
  <si>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</si>
  <si>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</si>
  <si>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</si>
  <si>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</si>
  <si>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</si>
  <si>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</si>
  <si>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</si>
  <si>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</si>
  <si>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</si>
  <si>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</si>
  <si>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</si>
  <si>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</si>
  <si>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</si>
  <si>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</si>
  <si>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</si>
  <si>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</si>
  <si>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</si>
  <si>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</si>
  <si>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</si>
  <si>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</si>
  <si>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</si>
  <si>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</si>
  <si>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</si>
  <si>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</si>
  <si>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</si>
  <si>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</si>
  <si>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</si>
  <si>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</si>
  <si>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</si>
  <si>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</si>
  <si>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</si>
  <si>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</si>
  <si>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</si>
  <si>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</si>
  <si>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</si>
  <si>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</si>
  <si>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</si>
  <si>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</si>
  <si>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</si>
  <si>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</si>
  <si>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</si>
  <si>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</si>
  <si>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</si>
  <si>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</si>
  <si>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</si>
  <si>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</si>
  <si>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</si>
  <si>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</si>
  <si>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</si>
  <si>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</si>
  <si>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</si>
  <si>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</si>
  <si>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</si>
  <si>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</si>
  <si>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</si>
  <si>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</si>
  <si>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</si>
  <si>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</si>
  <si>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</si>
  <si>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</si>
  <si>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</si>
  <si>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</si>
  <si>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</si>
  <si>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</si>
  <si>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</si>
  <si>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</si>
  <si>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</si>
  <si>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</si>
  <si>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</si>
  <si>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</si>
  <si>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</si>
  <si>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</si>
  <si>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</si>
  <si>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</si>
  <si>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</si>
  <si>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</si>
  <si>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</si>
  <si>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</si>
  <si>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</si>
  <si>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</si>
  <si>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</si>
  <si>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</si>
  <si>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</si>
  <si>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</si>
  <si>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</si>
  <si>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</si>
  <si>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</si>
  <si>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</si>
  <si>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</si>
  <si>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</si>
  <si>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</si>
  <si>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</si>
  <si>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</si>
  <si>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</si>
  <si>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</si>
  <si>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</si>
  <si>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</si>
  <si>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</si>
  <si>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</si>
  <si>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</si>
  <si>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</si>
  <si>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</si>
  <si>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</si>
  <si>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</si>
  <si>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</si>
  <si>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</si>
  <si>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</si>
  <si>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</si>
  <si>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</si>
  <si>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</si>
  <si>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</si>
  <si>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</si>
  <si>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</si>
  <si>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</si>
  <si>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</si>
  <si>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</si>
  <si>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</si>
  <si>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</si>
  <si>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</si>
  <si>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</si>
  <si>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</si>
  <si>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</si>
  <si>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</si>
  <si>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</si>
  <si>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</si>
  <si>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</si>
  <si>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</si>
  <si>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</si>
  <si>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</si>
  <si>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</si>
  <si>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</si>
  <si>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</si>
  <si>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</si>
  <si>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</si>
  <si>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</si>
  <si>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</si>
  <si>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</si>
  <si>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</si>
  <si>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</si>
  <si>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</si>
  <si>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</si>
  <si>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</si>
  <si>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</si>
  <si>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</si>
  <si>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</si>
  <si>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</si>
  <si>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</si>
  <si>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</si>
  <si>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</si>
  <si>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</si>
  <si>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</si>
  <si>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</si>
  <si>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</si>
  <si>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</si>
  <si>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</si>
  <si>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</si>
  <si>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</si>
  <si>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</si>
  <si>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</si>
  <si>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</si>
  <si>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</si>
  <si>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</si>
  <si>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</si>
  <si>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</si>
  <si>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</si>
  <si>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</si>
  <si>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</si>
  <si>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</si>
  <si>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</si>
  <si>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</si>
  <si>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</si>
  <si>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</si>
  <si>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</si>
  <si>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</si>
  <si>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</si>
  <si>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</si>
  <si>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</si>
  <si>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</si>
  <si>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</si>
  <si>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</si>
  <si>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</si>
  <si>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</si>
  <si>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</si>
  <si>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</si>
  <si>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</si>
  <si>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</si>
  <si>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</si>
  <si>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</si>
  <si>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</si>
  <si>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</si>
  <si>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</si>
  <si>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</si>
  <si>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</si>
  <si>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</si>
  <si>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</si>
  <si>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</si>
  <si>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</si>
  <si>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</si>
  <si>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</si>
  <si>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</si>
  <si>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</si>
  <si>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</si>
  <si>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</si>
  <si>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</si>
  <si>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</si>
  <si>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</si>
  <si>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</si>
  <si>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</si>
  <si>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</si>
  <si>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</si>
  <si>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</si>
  <si>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</si>
  <si>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</si>
  <si>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</si>
  <si>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</si>
  <si>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</si>
  <si>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</si>
  <si>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</si>
  <si>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</si>
  <si>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</si>
  <si>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</si>
  <si>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</si>
  <si>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</si>
  <si>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</si>
  <si>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</si>
  <si>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</si>
  <si>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</si>
  <si>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</si>
  <si>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</si>
  <si>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</si>
  <si>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</si>
  <si>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</si>
  <si>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</si>
  <si>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</si>
  <si>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</si>
  <si>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</si>
  <si>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</si>
  <si>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</si>
  <si>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</si>
  <si>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</si>
  <si>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</si>
  <si>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</si>
  <si>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</si>
  <si>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</si>
  <si>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</si>
  <si>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</si>
  <si>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</si>
  <si>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</si>
  <si>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</si>
  <si>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</si>
  <si>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</si>
  <si>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</si>
  <si>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</si>
  <si>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</si>
  <si>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</si>
  <si>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</si>
  <si>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</si>
  <si>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</si>
  <si>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</si>
  <si>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</si>
  <si>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</si>
  <si>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</si>
  <si>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</si>
  <si>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</si>
  <si>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</si>
  <si>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</si>
  <si>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</si>
  <si>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</si>
  <si>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</si>
  <si>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</si>
  <si>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</si>
  <si>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</si>
  <si>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</si>
  <si>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</si>
  <si>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</si>
  <si>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</si>
  <si>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</si>
  <si>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</si>
  <si>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</si>
  <si>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</si>
  <si>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</si>
  <si>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</si>
  <si>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</si>
  <si>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</si>
  <si>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</si>
  <si>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</si>
  <si>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</si>
  <si>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</si>
  <si>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</si>
  <si>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</si>
  <si>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</si>
  <si>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</si>
  <si>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</si>
  <si>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</si>
  <si>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</si>
  <si>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</si>
  <si>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</si>
  <si>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</si>
  <si>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</si>
  <si>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</si>
  <si>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</si>
  <si>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</si>
  <si>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</si>
  <si>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</si>
  <si>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</si>
  <si>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</si>
  <si>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</si>
  <si>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</si>
  <si>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</si>
  <si>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</si>
  <si>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</si>
  <si>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</si>
  <si>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</si>
  <si>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</si>
  <si>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</si>
  <si>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</si>
  <si>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</si>
  <si>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</si>
  <si>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</si>
  <si>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</si>
  <si>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</si>
  <si>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</si>
  <si>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</si>
  <si>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</si>
  <si>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</si>
  <si>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</si>
  <si>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</si>
  <si>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</si>
  <si>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</si>
  <si>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</si>
  <si>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</si>
  <si>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</si>
  <si>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</si>
  <si>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</si>
  <si>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</si>
  <si>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</si>
  <si>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</si>
  <si>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</si>
  <si>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</si>
  <si>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</si>
  <si>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</si>
  <si>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</si>
  <si>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</si>
  <si>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</si>
  <si>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</si>
  <si>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</si>
  <si>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</si>
  <si>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</si>
  <si>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</si>
  <si>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</si>
  <si>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</si>
  <si>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</si>
  <si>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</si>
  <si>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</si>
  <si>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</si>
  <si>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</si>
  <si>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</si>
  <si>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</si>
  <si>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</si>
  <si>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</si>
  <si>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</si>
  <si>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</si>
  <si>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</si>
  <si>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</si>
  <si>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</si>
  <si>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</si>
  <si>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</si>
  <si>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</si>
  <si>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</si>
  <si>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</si>
  <si>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</si>
  <si>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</si>
  <si>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</si>
  <si>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</si>
  <si>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</si>
  <si>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</si>
  <si>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</si>
  <si>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</si>
  <si>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</si>
  <si>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</si>
  <si>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</si>
  <si>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</si>
  <si>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</si>
  <si>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</si>
  <si>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</si>
  <si>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</si>
  <si>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</si>
  <si>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</si>
  <si>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</si>
  <si>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</si>
  <si>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</si>
  <si>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</si>
  <si>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</si>
  <si>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</si>
  <si>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</si>
  <si>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</si>
  <si>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</si>
  <si>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</si>
  <si>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</si>
  <si>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</si>
  <si>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</si>
  <si>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</si>
  <si>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</si>
  <si>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</si>
  <si>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</si>
  <si>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</si>
  <si>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</si>
  <si>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</si>
  <si>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</si>
  <si>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</si>
  <si>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</si>
  <si>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</si>
  <si>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</si>
  <si>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</si>
  <si>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</si>
  <si>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</si>
  <si>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</si>
  <si>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</si>
  <si>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</si>
  <si>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</si>
  <si>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</si>
  <si>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</si>
  <si>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</si>
  <si>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</si>
  <si>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</si>
  <si>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</si>
  <si>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</si>
  <si>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</si>
  <si>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</si>
  <si>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</si>
  <si>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</si>
  <si>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</si>
  <si>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</si>
  <si>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</si>
  <si>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</si>
  <si>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</si>
  <si>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</si>
  <si>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</si>
  <si>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</si>
  <si>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</si>
  <si>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</si>
  <si>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</si>
  <si>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</si>
  <si>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</si>
  <si>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</si>
  <si>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</si>
  <si>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</si>
  <si>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</si>
  <si>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</si>
  <si>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</si>
  <si>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</si>
  <si>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</si>
  <si>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</si>
  <si>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</si>
  <si>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</si>
  <si>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</si>
  <si>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</si>
  <si>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</si>
  <si>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</si>
  <si>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</si>
  <si>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</si>
  <si>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</si>
  <si>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</si>
  <si>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</si>
  <si>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</si>
  <si>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</si>
  <si>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</si>
  <si>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</si>
  <si>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</si>
  <si>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</si>
  <si>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</si>
  <si>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</si>
  <si>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</si>
  <si>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</si>
  <si>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</si>
  <si>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</si>
  <si>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</si>
  <si>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</si>
  <si>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</si>
  <si>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</si>
  <si>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</si>
  <si>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</si>
  <si>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</si>
  <si>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</si>
  <si>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</si>
  <si>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</si>
  <si>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</si>
  <si>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</si>
  <si>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</si>
  <si>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</si>
  <si>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</si>
  <si>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</si>
  <si>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</si>
  <si>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</si>
  <si>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</si>
  <si>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</si>
  <si>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</si>
  <si>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</si>
  <si>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</si>
  <si>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</si>
  <si>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</si>
  <si>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</si>
  <si>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</si>
  <si>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</si>
  <si>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</si>
  <si>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</si>
  <si>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</si>
  <si>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</si>
  <si>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</si>
  <si>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</si>
  <si>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</si>
  <si>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</si>
  <si>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</si>
  <si>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</si>
  <si>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</si>
  <si>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</si>
  <si>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</si>
  <si>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</si>
  <si>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</si>
  <si>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</si>
  <si>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</si>
  <si>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</si>
  <si>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</si>
  <si>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</si>
  <si>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</si>
  <si>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</si>
  <si>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</si>
  <si>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</si>
  <si>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</si>
  <si>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</si>
  <si>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</si>
  <si>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</si>
  <si>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</si>
  <si>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</si>
  <si>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</si>
  <si>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</si>
  <si>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</si>
  <si>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</si>
  <si>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</si>
  <si>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</si>
  <si>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</si>
  <si>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</si>
  <si>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</si>
  <si>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</si>
  <si>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</si>
  <si>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</si>
  <si>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</si>
  <si>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</si>
  <si>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</si>
  <si>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</si>
  <si>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</si>
  <si>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</si>
  <si>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</si>
  <si>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</si>
  <si>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</si>
  <si>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</si>
  <si>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</si>
  <si>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</si>
  <si>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</si>
  <si>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</si>
  <si>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</si>
  <si>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</si>
  <si>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</si>
  <si>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</si>
  <si>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</si>
  <si>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</si>
  <si>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</si>
  <si>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</si>
  <si>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</si>
  <si>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</si>
  <si>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</si>
  <si>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</si>
  <si>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</si>
  <si>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</si>
  <si>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</si>
  <si>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</si>
  <si>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</si>
  <si>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</si>
  <si>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</si>
  <si>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</si>
  <si>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</si>
  <si>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</si>
  <si>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</si>
  <si>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</si>
  <si>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</si>
  <si>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</si>
  <si>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</si>
  <si>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</si>
  <si>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</si>
  <si>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</si>
  <si>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</si>
  <si>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</si>
  <si>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</si>
  <si>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</si>
  <si>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</si>
  <si>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</si>
  <si>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</si>
  <si>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</si>
  <si>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</si>
  <si>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</si>
  <si>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</si>
  <si>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</si>
  <si>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</si>
  <si>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</si>
  <si>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</si>
  <si>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</si>
  <si>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</si>
  <si>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</si>
  <si>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</si>
  <si>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</si>
  <si>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</si>
  <si>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</si>
  <si>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</si>
  <si>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</si>
  <si>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</si>
  <si>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</si>
  <si>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</si>
  <si>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</si>
  <si>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</si>
  <si>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</si>
  <si>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</si>
  <si>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</si>
  <si>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</si>
  <si>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</si>
  <si>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</si>
  <si>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</si>
  <si>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</si>
  <si>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</si>
  <si>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</si>
  <si>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</si>
  <si>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</si>
  <si>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</si>
  <si>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</si>
  <si>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</si>
  <si>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</si>
  <si>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</si>
  <si>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</si>
  <si>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</si>
  <si>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</si>
  <si>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</si>
  <si>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</si>
  <si>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</si>
  <si>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</si>
  <si>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</si>
  <si>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</si>
  <si>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</si>
  <si>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</si>
  <si>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</si>
  <si>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</si>
  <si>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</si>
  <si>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</si>
  <si>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</si>
  <si>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</si>
  <si>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</si>
  <si>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</si>
  <si>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</si>
  <si>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</si>
  <si>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</si>
  <si>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</si>
  <si>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</si>
  <si>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</si>
  <si>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</si>
  <si>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</si>
  <si>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</si>
  <si>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</si>
  <si>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</si>
  <si>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</si>
  <si>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</si>
  <si>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</si>
  <si>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</si>
  <si>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</si>
  <si>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</si>
  <si>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</si>
  <si>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</si>
  <si>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</si>
  <si>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</si>
  <si>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</si>
  <si>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</si>
  <si>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</si>
  <si>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</si>
  <si>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</si>
  <si>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</si>
  <si>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</si>
  <si>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</si>
  <si>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</si>
  <si>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</si>
  <si>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</si>
  <si>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</si>
  <si>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</si>
  <si>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</si>
  <si>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</si>
  <si>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</si>
  <si>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</si>
  <si>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</si>
  <si>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</si>
  <si>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</si>
  <si>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</si>
  <si>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</si>
  <si>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</si>
  <si>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</si>
  <si>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</si>
  <si>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</si>
  <si>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</si>
  <si>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</si>
  <si>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</si>
  <si>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</si>
  <si>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</si>
  <si>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</si>
  <si>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</si>
  <si>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</si>
  <si>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</si>
  <si>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</si>
  <si>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</si>
  <si>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</si>
  <si>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</si>
  <si>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</si>
  <si>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</si>
  <si>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</si>
  <si>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</si>
  <si>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</si>
  <si>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</si>
  <si>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</si>
  <si>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</si>
  <si>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</si>
  <si>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</si>
  <si>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не отгружен???</t>
  </si>
  <si>
    <t>не пройден ФК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</si>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</sst>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9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40" borderId="0" xfId="0" applyFont="1" applyFill="1" applyAlignment="1">
      <alignment vertical="center"/>
    </xf>
    <xf numFmtId="166" fontId="45" fillId="46" borderId="0" xfId="0" applyNumberFormat="1" applyFont="1" applyFill="1" applyAlignment="1">
      <alignment horizontal="left" vertical="center"/>
    </xf>
    <xf numFmtId="166" fontId="45" fillId="47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166" fontId="45" fillId="42" borderId="0" xfId="0" applyNumberFormat="1" applyFont="1" applyFill="1" applyAlignment="1">
      <alignment horizontal="left" vertical="center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85"/>
  <sheetViews>
    <sheetView tabSelected="1" zoomScale="70" zoomScaleNormal="70" workbookViewId="0">
      <pane ySplit="2" topLeftCell="A7156" activePane="bottomLeft" state="frozen"/>
      <selection pane="bottomLeft" activeCell="M7182" sqref="M718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9" t="s">
        <v>0</v>
      </c>
      <c r="B1" s="1049"/>
      <c r="C1" s="1049"/>
      <c r="D1" s="1049"/>
      <c r="E1" s="1049"/>
      <c r="F1" s="1049"/>
      <c r="G1" s="1049"/>
      <c r="H1" s="1049"/>
      <c r="I1" s="1049"/>
      <c r="J1" s="1049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50">
        <v>1</v>
      </c>
      <c r="B3" s="10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50"/>
      <c r="B4" s="10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51">
        <v>3</v>
      </c>
      <c r="B6" s="105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51"/>
      <c r="B7" s="105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51"/>
      <c r="B8" s="105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51">
        <v>5</v>
      </c>
      <c r="B10" s="105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51"/>
      <c r="B11" s="105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2">
        <v>8</v>
      </c>
      <c r="B14" s="105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2"/>
      <c r="B15" s="105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51">
        <v>11</v>
      </c>
      <c r="B18" s="105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51"/>
      <c r="B19" s="105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51"/>
      <c r="B20" s="105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51"/>
      <c r="B21" s="105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51">
        <v>13</v>
      </c>
      <c r="B23" s="105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51"/>
      <c r="B24" s="105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2">
        <v>14</v>
      </c>
      <c r="B25" s="105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2"/>
      <c r="B26" s="105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51">
        <v>15</v>
      </c>
      <c r="B27" s="105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51"/>
      <c r="B28" s="105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51"/>
      <c r="B29" s="105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51"/>
      <c r="B30" s="105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2">
        <v>16</v>
      </c>
      <c r="B31" s="105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2"/>
      <c r="B32" s="105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2"/>
      <c r="B33" s="105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2"/>
      <c r="B34" s="105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51">
        <v>17</v>
      </c>
      <c r="B35" s="105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51"/>
      <c r="B36" s="105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51">
        <v>21</v>
      </c>
      <c r="B40" s="105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51"/>
      <c r="B41" s="105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51">
        <v>23</v>
      </c>
      <c r="B43" s="105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51"/>
      <c r="B44" s="105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51"/>
      <c r="B45" s="105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2">
        <v>24</v>
      </c>
      <c r="B46" s="105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2"/>
      <c r="B47" s="105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51">
        <v>25</v>
      </c>
      <c r="B48" s="105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51"/>
      <c r="B49" s="105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51"/>
      <c r="B50" s="105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2">
        <v>26</v>
      </c>
      <c r="B51" s="105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2"/>
      <c r="B52" s="105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51">
        <v>29</v>
      </c>
      <c r="B55" s="105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51"/>
      <c r="B56" s="105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2">
        <v>32</v>
      </c>
      <c r="B59" s="105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2"/>
      <c r="B60" s="105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2">
        <v>34</v>
      </c>
      <c r="B62" s="105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2"/>
      <c r="B63" s="105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2"/>
      <c r="B64" s="105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2"/>
      <c r="B65" s="105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2"/>
      <c r="B66" s="105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51">
        <v>35</v>
      </c>
      <c r="B67" s="105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51"/>
      <c r="B68" s="105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5">
        <v>40</v>
      </c>
      <c r="B73" s="105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5"/>
      <c r="B74" s="105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6">
        <v>41</v>
      </c>
      <c r="B75" s="105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6"/>
      <c r="B76" s="105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6"/>
      <c r="B77" s="105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5">
        <v>42</v>
      </c>
      <c r="B78" s="105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5"/>
      <c r="B79" s="105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6">
        <v>49</v>
      </c>
      <c r="B86" s="105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6"/>
      <c r="B87" s="105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6"/>
      <c r="B88" s="105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5">
        <v>50</v>
      </c>
      <c r="B89" s="105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5"/>
      <c r="B90" s="105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6">
        <v>51</v>
      </c>
      <c r="B91" s="105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6"/>
      <c r="B92" s="105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6">
        <v>53</v>
      </c>
      <c r="B94" s="105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6"/>
      <c r="B95" s="105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5">
        <v>54</v>
      </c>
      <c r="B96" s="105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5"/>
      <c r="B97" s="105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5"/>
      <c r="B98" s="105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5">
        <v>58</v>
      </c>
      <c r="B102" s="105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5"/>
      <c r="B103" s="105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5">
        <v>60</v>
      </c>
      <c r="B105" s="105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5"/>
      <c r="B106" s="105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5"/>
      <c r="B107" s="105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6">
        <v>61</v>
      </c>
      <c r="B108" s="105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6"/>
      <c r="B109" s="105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6"/>
      <c r="B110" s="105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5">
        <v>64</v>
      </c>
      <c r="B113" s="105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5"/>
      <c r="B114" s="105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5">
        <v>66</v>
      </c>
      <c r="B116" s="105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5"/>
      <c r="B117" s="105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6">
        <v>67</v>
      </c>
      <c r="B118" s="105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6"/>
      <c r="B119" s="105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6"/>
      <c r="B120" s="105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5">
        <v>68</v>
      </c>
      <c r="B121" s="105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5"/>
      <c r="B122" s="105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6">
        <v>69</v>
      </c>
      <c r="B123" s="105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6"/>
      <c r="B124" s="105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5">
        <v>72</v>
      </c>
      <c r="B127" s="1052" t="s">
        <v>65</v>
      </c>
      <c r="C127" s="119" t="s">
        <v>26</v>
      </c>
      <c r="D127" s="120">
        <v>3.3</v>
      </c>
      <c r="E127" s="121"/>
      <c r="F127" s="122" t="s">
        <v>30</v>
      </c>
      <c r="G127" s="104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5"/>
      <c r="B128" s="1052"/>
      <c r="C128" s="103" t="s">
        <v>26</v>
      </c>
      <c r="D128" s="88">
        <v>12.9</v>
      </c>
      <c r="E128" s="106"/>
      <c r="F128" s="107" t="s">
        <v>16</v>
      </c>
      <c r="G128" s="104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5">
        <v>76</v>
      </c>
      <c r="B132" s="105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5"/>
      <c r="B133" s="105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5"/>
      <c r="B134" s="105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5"/>
      <c r="B135" s="105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5">
        <v>78</v>
      </c>
      <c r="B137" s="10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5"/>
      <c r="B138" s="10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5" t="s">
        <v>133</v>
      </c>
      <c r="J420" s="104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4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4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4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4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4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4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4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3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39" t="s">
        <v>467</v>
      </c>
      <c r="H2160" s="414" t="s">
        <v>515</v>
      </c>
      <c r="I2160" s="415" t="s">
        <v>516</v>
      </c>
      <c r="J2160" s="104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3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39"/>
      <c r="H2161" s="421" t="s">
        <v>515</v>
      </c>
      <c r="I2161" s="422" t="s">
        <v>516</v>
      </c>
      <c r="J2161" s="104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3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39"/>
      <c r="H2162" s="429" t="s">
        <v>515</v>
      </c>
      <c r="I2162" s="430" t="s">
        <v>516</v>
      </c>
      <c r="J2162" s="104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3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39" t="s">
        <v>467</v>
      </c>
      <c r="H2165" s="414" t="s">
        <v>516</v>
      </c>
      <c r="I2165" s="415" t="s">
        <v>516</v>
      </c>
      <c r="J2165" s="104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3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39"/>
      <c r="H2166" s="429" t="s">
        <v>516</v>
      </c>
      <c r="I2166" s="430" t="s">
        <v>516</v>
      </c>
      <c r="J2166" s="104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3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3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3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3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3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3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3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3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3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3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3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3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3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3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3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3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3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3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3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3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3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0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0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1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1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18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0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0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0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0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0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1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0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0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0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0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1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0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0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1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0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0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0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0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0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0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0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0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1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18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1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18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1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1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0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1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0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0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0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0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0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0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1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1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0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0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1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1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18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0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1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0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0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0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0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0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1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0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0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1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0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0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0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0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1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0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0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0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0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0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0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0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0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1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0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1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18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0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1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0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0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1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18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0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0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1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1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0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0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0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0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1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0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1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1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1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18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0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0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1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1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1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0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0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0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0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0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0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1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1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0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0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0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0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0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0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1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1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0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0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0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0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0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0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0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1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1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18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0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1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0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1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18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1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1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0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1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1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18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1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0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0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0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0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0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0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1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0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0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0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0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0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1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0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0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0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0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1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1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0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1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1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0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0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0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0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1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0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1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1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1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0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0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0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0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0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0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0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0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0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0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0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0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0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0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0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0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0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0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0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0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0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0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0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0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0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0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0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0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0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0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0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0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0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0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0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0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0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0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0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0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0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0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0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0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0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0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0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0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0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0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0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0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0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0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0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0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0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0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0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0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0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0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0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0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0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0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0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0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0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0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0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0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0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0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0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0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0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0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0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0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0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0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0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0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0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0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0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0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0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0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0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0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0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0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0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0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0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0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0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0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0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0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0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0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0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0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0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0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0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0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0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0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0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0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0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0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0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0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0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0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0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0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0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0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0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0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0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0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0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0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0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0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0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0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0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0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0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0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0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0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0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0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0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0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0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0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0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0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0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0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0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0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0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0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0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0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0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0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0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0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0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0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1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0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0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0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0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0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0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0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0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0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0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0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0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0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0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0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0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0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0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0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0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0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0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0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0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0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0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0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0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0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0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0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0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0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0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0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0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0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0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0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0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0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0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0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0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0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0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0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0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0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0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0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0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0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0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0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0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0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0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0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0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0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0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0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0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0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0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0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0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0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0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0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0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0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0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0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0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0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0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0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0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0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0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0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0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0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0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0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0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6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6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6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6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6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1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6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1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6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6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0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0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6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1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1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6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6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0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0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0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0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0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0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0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0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0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0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0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0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0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0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6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0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0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0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0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6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0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0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0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0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0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0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0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0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0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2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0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0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0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0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0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1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0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0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0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0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0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2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1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0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2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1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0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2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1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2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1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2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1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2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1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2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1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0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2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5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01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01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01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1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0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0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2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6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0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01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01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01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1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0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2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1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2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1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0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0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2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1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2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1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2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5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5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3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5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3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1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2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1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0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2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1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0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0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0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2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1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0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0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0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2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01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01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01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1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0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0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2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1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2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01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1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0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0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2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5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5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5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1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2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1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0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2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1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2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01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01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1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2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1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2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1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0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0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0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2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1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0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0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2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06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1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92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01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01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8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5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5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9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1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92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x14ac:dyDescent="0.25">
      <c r="A7069" s="99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2444</v>
      </c>
      <c r="R7069" s="943"/>
    </row>
    <row r="7070" spans="1:18" x14ac:dyDescent="0.25">
      <c r="A7070" s="1001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x14ac:dyDescent="0.25">
      <c r="A7071" s="1001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thickBot="1" x14ac:dyDescent="0.3">
      <c r="A7072" s="99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9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91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2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100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91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3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2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4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9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91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2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9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3"/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3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9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100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91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92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9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1001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1001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1001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1001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9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9" ht="19.5" thickBot="1" x14ac:dyDescent="0.3">
      <c r="A7105" s="100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9" x14ac:dyDescent="0.25">
      <c r="A7106" s="101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9" x14ac:dyDescent="0.25">
      <c r="A7107" s="1015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9" x14ac:dyDescent="0.25">
      <c r="A7108" s="1015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7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9" ht="19.5" thickBot="1" x14ac:dyDescent="0.3">
      <c r="A7109" s="101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9" x14ac:dyDescent="0.25">
      <c r="A7110" s="99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9" ht="19.5" thickBot="1" x14ac:dyDescent="0.3">
      <c r="A7111" s="100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9" x14ac:dyDescent="0.25">
      <c r="A7112" s="991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9" x14ac:dyDescent="0.25">
      <c r="A7113" s="100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9" ht="19.5" thickBot="1" x14ac:dyDescent="0.3">
      <c r="A7114" s="992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9" x14ac:dyDescent="0.25">
      <c r="A7115" s="99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995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2441</v>
      </c>
      <c r="R7115" s="943"/>
    </row>
    <row r="7116" spans="1:19" x14ac:dyDescent="0.25">
      <c r="A7116" s="1001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07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2442</v>
      </c>
      <c r="R7116" s="943"/>
    </row>
    <row r="7117" spans="1:19" x14ac:dyDescent="0.25">
      <c r="A7117" s="1001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07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2443</v>
      </c>
      <c r="R7117" s="943"/>
    </row>
    <row r="7118" spans="1:19" ht="19.5" thickBot="1" x14ac:dyDescent="0.3">
      <c r="A7118" s="998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996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80">
        <v>954</v>
      </c>
      <c r="R7118" s="2" t="s">
        <v>2422</v>
      </c>
      <c r="S7118" s="2">
        <v>954</v>
      </c>
    </row>
    <row r="7119" spans="1:19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982">
        <v>5004</v>
      </c>
      <c r="R7119" s="978" t="s">
        <v>2423</v>
      </c>
    </row>
    <row r="7120" spans="1:19" ht="56.25" x14ac:dyDescent="0.25">
      <c r="A7120" s="99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1001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1001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1001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9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995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2439</v>
      </c>
    </row>
    <row r="7128" spans="1:18" ht="19.5" thickBot="1" x14ac:dyDescent="0.3">
      <c r="A7128" s="998"/>
      <c r="B7128" s="877" t="s">
        <v>2347</v>
      </c>
      <c r="C7128" s="786" t="s">
        <v>23</v>
      </c>
      <c r="D7128" s="787">
        <v>2.5</v>
      </c>
      <c r="E7128" s="787"/>
      <c r="F7128" s="788" t="s">
        <v>16</v>
      </c>
      <c r="G7128" s="996"/>
      <c r="H7128" s="873" t="s">
        <v>2347</v>
      </c>
      <c r="I7128" s="788"/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2424</v>
      </c>
      <c r="Q7128" s="980">
        <v>2505</v>
      </c>
    </row>
    <row r="7129" spans="1:18" x14ac:dyDescent="0.25">
      <c r="A7129" s="991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3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2448</v>
      </c>
    </row>
    <row r="7130" spans="1:18" ht="19.5" thickBot="1" x14ac:dyDescent="0.3">
      <c r="A7130" s="992"/>
      <c r="B7130" s="841" t="s">
        <v>2405</v>
      </c>
      <c r="C7130" s="983" t="s">
        <v>47</v>
      </c>
      <c r="D7130" s="984">
        <v>3.8</v>
      </c>
      <c r="E7130" s="984">
        <v>3.8260000000000001</v>
      </c>
      <c r="F7130" s="985" t="s">
        <v>16</v>
      </c>
      <c r="G7130" s="994"/>
      <c r="H7130" s="985" t="s">
        <v>2405</v>
      </c>
      <c r="I7130" s="985" t="s">
        <v>2405</v>
      </c>
      <c r="J7130" s="845"/>
      <c r="K7130" s="886"/>
      <c r="L7130" s="985" t="s">
        <v>28</v>
      </c>
      <c r="M7130" s="985">
        <v>3810</v>
      </c>
      <c r="N7130" s="846">
        <v>0.5</v>
      </c>
      <c r="O7130" s="897" t="s">
        <v>2427</v>
      </c>
      <c r="P7130" s="867" t="s">
        <v>2449</v>
      </c>
    </row>
    <row r="7131" spans="1:18" x14ac:dyDescent="0.25">
      <c r="A7131" s="99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/>
      <c r="F7131" s="535" t="s">
        <v>16</v>
      </c>
      <c r="G7131" s="536"/>
      <c r="H7131" s="535" t="s">
        <v>2344</v>
      </c>
      <c r="I7131" s="537"/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>
        <v>6302589</v>
      </c>
      <c r="Q7131" s="979">
        <v>6895</v>
      </c>
      <c r="R7131" s="943"/>
    </row>
    <row r="7132" spans="1:18" x14ac:dyDescent="0.25">
      <c r="A7132" s="1001"/>
      <c r="B7132" s="824" t="s">
        <v>2294</v>
      </c>
      <c r="C7132" s="820" t="s">
        <v>24</v>
      </c>
      <c r="D7132" s="821">
        <v>9.032</v>
      </c>
      <c r="E7132" s="822"/>
      <c r="F7132" s="819" t="s">
        <v>16</v>
      </c>
      <c r="G7132" s="823"/>
      <c r="H7132" s="819" t="s">
        <v>2344</v>
      </c>
      <c r="I7132" s="782"/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>
        <v>6303106</v>
      </c>
      <c r="Q7132" s="979">
        <v>7741</v>
      </c>
      <c r="R7132" s="943"/>
    </row>
    <row r="7133" spans="1:18" x14ac:dyDescent="0.25">
      <c r="A7133" s="1001"/>
      <c r="B7133" s="813" t="s">
        <v>2405</v>
      </c>
      <c r="C7133" s="814" t="s">
        <v>15</v>
      </c>
      <c r="D7133" s="815">
        <v>2.2999999999999998</v>
      </c>
      <c r="E7133" s="815"/>
      <c r="F7133" s="816" t="s">
        <v>16</v>
      </c>
      <c r="G7133" s="817" t="s">
        <v>76</v>
      </c>
      <c r="H7133" s="816" t="s">
        <v>2344</v>
      </c>
      <c r="I7133" s="816"/>
      <c r="J7133" s="818"/>
      <c r="K7133" s="986"/>
      <c r="L7133" s="816" t="s">
        <v>28</v>
      </c>
      <c r="M7133" s="816">
        <v>2310</v>
      </c>
      <c r="N7133" s="811">
        <v>0.54166666666666663</v>
      </c>
      <c r="O7133" s="897" t="s">
        <v>2433</v>
      </c>
      <c r="R7133" s="943"/>
    </row>
    <row r="7134" spans="1:18" ht="19.5" thickBot="1" x14ac:dyDescent="0.3">
      <c r="A7134" s="998"/>
      <c r="B7134" s="785" t="s">
        <v>2405</v>
      </c>
      <c r="C7134" s="786" t="s">
        <v>24</v>
      </c>
      <c r="D7134" s="787">
        <v>1</v>
      </c>
      <c r="E7134" s="787"/>
      <c r="F7134" s="788" t="s">
        <v>16</v>
      </c>
      <c r="G7134" s="789" t="s">
        <v>76</v>
      </c>
      <c r="H7134" s="788" t="s">
        <v>2344</v>
      </c>
      <c r="I7134" s="788"/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2436</v>
      </c>
    </row>
    <row r="7135" spans="1:18" x14ac:dyDescent="0.25">
      <c r="A7135" s="991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6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100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6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thickBot="1" x14ac:dyDescent="0.3">
      <c r="A7137" s="992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7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x14ac:dyDescent="0.25">
      <c r="A7138" s="99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5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2453</v>
      </c>
    </row>
    <row r="7139" spans="1:18" ht="19.5" thickBot="1" x14ac:dyDescent="0.3">
      <c r="A7139" s="99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6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2452</v>
      </c>
    </row>
    <row r="7140" spans="1:18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4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2451</v>
      </c>
    </row>
    <row r="7141" spans="1:18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18" x14ac:dyDescent="0.25">
      <c r="A7142" s="991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/>
      <c r="F7142" s="483" t="s">
        <v>16</v>
      </c>
      <c r="G7142" s="899"/>
      <c r="H7142" s="483" t="s">
        <v>2347</v>
      </c>
      <c r="I7142" s="484"/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</row>
    <row r="7143" spans="1:18" ht="19.5" thickBot="1" x14ac:dyDescent="0.3">
      <c r="A7143" s="992"/>
      <c r="B7143" s="805" t="s">
        <v>2344</v>
      </c>
      <c r="C7143" s="806" t="s">
        <v>26</v>
      </c>
      <c r="D7143" s="807">
        <v>2.1</v>
      </c>
      <c r="E7143" s="807"/>
      <c r="F7143" s="808" t="s">
        <v>16</v>
      </c>
      <c r="G7143" s="902"/>
      <c r="H7143" s="808" t="s">
        <v>2347</v>
      </c>
      <c r="I7143" s="808"/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</row>
    <row r="7144" spans="1:18" x14ac:dyDescent="0.25">
      <c r="A7144" s="99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/>
      <c r="F7144" s="535" t="s">
        <v>16</v>
      </c>
      <c r="G7144" s="536"/>
      <c r="H7144" s="535" t="s">
        <v>2347</v>
      </c>
      <c r="I7144" s="537"/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Q7144" s="980">
        <v>4926</v>
      </c>
      <c r="R7144" s="978" t="s">
        <v>2423</v>
      </c>
    </row>
    <row r="7145" spans="1:18" x14ac:dyDescent="0.25">
      <c r="A7145" s="1001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2440</v>
      </c>
    </row>
    <row r="7146" spans="1:18" x14ac:dyDescent="0.25">
      <c r="A7146" s="1001"/>
      <c r="B7146" s="563" t="s">
        <v>2294</v>
      </c>
      <c r="C7146" s="564" t="s">
        <v>23</v>
      </c>
      <c r="D7146" s="565">
        <v>7.7270000000000003</v>
      </c>
      <c r="E7146" s="566"/>
      <c r="F7146" s="567" t="s">
        <v>16</v>
      </c>
      <c r="G7146" s="568"/>
      <c r="H7146" s="567" t="s">
        <v>2347</v>
      </c>
      <c r="I7146" s="569"/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Q7146" s="980">
        <v>7432</v>
      </c>
    </row>
    <row r="7147" spans="1:18" ht="19.5" thickBot="1" x14ac:dyDescent="0.3">
      <c r="A7147" s="998"/>
      <c r="B7147" s="832" t="s">
        <v>2405</v>
      </c>
      <c r="C7147" s="906" t="s">
        <v>23</v>
      </c>
      <c r="D7147" s="828">
        <v>1.6</v>
      </c>
      <c r="E7147" s="828"/>
      <c r="F7147" s="829" t="s">
        <v>16</v>
      </c>
      <c r="G7147" s="830" t="s">
        <v>76</v>
      </c>
      <c r="H7147" s="829" t="s">
        <v>2347</v>
      </c>
      <c r="I7147" s="829"/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2434</v>
      </c>
    </row>
    <row r="7148" spans="1:18" x14ac:dyDescent="0.25">
      <c r="A7148" s="991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03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2445</v>
      </c>
    </row>
    <row r="7149" spans="1:18" x14ac:dyDescent="0.25">
      <c r="A7149" s="100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04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2446</v>
      </c>
    </row>
    <row r="7150" spans="1:18" ht="19.5" thickBot="1" x14ac:dyDescent="0.3">
      <c r="A7150" s="992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04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2447</v>
      </c>
    </row>
    <row r="7151" spans="1:18" x14ac:dyDescent="0.25">
      <c r="A7151" s="99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/>
      <c r="F7151" s="535" t="s">
        <v>16</v>
      </c>
      <c r="G7151" s="536"/>
      <c r="H7151" s="535" t="s">
        <v>2347</v>
      </c>
      <c r="I7151" s="537"/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Q7151" s="981">
        <v>8106</v>
      </c>
      <c r="R7151" s="943"/>
    </row>
    <row r="7152" spans="1:18" x14ac:dyDescent="0.25">
      <c r="A7152" s="1005"/>
      <c r="B7152" s="824" t="s">
        <v>2294</v>
      </c>
      <c r="C7152" s="820" t="s">
        <v>23</v>
      </c>
      <c r="D7152" s="821">
        <v>8.6920000000000002</v>
      </c>
      <c r="E7152" s="822"/>
      <c r="F7152" s="819" t="s">
        <v>16</v>
      </c>
      <c r="G7152" s="823"/>
      <c r="H7152" s="819" t="s">
        <v>2347</v>
      </c>
      <c r="I7152" s="782"/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Q7152" s="981">
        <v>7874</v>
      </c>
      <c r="R7152" s="943"/>
    </row>
    <row r="7153" spans="1:18" ht="19.5" thickBot="1" x14ac:dyDescent="0.3">
      <c r="A7153" s="1000"/>
      <c r="B7153" s="785" t="s">
        <v>2405</v>
      </c>
      <c r="C7153" s="786" t="s">
        <v>23</v>
      </c>
      <c r="D7153" s="787">
        <v>1.6</v>
      </c>
      <c r="E7153" s="787"/>
      <c r="F7153" s="788" t="s">
        <v>16</v>
      </c>
      <c r="G7153" s="789" t="s">
        <v>76</v>
      </c>
      <c r="H7153" s="788" t="s">
        <v>2347</v>
      </c>
      <c r="I7153" s="788"/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2435</v>
      </c>
    </row>
    <row r="7154" spans="1:18" ht="19.5" thickBot="1" x14ac:dyDescent="0.3">
      <c r="A7154" s="513">
        <f t="shared" ref="A7154:A7163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2450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/>
      <c r="F7156" s="577" t="s">
        <v>16</v>
      </c>
      <c r="G7156" s="578"/>
      <c r="H7156" s="577" t="s">
        <v>2405</v>
      </c>
      <c r="I7156" s="579"/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Q7156" s="979">
        <v>9317</v>
      </c>
      <c r="R7156" s="978" t="s">
        <v>2423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/>
      <c r="F7158" s="518" t="s">
        <v>16</v>
      </c>
      <c r="G7158" s="519"/>
      <c r="H7158" s="518" t="s">
        <v>2416</v>
      </c>
      <c r="I7158" s="520"/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ht="19.5" thickBot="1" x14ac:dyDescent="0.3">
      <c r="A7161" s="503">
        <f t="shared" si="216"/>
        <v>4417</v>
      </c>
      <c r="B7161" s="504" t="s">
        <v>2405</v>
      </c>
      <c r="C7161" s="505" t="s">
        <v>26</v>
      </c>
      <c r="D7161" s="506">
        <v>17.614999999999998</v>
      </c>
      <c r="E7161" s="507"/>
      <c r="F7161" s="508" t="s">
        <v>16</v>
      </c>
      <c r="G7161" s="509"/>
      <c r="H7161" s="508" t="s">
        <v>2425</v>
      </c>
      <c r="I7161" s="510"/>
      <c r="J7161" s="511"/>
      <c r="K7161" s="504"/>
      <c r="L7161" s="508" t="s">
        <v>265</v>
      </c>
      <c r="M7161" s="508">
        <v>17770.98</v>
      </c>
      <c r="N7161" s="512">
        <v>0.375</v>
      </c>
      <c r="O7161" s="897" t="s">
        <v>2428</v>
      </c>
    </row>
    <row r="7162" spans="1:18" ht="19.5" thickBot="1" x14ac:dyDescent="0.3">
      <c r="A7162" s="513">
        <f t="shared" si="216"/>
        <v>4418</v>
      </c>
      <c r="B7162" s="514" t="s">
        <v>2405</v>
      </c>
      <c r="C7162" s="515" t="s">
        <v>26</v>
      </c>
      <c r="D7162" s="516">
        <v>17.378</v>
      </c>
      <c r="E7162" s="517"/>
      <c r="F7162" s="518" t="s">
        <v>16</v>
      </c>
      <c r="G7162" s="519"/>
      <c r="H7162" s="518" t="s">
        <v>2425</v>
      </c>
      <c r="I7162" s="520"/>
      <c r="J7162" s="521"/>
      <c r="K7162" s="514"/>
      <c r="L7162" s="518" t="s">
        <v>265</v>
      </c>
      <c r="M7162" s="518">
        <v>17390.300000000003</v>
      </c>
      <c r="N7162" s="522">
        <v>0.41666666666666669</v>
      </c>
      <c r="O7162" s="897" t="s">
        <v>2429</v>
      </c>
    </row>
    <row r="7163" spans="1:18" x14ac:dyDescent="0.25">
      <c r="A7163" s="997">
        <f t="shared" si="216"/>
        <v>4419</v>
      </c>
      <c r="B7163" s="531" t="s">
        <v>2405</v>
      </c>
      <c r="C7163" s="532" t="s">
        <v>15</v>
      </c>
      <c r="D7163" s="533">
        <v>8.6199999999999992</v>
      </c>
      <c r="E7163" s="534"/>
      <c r="F7163" s="535" t="s">
        <v>30</v>
      </c>
      <c r="G7163" s="536"/>
      <c r="H7163" s="535" t="s">
        <v>2425</v>
      </c>
      <c r="I7163" s="537"/>
      <c r="J7163" s="538"/>
      <c r="K7163" s="531"/>
      <c r="L7163" s="535" t="s">
        <v>28</v>
      </c>
      <c r="M7163" s="535">
        <v>8620.1999999999989</v>
      </c>
      <c r="N7163" s="539">
        <v>0.41666666666666669</v>
      </c>
      <c r="O7163" s="897" t="s">
        <v>2432</v>
      </c>
    </row>
    <row r="7164" spans="1:18" ht="19.5" thickBot="1" x14ac:dyDescent="0.3">
      <c r="A7164" s="998"/>
      <c r="B7164" s="636" t="s">
        <v>2405</v>
      </c>
      <c r="C7164" s="637" t="s">
        <v>24</v>
      </c>
      <c r="D7164" s="638">
        <v>5.6710000000000003</v>
      </c>
      <c r="E7164" s="639"/>
      <c r="F7164" s="640" t="s">
        <v>30</v>
      </c>
      <c r="G7164" s="641"/>
      <c r="H7164" s="640" t="s">
        <v>2425</v>
      </c>
      <c r="I7164" s="642"/>
      <c r="J7164" s="643"/>
      <c r="K7164" s="636"/>
      <c r="L7164" s="640" t="s">
        <v>28</v>
      </c>
      <c r="M7164" s="640">
        <v>5671.5599999999995</v>
      </c>
      <c r="N7164" s="644">
        <v>0.41666666666666669</v>
      </c>
      <c r="O7164" s="897" t="s">
        <v>2431</v>
      </c>
    </row>
    <row r="7165" spans="1:18" ht="19.5" thickBot="1" x14ac:dyDescent="0.3">
      <c r="A7165" s="513">
        <f>MAX(A7012:A7164)+1</f>
        <v>4420</v>
      </c>
      <c r="B7165" s="514" t="s">
        <v>2405</v>
      </c>
      <c r="C7165" s="515" t="s">
        <v>26</v>
      </c>
      <c r="D7165" s="516">
        <v>19.986000000000001</v>
      </c>
      <c r="E7165" s="517"/>
      <c r="F7165" s="518" t="s">
        <v>16</v>
      </c>
      <c r="G7165" s="519"/>
      <c r="H7165" s="518" t="s">
        <v>2426</v>
      </c>
      <c r="I7165" s="520"/>
      <c r="J7165" s="521"/>
      <c r="K7165" s="514"/>
      <c r="L7165" s="518" t="s">
        <v>265</v>
      </c>
      <c r="M7165" s="518">
        <v>20167.020000000004</v>
      </c>
      <c r="N7165" s="522">
        <v>0.375</v>
      </c>
      <c r="O7165" s="897" t="s">
        <v>2430</v>
      </c>
    </row>
    <row r="7166" spans="1:18" x14ac:dyDescent="0.25">
      <c r="A7166" s="997">
        <f>MAX(A7013:A7165)+1</f>
        <v>4421</v>
      </c>
      <c r="B7166" s="531" t="s">
        <v>2405</v>
      </c>
      <c r="C7166" s="532" t="s">
        <v>587</v>
      </c>
      <c r="D7166" s="533">
        <v>8.9429999999999996</v>
      </c>
      <c r="E7166" s="534"/>
      <c r="F7166" s="535" t="s">
        <v>16</v>
      </c>
      <c r="G7166" s="536" t="s">
        <v>47</v>
      </c>
      <c r="H7166" s="535" t="s">
        <v>2426</v>
      </c>
      <c r="I7166" s="537"/>
      <c r="J7166" s="538"/>
      <c r="K7166" s="531"/>
      <c r="L7166" s="535" t="s">
        <v>28</v>
      </c>
      <c r="M7166" s="535">
        <v>8943.9599999999991</v>
      </c>
      <c r="N7166" s="539">
        <v>0.41666666666666669</v>
      </c>
      <c r="O7166" s="897" t="s">
        <v>2437</v>
      </c>
    </row>
    <row r="7167" spans="1:18" ht="19.5" thickBot="1" x14ac:dyDescent="0.3">
      <c r="A7167" s="1001"/>
      <c r="B7167" s="590" t="s">
        <v>2405</v>
      </c>
      <c r="C7167" s="591" t="s">
        <v>47</v>
      </c>
      <c r="D7167" s="592">
        <v>8.657</v>
      </c>
      <c r="E7167" s="593"/>
      <c r="F7167" s="594" t="s">
        <v>16</v>
      </c>
      <c r="G7167" s="988"/>
      <c r="H7167" s="594" t="s">
        <v>2426</v>
      </c>
      <c r="I7167" s="596"/>
      <c r="J7167" s="597"/>
      <c r="K7167" s="590"/>
      <c r="L7167" s="594" t="s">
        <v>28</v>
      </c>
      <c r="M7167" s="594">
        <v>8766.5399999999991</v>
      </c>
      <c r="N7167" s="598">
        <v>0.41666666666666669</v>
      </c>
      <c r="O7167" s="897" t="s">
        <v>2438</v>
      </c>
    </row>
    <row r="7168" spans="1:18" ht="19.5" thickBot="1" x14ac:dyDescent="0.3">
      <c r="A7168" s="513">
        <f t="shared" ref="A7168:A7185" si="217">MAX(A7015:A7167)+1</f>
        <v>4422</v>
      </c>
      <c r="B7168" s="514" t="s">
        <v>2416</v>
      </c>
      <c r="C7168" s="515" t="s">
        <v>26</v>
      </c>
      <c r="D7168" s="516">
        <v>16.048999999999999</v>
      </c>
      <c r="E7168" s="517"/>
      <c r="F7168" s="518" t="s">
        <v>30</v>
      </c>
      <c r="G7168" s="519"/>
      <c r="H7168" s="518" t="s">
        <v>2426</v>
      </c>
      <c r="I7168" s="520"/>
      <c r="J7168" s="521"/>
      <c r="K7168" s="514"/>
      <c r="L7168" s="518" t="s">
        <v>265</v>
      </c>
      <c r="M7168" s="518">
        <v>16049.4</v>
      </c>
      <c r="N7168" s="522">
        <v>0.375</v>
      </c>
      <c r="O7168" s="897" t="s">
        <v>2454</v>
      </c>
    </row>
    <row r="7169" spans="1:16" x14ac:dyDescent="0.25">
      <c r="A7169" s="997">
        <f t="shared" si="217"/>
        <v>4423</v>
      </c>
      <c r="B7169" s="531" t="s">
        <v>2416</v>
      </c>
      <c r="C7169" s="532" t="s">
        <v>41</v>
      </c>
      <c r="D7169" s="533">
        <v>8.5500000000000007</v>
      </c>
      <c r="E7169" s="534"/>
      <c r="F7169" s="535" t="s">
        <v>16</v>
      </c>
      <c r="G7169" s="536"/>
      <c r="H7169" s="535" t="s">
        <v>2426</v>
      </c>
      <c r="I7169" s="537"/>
      <c r="J7169" s="538"/>
      <c r="K7169" s="531"/>
      <c r="L7169" s="535" t="s">
        <v>266</v>
      </c>
      <c r="M7169" s="535">
        <v>8637.08</v>
      </c>
      <c r="N7169" s="539">
        <v>0.45833333333333331</v>
      </c>
      <c r="O7169" s="897" t="s">
        <v>2456</v>
      </c>
      <c r="P7169" s="952"/>
    </row>
    <row r="7170" spans="1:16" x14ac:dyDescent="0.25">
      <c r="A7170" s="1001"/>
      <c r="B7170" s="563" t="s">
        <v>2416</v>
      </c>
      <c r="C7170" s="564" t="s">
        <v>981</v>
      </c>
      <c r="D7170" s="565">
        <v>0.312</v>
      </c>
      <c r="E7170" s="566"/>
      <c r="F7170" s="567" t="s">
        <v>16</v>
      </c>
      <c r="G7170" s="568" t="s">
        <v>844</v>
      </c>
      <c r="H7170" s="567" t="s">
        <v>2426</v>
      </c>
      <c r="I7170" s="569"/>
      <c r="J7170" s="570"/>
      <c r="K7170" s="563"/>
      <c r="L7170" s="567" t="s">
        <v>266</v>
      </c>
      <c r="M7170" s="567">
        <v>312</v>
      </c>
      <c r="N7170" s="571">
        <v>0.45833333333333331</v>
      </c>
      <c r="O7170" s="897" t="s">
        <v>2457</v>
      </c>
      <c r="P7170" s="952"/>
    </row>
    <row r="7171" spans="1:16" x14ac:dyDescent="0.25">
      <c r="A7171" s="1001"/>
      <c r="B7171" s="563" t="s">
        <v>2416</v>
      </c>
      <c r="C7171" s="564" t="s">
        <v>981</v>
      </c>
      <c r="D7171" s="565">
        <v>4.2960000000000003</v>
      </c>
      <c r="E7171" s="566"/>
      <c r="F7171" s="567" t="s">
        <v>16</v>
      </c>
      <c r="G7171" s="568" t="s">
        <v>845</v>
      </c>
      <c r="H7171" s="567" t="s">
        <v>2426</v>
      </c>
      <c r="I7171" s="569"/>
      <c r="J7171" s="570"/>
      <c r="K7171" s="563"/>
      <c r="L7171" s="567" t="s">
        <v>266</v>
      </c>
      <c r="M7171" s="567">
        <v>4296.3200000000006</v>
      </c>
      <c r="N7171" s="571">
        <v>0.45833333333333331</v>
      </c>
      <c r="O7171" s="897" t="s">
        <v>2458</v>
      </c>
      <c r="P7171" s="952"/>
    </row>
    <row r="7172" spans="1:16" ht="19.5" thickBot="1" x14ac:dyDescent="0.3">
      <c r="A7172" s="998"/>
      <c r="B7172" s="636" t="s">
        <v>2416</v>
      </c>
      <c r="C7172" s="637" t="s">
        <v>32</v>
      </c>
      <c r="D7172" s="638">
        <v>5.3289999999999997</v>
      </c>
      <c r="E7172" s="639"/>
      <c r="F7172" s="640" t="s">
        <v>16</v>
      </c>
      <c r="G7172" s="989" t="s">
        <v>1702</v>
      </c>
      <c r="H7172" s="640" t="s">
        <v>2426</v>
      </c>
      <c r="I7172" s="642"/>
      <c r="J7172" s="643"/>
      <c r="K7172" s="636"/>
      <c r="L7172" s="640" t="s">
        <v>266</v>
      </c>
      <c r="M7172" s="640">
        <v>5329.0000000000009</v>
      </c>
      <c r="N7172" s="644">
        <v>0.45833333333333331</v>
      </c>
      <c r="O7172" s="897" t="s">
        <v>2459</v>
      </c>
      <c r="P7172" s="952"/>
    </row>
    <row r="7173" spans="1:16" x14ac:dyDescent="0.25">
      <c r="A7173" s="991">
        <f t="shared" si="217"/>
        <v>4424</v>
      </c>
      <c r="B7173" s="479" t="s">
        <v>2416</v>
      </c>
      <c r="C7173" s="480" t="s">
        <v>26</v>
      </c>
      <c r="D7173" s="481">
        <v>17.504999999999999</v>
      </c>
      <c r="E7173" s="482"/>
      <c r="F7173" s="483" t="s">
        <v>16</v>
      </c>
      <c r="G7173" s="987"/>
      <c r="H7173" s="483" t="s">
        <v>2455</v>
      </c>
      <c r="I7173" s="484"/>
      <c r="J7173" s="485"/>
      <c r="K7173" s="479"/>
      <c r="L7173" s="483" t="s">
        <v>265</v>
      </c>
      <c r="M7173" s="483">
        <v>17674.04</v>
      </c>
      <c r="N7173" s="486">
        <v>0.375</v>
      </c>
      <c r="O7173" s="897" t="s">
        <v>2460</v>
      </c>
    </row>
    <row r="7174" spans="1:16" ht="19.5" thickBot="1" x14ac:dyDescent="0.3">
      <c r="A7174" s="992"/>
      <c r="B7174" s="645" t="s">
        <v>2416</v>
      </c>
      <c r="C7174" s="646" t="s">
        <v>952</v>
      </c>
      <c r="D7174" s="647">
        <v>2.4489999999999998</v>
      </c>
      <c r="E7174" s="648"/>
      <c r="F7174" s="649" t="s">
        <v>16</v>
      </c>
      <c r="G7174" s="990"/>
      <c r="H7174" s="649" t="s">
        <v>2455</v>
      </c>
      <c r="I7174" s="651"/>
      <c r="J7174" s="652"/>
      <c r="K7174" s="645"/>
      <c r="L7174" s="649" t="s">
        <v>265</v>
      </c>
      <c r="M7174" s="649">
        <v>2533.3200000000002</v>
      </c>
      <c r="N7174" s="653">
        <v>0.375</v>
      </c>
      <c r="O7174" s="897" t="s">
        <v>2461</v>
      </c>
    </row>
    <row r="7175" spans="1:16" x14ac:dyDescent="0.25">
      <c r="A7175" s="997">
        <f t="shared" si="217"/>
        <v>4425</v>
      </c>
      <c r="B7175" s="531" t="s">
        <v>2416</v>
      </c>
      <c r="C7175" s="532" t="s">
        <v>839</v>
      </c>
      <c r="D7175" s="533">
        <v>0.76500000000000001</v>
      </c>
      <c r="E7175" s="534"/>
      <c r="F7175" s="535" t="s">
        <v>16</v>
      </c>
      <c r="G7175" s="536"/>
      <c r="H7175" s="535" t="s">
        <v>2455</v>
      </c>
      <c r="I7175" s="537"/>
      <c r="J7175" s="538"/>
      <c r="K7175" s="531"/>
      <c r="L7175" s="535" t="s">
        <v>28</v>
      </c>
      <c r="M7175" s="535">
        <v>772.8</v>
      </c>
      <c r="N7175" s="539">
        <v>0.41666666666666669</v>
      </c>
      <c r="O7175" s="897" t="s">
        <v>2463</v>
      </c>
    </row>
    <row r="7176" spans="1:16" ht="19.5" thickBot="1" x14ac:dyDescent="0.3">
      <c r="A7176" s="998"/>
      <c r="B7176" s="636" t="s">
        <v>2416</v>
      </c>
      <c r="C7176" s="637" t="s">
        <v>23</v>
      </c>
      <c r="D7176" s="638">
        <v>16.699000000000002</v>
      </c>
      <c r="E7176" s="639"/>
      <c r="F7176" s="640" t="s">
        <v>16</v>
      </c>
      <c r="G7176" s="989"/>
      <c r="H7176" s="640" t="s">
        <v>2455</v>
      </c>
      <c r="I7176" s="642"/>
      <c r="J7176" s="643"/>
      <c r="K7176" s="636"/>
      <c r="L7176" s="640" t="s">
        <v>28</v>
      </c>
      <c r="M7176" s="640">
        <v>16789.900000000001</v>
      </c>
      <c r="N7176" s="644">
        <v>0.41666666666666669</v>
      </c>
      <c r="O7176" s="897" t="s">
        <v>2462</v>
      </c>
    </row>
    <row r="7177" spans="1:16" x14ac:dyDescent="0.25">
      <c r="A7177" s="676">
        <f t="shared" si="217"/>
        <v>4426</v>
      </c>
      <c r="B7177" s="676"/>
      <c r="C7177" s="473"/>
      <c r="D7177" s="474"/>
      <c r="E7177" s="475"/>
      <c r="F7177" s="676"/>
      <c r="G7177" s="476"/>
      <c r="H7177" s="676"/>
      <c r="I7177" s="477"/>
      <c r="J7177" s="478"/>
      <c r="K7177" s="676"/>
      <c r="L7177" s="676"/>
      <c r="M7177" s="676"/>
      <c r="N7177" s="676"/>
    </row>
    <row r="7178" spans="1:16" x14ac:dyDescent="0.25">
      <c r="A7178" s="676">
        <f t="shared" si="217"/>
        <v>4427</v>
      </c>
      <c r="B7178" s="676"/>
      <c r="C7178" s="473"/>
      <c r="D7178" s="474"/>
      <c r="E7178" s="475"/>
      <c r="F7178" s="676"/>
      <c r="G7178" s="476"/>
      <c r="H7178" s="676"/>
      <c r="I7178" s="477"/>
      <c r="J7178" s="478"/>
      <c r="K7178" s="676"/>
      <c r="L7178" s="676"/>
      <c r="M7178" s="676"/>
      <c r="N7178" s="676"/>
    </row>
    <row r="7179" spans="1:16" x14ac:dyDescent="0.25">
      <c r="A7179" s="676">
        <f t="shared" si="217"/>
        <v>4428</v>
      </c>
      <c r="B7179" s="676"/>
      <c r="C7179" s="473"/>
      <c r="D7179" s="474"/>
      <c r="E7179" s="475"/>
      <c r="F7179" s="676"/>
      <c r="G7179" s="476"/>
      <c r="H7179" s="676"/>
      <c r="I7179" s="477"/>
      <c r="J7179" s="478"/>
      <c r="K7179" s="676"/>
      <c r="L7179" s="676"/>
      <c r="M7179" s="676"/>
      <c r="N7179" s="676"/>
    </row>
    <row r="7180" spans="1:16" x14ac:dyDescent="0.25">
      <c r="A7180" s="676">
        <f t="shared" si="217"/>
        <v>4429</v>
      </c>
      <c r="B7180" s="676"/>
      <c r="C7180" s="473"/>
      <c r="D7180" s="474"/>
      <c r="E7180" s="475"/>
      <c r="F7180" s="676"/>
      <c r="G7180" s="476"/>
      <c r="H7180" s="676"/>
      <c r="I7180" s="477"/>
      <c r="J7180" s="478"/>
      <c r="K7180" s="676"/>
      <c r="L7180" s="676"/>
      <c r="M7180" s="676"/>
      <c r="N7180" s="676"/>
    </row>
    <row r="7181" spans="1:16" x14ac:dyDescent="0.25">
      <c r="A7181" s="676">
        <f t="shared" si="217"/>
        <v>4430</v>
      </c>
      <c r="B7181" s="676"/>
      <c r="C7181" s="473"/>
      <c r="D7181" s="474"/>
      <c r="E7181" s="475"/>
      <c r="F7181" s="676"/>
      <c r="G7181" s="476"/>
      <c r="H7181" s="676"/>
      <c r="I7181" s="477"/>
      <c r="J7181" s="478"/>
      <c r="K7181" s="676"/>
      <c r="L7181" s="676"/>
      <c r="M7181" s="676"/>
      <c r="N7181" s="676"/>
    </row>
    <row r="7182" spans="1:16" x14ac:dyDescent="0.25">
      <c r="A7182" s="676">
        <f t="shared" si="217"/>
        <v>4431</v>
      </c>
      <c r="B7182" s="676"/>
      <c r="C7182" s="473"/>
      <c r="D7182" s="474"/>
      <c r="E7182" s="475"/>
      <c r="F7182" s="676"/>
      <c r="G7182" s="476"/>
      <c r="H7182" s="676"/>
      <c r="I7182" s="477"/>
      <c r="J7182" s="478"/>
      <c r="K7182" s="676"/>
      <c r="L7182" s="676"/>
      <c r="M7182" s="676"/>
      <c r="N7182" s="676"/>
    </row>
    <row r="7183" spans="1:16" x14ac:dyDescent="0.25">
      <c r="A7183" s="676">
        <f t="shared" si="217"/>
        <v>4432</v>
      </c>
      <c r="B7183" s="676"/>
      <c r="C7183" s="473"/>
      <c r="D7183" s="474"/>
      <c r="E7183" s="475"/>
      <c r="F7183" s="676"/>
      <c r="G7183" s="476"/>
      <c r="H7183" s="676"/>
      <c r="I7183" s="477"/>
      <c r="J7183" s="478"/>
      <c r="K7183" s="676"/>
      <c r="L7183" s="676"/>
      <c r="M7183" s="676"/>
      <c r="N7183" s="676"/>
    </row>
    <row r="7184" spans="1:16" x14ac:dyDescent="0.25">
      <c r="A7184" s="676">
        <f t="shared" si="217"/>
        <v>4433</v>
      </c>
      <c r="B7184" s="676"/>
      <c r="C7184" s="473"/>
      <c r="D7184" s="474"/>
      <c r="E7184" s="475"/>
      <c r="F7184" s="676"/>
      <c r="G7184" s="476"/>
      <c r="H7184" s="676"/>
      <c r="I7184" s="477"/>
      <c r="J7184" s="478"/>
      <c r="K7184" s="676"/>
      <c r="L7184" s="676"/>
      <c r="M7184" s="676"/>
      <c r="N7184" s="676"/>
    </row>
    <row r="7185" spans="1:14" x14ac:dyDescent="0.25">
      <c r="A7185" s="676">
        <f t="shared" si="217"/>
        <v>4434</v>
      </c>
      <c r="B7185" s="676"/>
      <c r="C7185" s="473"/>
      <c r="D7185" s="474"/>
      <c r="E7185" s="475"/>
      <c r="F7185" s="676"/>
      <c r="G7185" s="476"/>
      <c r="H7185" s="676"/>
      <c r="I7185" s="477"/>
      <c r="J7185" s="478"/>
      <c r="K7185" s="676"/>
      <c r="L7185" s="676"/>
      <c r="M7185" s="676"/>
      <c r="N7185" s="676"/>
    </row>
  </sheetData>
  <autoFilter ref="A2:R7185" xr:uid="{9E4C531E-AD50-422A-AC7C-8C5AF4C19268}">
    <filterColumn colId="10">
      <filters blank="1"/>
    </filterColumn>
  </autoFilter>
  <mergeCells count="1891">
    <mergeCell ref="A7169:A7172"/>
    <mergeCell ref="A7173:A7174"/>
    <mergeCell ref="A7175:A7176"/>
    <mergeCell ref="A7163:A7164"/>
    <mergeCell ref="A7166:A7167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G4765:G4766"/>
    <mergeCell ref="A4754:A4755"/>
    <mergeCell ref="A4964:A4965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342:A5343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6703:A6706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2026-09-03T13:27:57Z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