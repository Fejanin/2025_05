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F8C9486D-CC60-4082-8544-19D2404A38CE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Лист1!$A$2:$R$7138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s="1"/>
  <c r="A7024" i="1" s="1"/>
  <c r="A7025" i="1" s="1"/>
  <c r="A7026" i="1" s="1"/>
  <c r="A7028" i="1" s="1"/>
  <c r="A7031" i="1" s="1"/>
  <c r="A7032" i="1" s="1"/>
  <c r="A7035" i="1" s="1"/>
  <c r="A7037" i="1" s="1"/>
  <c r="A7039" i="1" s="1"/>
  <c r="A7041" i="1" s="1"/>
  <c r="A7042" i="1" s="1"/>
  <c r="A7047" i="1" l="1"/>
  <c r="A7050" i="1" s="1"/>
  <c r="A7054" i="1" s="1"/>
  <c r="A7056" i="1" s="1"/>
  <c r="A7058" i="1" s="1"/>
  <c r="A7062" i="1" l="1"/>
  <c r="A7063" i="1" s="1"/>
  <c r="A7067" i="1" s="1"/>
  <c r="A7069" i="1" s="1"/>
  <c r="A7073" i="1" s="1"/>
  <c r="A7074" i="1" l="1"/>
  <c r="A7076" i="1" s="1"/>
  <c r="A7078" i="1" s="1"/>
  <c r="A7080" i="1" s="1"/>
  <c r="A7082" i="1" s="1"/>
  <c r="A7084" i="1" s="1"/>
  <c r="A7086" i="1" s="1"/>
  <c r="A7088" i="1" s="1"/>
  <c r="A7089" i="1" l="1"/>
  <c r="A7090" i="1" s="1"/>
  <c r="A7091" i="1" s="1"/>
  <c r="A7092" i="1" l="1"/>
  <c r="A7093" i="1"/>
  <c r="A7095" i="1" s="1"/>
  <c r="A7097" i="1" l="1"/>
  <c r="A7103" i="1" s="1"/>
  <c r="A7104" i="1" l="1"/>
  <c r="A7106" i="1" s="1"/>
  <c r="A7110" i="1" l="1"/>
  <c r="A7112" i="1" s="1"/>
  <c r="A7115" i="1" s="1"/>
  <c r="A7119" i="1" l="1"/>
  <c r="A7120" i="1" s="1"/>
  <c r="A7124" i="1" s="1"/>
  <c r="A7125" i="1" s="1"/>
  <c r="A7126" i="1" s="1"/>
  <c r="A7127" i="1" s="1"/>
  <c r="A7128" i="1" s="1"/>
  <c r="A7129" i="1" l="1"/>
  <c r="A7131" i="1" s="1"/>
  <c r="A7134" i="1" l="1"/>
  <c r="A7136" i="1" s="1"/>
  <c r="A7137" i="1" s="1"/>
  <c r="A7138" i="1" s="1"/>
  <c r="A7139" i="1" l="1"/>
  <c r="A7142" i="1" s="1"/>
  <c r="A7145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</calcChain>
</file>

<file path=xl/sharedStrings.xml><?xml version="1.0" encoding="utf-8"?>
<sst xmlns="http://schemas.openxmlformats.org/spreadsheetml/2006/main" count="45818" uniqueCount="2408">
  <si>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</si>
  <si>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</si>
  <si>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</si>
  <si>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</si>
  <si>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</si>
  <si>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</si>
  <si>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</si>
  <si>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</si>
  <si>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</si>
  <si>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</si>
  <si>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</si>
  <si>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</si>
  <si>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</si>
  <si>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</si>
  <si>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</si>
  <si>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</si>
  <si>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</si>
  <si>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</si>
  <si>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</si>
  <si>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</si>
  <si>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</si>
  <si>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</si>
  <si>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</si>
  <si>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</si>
  <si>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</si>
  <si>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</si>
  <si>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</si>
  <si>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</si>
  <si>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</si>
  <si>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</si>
  <si>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</si>
  <si>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</si>
  <si>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</si>
  <si>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</si>
  <si>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</si>
  <si>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</si>
  <si>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</si>
  <si>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</si>
  <si>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</si>
  <si>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</si>
  <si>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</si>
  <si>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</si>
  <si>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</si>
  <si>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</si>
  <si>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</si>
  <si>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</si>
  <si>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</si>
  <si>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</si>
  <si>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</si>
  <si>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</si>
  <si>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</si>
  <si>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</si>
  <si>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</si>
  <si>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</si>
  <si>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</si>
  <si>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</si>
  <si>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</si>
  <si>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</si>
  <si>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</si>
  <si>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</si>
  <si>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</si>
  <si>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</si>
  <si>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</si>
  <si>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</si>
  <si>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</si>
  <si>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</si>
  <si>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</si>
  <si>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</si>
  <si>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</si>
  <si>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</si>
  <si>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</si>
  <si>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</si>
  <si>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</si>
  <si>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</si>
  <si>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</si>
  <si>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</si>
  <si>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</si>
  <si>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</si>
  <si>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</si>
  <si>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</si>
  <si>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</si>
  <si>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</si>
  <si>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</si>
  <si>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</si>
  <si>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</si>
  <si>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</si>
  <si>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</si>
  <si>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</si>
  <si>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</si>
  <si>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</si>
  <si>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</si>
  <si>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</si>
  <si>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</si>
  <si>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</si>
  <si>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</si>
  <si>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</si>
  <si>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</si>
  <si>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</si>
  <si>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</si>
  <si>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</si>
  <si>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</si>
  <si>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</si>
  <si>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</si>
  <si>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</si>
  <si>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</si>
  <si>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</si>
  <si>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</si>
  <si>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</si>
  <si>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</si>
  <si>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</si>
  <si>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</si>
  <si>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</si>
  <si>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</si>
  <si>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</si>
  <si>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</si>
  <si>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</si>
  <si>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</si>
  <si>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</si>
  <si>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</si>
  <si>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</si>
  <si>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</si>
  <si>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</si>
  <si>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</si>
  <si>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</si>
  <si>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</si>
  <si>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</si>
  <si>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</si>
  <si>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</si>
  <si>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</si>
  <si>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</si>
  <si>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</si>
  <si>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</si>
  <si>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</si>
  <si>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</si>
  <si>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</si>
  <si>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</si>
  <si>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</si>
  <si>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</si>
  <si>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</si>
  <si>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</si>
  <si>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</si>
  <si>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</si>
  <si>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</si>
  <si>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</si>
  <si>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</si>
  <si>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</si>
  <si>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</si>
  <si>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</si>
  <si>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</si>
  <si>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</si>
  <si>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</si>
  <si>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</si>
  <si>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</si>
  <si>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</si>
  <si>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</si>
  <si>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</si>
  <si>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</si>
  <si>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</si>
  <si>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</si>
  <si>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</si>
  <si>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</si>
  <si>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</si>
  <si>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</si>
  <si>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</si>
  <si>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</si>
  <si>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</si>
  <si>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</si>
  <si>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</si>
  <si>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</si>
  <si>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</si>
  <si>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</si>
  <si>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</si>
  <si>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</si>
  <si>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</si>
  <si>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</si>
  <si>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</si>
  <si>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</si>
  <si>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</si>
  <si>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</si>
  <si>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</si>
  <si>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</si>
  <si>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</si>
  <si>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</si>
  <si>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</si>
  <si>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</si>
  <si>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</si>
  <si>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</si>
  <si>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</si>
  <si>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</si>
  <si>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</si>
  <si>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</si>
  <si>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</si>
  <si>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</si>
  <si>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</si>
  <si>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</si>
  <si>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</si>
  <si>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</si>
  <si>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</si>
  <si>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</si>
  <si>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</si>
  <si>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</si>
  <si>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</si>
  <si>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</si>
  <si>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</si>
  <si>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</si>
  <si>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</si>
  <si>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</si>
  <si>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</si>
  <si>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</si>
  <si>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</si>
  <si>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</si>
  <si>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</si>
  <si>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</si>
  <si>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</si>
  <si>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</si>
  <si>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</si>
  <si>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</si>
  <si>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</si>
  <si>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</si>
  <si>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</si>
  <si>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</si>
  <si>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</si>
  <si>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</si>
  <si>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</si>
  <si>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</si>
  <si>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</si>
  <si>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</si>
  <si>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</si>
  <si>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</si>
  <si>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</si>
  <si>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</si>
  <si>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</si>
  <si>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</si>
  <si>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</si>
  <si>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</si>
  <si>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</si>
  <si>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</si>
  <si>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</si>
  <si>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</si>
  <si>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</si>
  <si>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</si>
  <si>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</si>
  <si>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</si>
  <si>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</si>
  <si>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</si>
  <si>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</si>
  <si>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</si>
  <si>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</si>
  <si>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</si>
  <si>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</si>
  <si>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</si>
  <si>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</si>
  <si>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</si>
  <si>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</si>
  <si>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</si>
  <si>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</si>
  <si>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</si>
  <si>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</si>
  <si>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</si>
  <si>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</si>
  <si>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</si>
  <si>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</si>
  <si>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</si>
  <si>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</si>
  <si>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</si>
  <si>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</si>
  <si>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</si>
  <si>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</si>
  <si>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</si>
  <si>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</si>
  <si>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</si>
  <si>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</si>
  <si>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</si>
  <si>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</si>
  <si>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</si>
  <si>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</si>
  <si>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</si>
  <si>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</si>
  <si>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</si>
  <si>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</si>
  <si>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</si>
  <si>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</si>
  <si>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</si>
  <si>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</si>
  <si>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</si>
  <si>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</si>
  <si>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</si>
  <si>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</si>
  <si>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</si>
  <si>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</si>
  <si>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</si>
  <si>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</si>
  <si>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</si>
  <si>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</si>
  <si>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</si>
  <si>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</si>
  <si>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</si>
  <si>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</si>
  <si>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</si>
  <si>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</si>
  <si>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</si>
  <si>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</si>
  <si>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</si>
  <si>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</si>
  <si>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</si>
  <si>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</si>
  <si>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</si>
  <si>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</si>
  <si>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</si>
  <si>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</si>
  <si>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</si>
  <si>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</si>
  <si>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</si>
  <si>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</si>
  <si>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</si>
  <si>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</si>
  <si>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</si>
  <si>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</si>
  <si>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</si>
  <si>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</si>
  <si>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</si>
  <si>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</si>
  <si>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</si>
  <si>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</si>
  <si>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</si>
  <si>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</si>
  <si>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</si>
  <si>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</si>
  <si>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</si>
  <si>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</si>
  <si>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</si>
  <si>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</si>
  <si>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</si>
  <si>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</si>
  <si>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</si>
  <si>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</si>
  <si>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</si>
  <si>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</si>
  <si>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</si>
  <si>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</si>
  <si>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</si>
  <si>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</si>
  <si>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</si>
  <si>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</si>
  <si>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</si>
  <si>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</si>
  <si>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</si>
  <si>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</si>
  <si>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</si>
  <si>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</si>
  <si>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</si>
  <si>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</si>
  <si>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</si>
  <si>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</si>
  <si>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</si>
  <si>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</si>
  <si>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</si>
  <si>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</si>
  <si>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</si>
  <si>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</si>
  <si>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</si>
  <si>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</si>
  <si>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</si>
  <si>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</si>
  <si>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</si>
  <si>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</si>
  <si>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</si>
  <si>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</si>
  <si>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</si>
  <si>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</si>
  <si>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</si>
  <si>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</si>
  <si>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</si>
  <si>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</si>
  <si>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</si>
  <si>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</si>
  <si>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</si>
  <si>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</si>
  <si>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</si>
  <si>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</si>
  <si>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</si>
  <si>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</si>
  <si>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</si>
  <si>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</si>
  <si>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</si>
  <si>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</si>
  <si>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</si>
  <si>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</si>
  <si>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</si>
  <si>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</si>
  <si>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</si>
  <si>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</si>
  <si>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</si>
  <si>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</si>
  <si>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</si>
  <si>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</si>
  <si>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</si>
  <si>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</si>
  <si>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</si>
  <si>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</si>
  <si>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</si>
  <si>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</si>
  <si>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</si>
  <si>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</si>
  <si>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</si>
  <si>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</si>
  <si>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</si>
  <si>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</si>
  <si>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</si>
  <si>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</si>
  <si>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</si>
  <si>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</si>
  <si>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</si>
  <si>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</si>
  <si>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</si>
  <si>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</si>
  <si>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</si>
  <si>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</si>
  <si>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</si>
  <si>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</si>
  <si>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</si>
  <si>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</si>
  <si>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</si>
  <si>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</si>
  <si>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</si>
  <si>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</si>
  <si>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</si>
  <si>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</si>
  <si>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</si>
  <si>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</si>
  <si>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</si>
  <si>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</si>
  <si>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</si>
  <si>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</si>
  <si>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</si>
  <si>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</si>
  <si>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</si>
  <si>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</si>
  <si>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</si>
  <si>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</si>
  <si>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</si>
  <si>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</si>
  <si>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</si>
  <si>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</si>
  <si>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</si>
  <si>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</si>
  <si>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</si>
  <si>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</si>
  <si>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</si>
  <si>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</si>
  <si>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</si>
  <si>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</si>
  <si>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</si>
  <si>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</si>
  <si>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</si>
  <si>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</si>
  <si>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</si>
  <si>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</si>
  <si>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</si>
  <si>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</si>
  <si>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</si>
  <si>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</si>
  <si>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</si>
  <si>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</si>
  <si>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</si>
  <si>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</si>
  <si>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</si>
  <si>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</si>
  <si>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</si>
  <si>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</si>
  <si>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</si>
  <si>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</si>
  <si>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</si>
  <si>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</si>
  <si>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</si>
  <si>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</si>
  <si>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</si>
  <si>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</si>
  <si>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</si>
  <si>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</si>
  <si>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</si>
  <si>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</si>
  <si>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</si>
  <si>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</si>
  <si>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</si>
  <si>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</si>
  <si>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</si>
  <si>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</si>
  <si>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</si>
  <si>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</si>
  <si>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</si>
  <si>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</si>
  <si>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</si>
  <si>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</si>
  <si>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</si>
  <si>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</si>
  <si>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</si>
  <si>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</si>
  <si>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</si>
  <si>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</si>
  <si>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</si>
  <si>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</si>
  <si>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</si>
  <si>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</si>
  <si>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</si>
  <si>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</si>
  <si>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</si>
  <si>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</si>
  <si>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</si>
  <si>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</si>
  <si>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</si>
  <si>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</si>
  <si>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</si>
  <si>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</si>
  <si>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</si>
  <si>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</si>
  <si>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</si>
  <si>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</si>
  <si>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</si>
  <si>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</si>
  <si>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</si>
  <si>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</si>
  <si>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</si>
  <si>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</si>
  <si>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</si>
  <si>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</si>
  <si>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</si>
  <si>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</si>
  <si>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</si>
  <si>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</si>
  <si>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</si>
  <si>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</si>
  <si>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</si>
  <si>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</si>
  <si>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</si>
  <si>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</si>
  <si>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</si>
  <si>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</si>
  <si>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</si>
  <si>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</si>
  <si>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</si>
  <si>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</si>
  <si>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</si>
  <si>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</si>
  <si>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</si>
  <si>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</si>
  <si>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</si>
  <si>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</si>
  <si>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</si>
  <si>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</si>
  <si>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</si>
  <si>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</si>
  <si>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</si>
  <si>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</si>
  <si>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</si>
  <si>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</si>
  <si>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</si>
  <si>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</si>
  <si>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</si>
  <si>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</si>
  <si>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</si>
  <si>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</si>
  <si>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</si>
  <si>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</si>
  <si>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</si>
  <si>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</si>
  <si>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</si>
  <si>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</si>
  <si>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</si>
  <si>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</si>
  <si>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</si>
  <si>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</si>
  <si>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</si>
  <si>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</si>
  <si>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</si>
  <si>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</si>
  <si>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</si>
  <si>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</si>
  <si>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</si>
  <si>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</si>
  <si>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</si>
  <si>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</si>
  <si>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</si>
  <si>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</si>
  <si>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</si>
  <si>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</si>
  <si>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</si>
  <si>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</si>
  <si>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</si>
  <si>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</si>
  <si>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</si>
  <si>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</si>
  <si>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</si>
  <si>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</si>
  <si>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</si>
  <si>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</si>
  <si>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</si>
  <si>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</si>
  <si>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</si>
  <si>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</si>
  <si>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</si>
  <si>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</si>
  <si>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</si>
  <si>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</si>
  <si>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</si>
  <si>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</si>
  <si>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</si>
  <si>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</si>
  <si>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</si>
  <si>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</si>
  <si>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</si>
  <si>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</si>
  <si>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</si>
  <si>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</si>
  <si>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</si>
  <si>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</si>
  <si>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</si>
  <si>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</si>
  <si>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</si>
  <si>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</si>
  <si>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</si>
  <si>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</si>
  <si>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</si>
  <si>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</si>
  <si>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</si>
  <si>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</si>
  <si>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</si>
  <si>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</si>
  <si>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</si>
  <si>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</si>
  <si>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</si>
  <si>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</si>
  <si>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</si>
  <si>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</si>
  <si>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</si>
  <si>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</si>
  <si>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</si>
  <si>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</si>
  <si>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</si>
  <si>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</si>
  <si>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</si>
  <si>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</si>
  <si>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</si>
  <si>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</si>
  <si>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</si>
  <si>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</si>
  <si>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</si>
  <si>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</si>
  <si>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</si>
  <si>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</si>
  <si>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</si>
  <si>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</si>
  <si>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</si>
  <si>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</si>
  <si>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</si>
  <si>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</si>
  <si>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</si>
  <si>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</si>
  <si>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</si>
  <si>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</si>
  <si>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</si>
  <si>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</si>
  <si>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</si>
  <si>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</si>
  <si>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</si>
  <si>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</si>
  <si>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</si>
  <si>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</si>
  <si>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</si>
  <si>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</si>
  <si>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</si>
  <si>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</si>
  <si>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</si>
  <si>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</si>
  <si>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</si>
  <si>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</si>
  <si>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</si>
  <si>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</si>
  <si>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</si>
  <si>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</si>
  <si>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</si>
  <si>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</si>
  <si>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</si>
  <si>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</si>
  <si>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</si>
  <si>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</si>
  <si>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</si>
  <si>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</si>
  <si>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</si>
  <si>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</si>
  <si>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</si>
  <si>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</si>
  <si>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</si>
  <si>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</si>
  <si>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</si>
  <si>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</si>
  <si>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</si>
  <si>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</si>
  <si>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</si>
  <si>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</si>
  <si>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</si>
  <si>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</si>
  <si>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</si>
  <si>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</si>
  <si>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</si>
  <si>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</si>
  <si>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</si>
  <si>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</si>
  <si>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</si>
  <si>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</si>
  <si>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</si>
  <si>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</si>
  <si>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</si>
  <si>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</si>
  <si>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</si>
  <si>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</si>
  <si>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</si>
  <si>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</si>
  <si>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</si>
  <si>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</si>
  <si>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</si>
  <si>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</si>
  <si>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</si>
  <si>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</si>
  <si>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</si>
  <si>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</si>
  <si>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</si>
  <si>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</si>
  <si>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</si>
  <si>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</si>
  <si>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</si>
  <si>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</si>
  <si>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</si>
  <si>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</si>
  <si>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</si>
  <si>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</si>
  <si>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</si>
  <si>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</si>
  <si>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</si>
  <si>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</si>
  <si>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</si>
  <si>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</si>
  <si>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</si>
  <si>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</si>
  <si>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</si>
  <si>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</si>
  <si>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</si>
  <si>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</si>
  <si>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</si>
  <si>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</si>
  <si>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</si>
  <si>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</si>
  <si>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</si>
  <si>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</si>
  <si>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</si>
  <si>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</si>
  <si>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</si>
  <si>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</si>
  <si>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</si>
  <si>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</si>
  <si>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</si>
  <si>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</si>
  <si>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</si>
  <si>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</si>
  <si>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</si>
  <si>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</si>
  <si>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</si>
  <si>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</si>
  <si>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</si>
  <si>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</si>
  <si>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</si>
  <si>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</si>
  <si>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</si>
  <si>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</si>
  <si>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</si>
  <si>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</si>
  <si>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</si>
  <si>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</si>
  <si>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</si>
  <si>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</si>
  <si>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</si>
  <si>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</si>
  <si>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</si>
  <si>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</si>
  <si>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</si>
  <si>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</si>
  <si>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</si>
  <si>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</si>
  <si>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</si>
  <si>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</si>
  <si>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</si>
  <si>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</si>
  <si>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</si>
  <si>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</si>
  <si>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</si>
  <si>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</si>
  <si>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</si>
  <si>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</si>
  <si>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</si>
  <si>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</si>
  <si>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</si>
  <si>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</si>
  <si>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</si>
  <si>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</si>
  <si>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</si>
  <si>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</si>
  <si>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</si>
  <si>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</si>
  <si>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</si>
  <si>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</si>
  <si>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</si>
  <si>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</si>
  <si>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</si>
  <si>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</si>
  <si>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</si>
  <si>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</si>
  <si>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</si>
  <si>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</si>
  <si>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</si>
  <si>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</si>
  <si>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</si>
  <si>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</si>
  <si>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</si>
  <si>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</si>
  <si>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</si>
  <si>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</si>
  <si>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</si>
  <si>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</si>
  <si>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</si>
  <si>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</si>
  <si>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</si>
  <si>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</si>
  <si>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</si>
  <si>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</si>
  <si>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</si>
  <si>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</si>
  <si>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</si>
  <si>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</si>
  <si>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</si>
  <si>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</si>
  <si>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</si>
  <si>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</si>
  <si>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</si>
  <si>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</si>
  <si>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</si>
  <si>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</si>
  <si>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</si>
  <si>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</si>
  <si>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</si>
  <si>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</si>
  <si>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</si>
  <si>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</si>
  <si>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</si>
  <si>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</si>
  <si>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</si>
  <si>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</si>
  <si>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</si>
  <si>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</si>
  <si>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</si>
  <si>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</si>
  <si>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</si>
  <si>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</si>
  <si>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</si>
  <si>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</si>
  <si>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</si>
  <si>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</si>
  <si>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</si>
  <si>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</si>
  <si>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</si>
  <si>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</si>
  <si>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</si>
  <si>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</si>
  <si>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</si>
  <si>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</si>
  <si>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</si>
  <si>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</si>
  <si>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</si>
  <si>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</si>
  <si>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</si>
  <si>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</si>
  <si>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</si>
  <si>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</si>
  <si>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</si>
  <si>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</si>
  <si>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</si>
  <si>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</si>
  <si>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</si>
  <si>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</si>
  <si>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</si>
  <si>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</si>
  <si>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</si>
  <si>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</si>
  <si>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</si>
  <si>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</si>
  <si>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</si>
  <si>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</si>
  <si>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</si>
  <si>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</si>
  <si>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</si>
  <si>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</si>
  <si>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</si>
  <si>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</si>
  <si>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</si>
  <si>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</si>
  <si>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</si>
  <si>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</si>
  <si>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</si>
  <si>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</si>
  <si>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</si>
  <si>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</si>
  <si>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</si>
  <si>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</si>
  <si>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</si>
  <si>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</si>
  <si>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</si>
  <si>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</si>
  <si>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</si>
  <si>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</si>
  <si>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</si>
  <si>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</si>
  <si>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</si>
  <si>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</si>
  <si>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</si>
  <si>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</si>
  <si>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</si>
  <si>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</si>
  <si>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</si>
  <si>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</si>
  <si>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</si>
  <si>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</si>
  <si>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</si>
  <si>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</si>
  <si>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</si>
  <si>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</si>
  <si>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</si>
  <si>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</si>
  <si>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</si>
  <si>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</si>
  <si>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</si>
  <si>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</si>
  <si>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</si>
  <si>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</si>
  <si>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</si>
  <si>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</si>
  <si>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</si>
  <si>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</si>
  <si>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</si>
  <si>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</si>
  <si>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</si>
  <si>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</si>
  <si>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</si>
  <si>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</si>
  <si>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</si>
  <si>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</si>
  <si>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</si>
  <si>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</si>
  <si>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</si>
  <si>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</si>
  <si>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</si>
  <si>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</si>
  <si>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</si>
  <si>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</si>
  <si>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</si>
  <si>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</si>
  <si>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</si>
  <si>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</si>
  <si>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</si>
  <si>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</si>
  <si>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</si>
  <si>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</si>
  <si>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</si>
  <si>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</si>
  <si>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</si>
  <si>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</si>
  <si>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</si>
  <si>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</si>
  <si>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</si>
  <si>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</si>
  <si>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</si>
  <si>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</si>
  <si>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</si>
  <si>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</si>
  <si>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</si>
  <si>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</si>
  <si>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</si>
  <si>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</si>
  <si>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</si>
  <si>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</si>
  <si>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</si>
  <si>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</si>
  <si>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</si>
  <si>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</si>
  <si>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</si>
  <si>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</si>
  <si>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</si>
  <si>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</si>
  <si>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</si>
  <si>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</si>
  <si>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</si>
  <si>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</si>
  <si>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</si>
  <si>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</si>
  <si>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</si>
  <si>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</si>
  <si>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</si>
  <si>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</si>
  <si>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</si>
  <si>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</si>
  <si>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</si>
  <si>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</si>
  <si>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</si>
  <si>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</si>
  <si>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</si>
  <si>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</si>
  <si>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</si>
  <si>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</si>
  <si>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</si>
  <si>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</si>
  <si>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</si>
  <si>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</si>
  <si>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</si>
  <si>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</si>
  <si>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</si>
  <si>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</si>
  <si>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</si>
  <si>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</si>
  <si>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</si>
  <si>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</si>
  <si>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</si>
  <si>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</si>
  <si>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</si>
  <si>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</si>
  <si>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</si>
  <si>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</si>
  <si>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</si>
  <si>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</si>
  <si>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</si>
  <si>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</si>
  <si>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</si>
  <si>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</si>
  <si>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</si>
  <si>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</si>
  <si>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</si>
  <si>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</si>
  <si>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</si>
  <si>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</si>
  <si>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</si>
  <si>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</si>
  <si>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</si>
  <si>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</si>
  <si>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</si>
  <si>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</si>
  <si>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</si>
  <si>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</si>
  <si>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</si>
  <si>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</si>
  <si>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</si>
  <si>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</si>
  <si>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</si>
  <si>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</si>
  <si>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</si>
  <si>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</si>
  <si>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</si>
  <si>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</si>
  <si>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</si>
  <si>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</si>
  <si>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</si>
  <si>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</si>
  <si>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</si>
  <si>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</si>
  <si>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</si>
  <si>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</si>
  <si>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</si>
  <si>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</si>
  <si>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</si>
  <si>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</si>
  <si>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</si>
  <si>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</si>
  <si>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</si>
  <si>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</si>
  <si>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</si>
  <si>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</si>
  <si>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</si>
  <si>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</si>
  <si>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</si>
  <si>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</si>
  <si>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</si>
  <si>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</si>
  <si>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</si>
  <si>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</si>
  <si>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</si>
  <si>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</si>
  <si>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</si>
  <si>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</si>
  <si>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</si>
  <si>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</si>
  <si>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</si>
  <si>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</si>
  <si>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</si>
  <si>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</si>
  <si>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</si>
  <si>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</si>
  <si>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</si>
  <si>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</si>
  <si>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</si>
  <si>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</si>
  <si>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</si>
  <si>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</si>
  <si>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</si>
  <si>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</si>
  <si>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</si>
  <si>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</si>
  <si>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</si>
  <si>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</si>
  <si>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</si>
  <si>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</si>
  <si>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</si>
  <si>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</si>
  <si>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</si>
  <si>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</si>
  <si>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</si>
  <si>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</si>
  <si>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</si>
  <si>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</si>
  <si>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</si>
  <si>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</si>
  <si>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</si>
  <si>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</si>
  <si>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</si>
  <si>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</si>
  <si>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</si>
  <si>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</si>
  <si>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</si>
  <si>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</si>
  <si>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</si>
  <si>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</si>
  <si>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</si>
  <si>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</si>
  <si>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</si>
  <si>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</si>
  <si>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</si>
  <si>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</si>
  <si>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</si>
  <si>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</si>
  <si>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</si>
  <si>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</si>
  <si>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</si>
  <si>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</si>
  <si>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</si>
  <si>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</si>
  <si>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</si>
  <si>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</si>
  <si>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</si>
  <si>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</si>
  <si>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</si>
  <si>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</si>
  <si>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</si>
  <si>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</si>
  <si>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</si>
  <si>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</si>
  <si>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</si>
  <si>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</si>
  <si>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</si>
  <si>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</si>
  <si>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</si>
  <si>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</si>
  <si>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</si>
  <si>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</si>
  <si>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</si>
  <si>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</si>
  <si>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</si>
  <si>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</si>
  <si>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</si>
  <si>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</si>
  <si>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</si>
  <si>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</si>
  <si>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</si>
  <si>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</si>
  <si>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</si>
  <si>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</si>
  <si>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</si>
  <si>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</si>
  <si>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</si>
  <si>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</si>
  <si>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</si>
  <si>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</si>
  <si>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</si>
  <si>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</si>
  <si>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</si>
  <si>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</si>
  <si>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</si>
  <si>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</si>
  <si>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</si>
  <si>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</si>
  <si>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</si>
  <si>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</si>
  <si>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</si>
  <si>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</si>
  <si>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</si>
  <si>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</si>
  <si>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</si>
  <si>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</si>
  <si>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</si>
  <si>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</si>
  <si>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</si>
  <si>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</si>
  <si>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</si>
  <si>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</si>
  <si>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</si>
  <si>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</si>
  <si>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</si>
  <si>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</si>
  <si>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</si>
  <si>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</si>
  <si>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</si>
  <si>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</si>
  <si>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</si>
  <si>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</si>
  <si>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</si>
  <si>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</si>
  <si>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</si>
  <si>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</si>
  <si>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</si>
  <si>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</si>
  <si>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</si>
  <si>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</si>
  <si>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</si>
  <si>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</si>
  <si>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</si>
  <si>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</si>
  <si>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</si>
  <si>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</si>
  <si>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</si>
  <si>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</si>
  <si>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</si>
  <si>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</si>
  <si>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</si>
  <si>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</si>
  <si>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</si>
  <si>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</si>
  <si>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</si>
  <si>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</si>
  <si>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</si>
  <si>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</si>
  <si>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</si>
  <si>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</si>
  <si>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</si>
  <si>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</si>
  <si>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</si>
  <si>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</si>
  <si>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</si>
  <si>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</si>
  <si>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</si>
  <si>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</si>
  <si>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</si>
  <si>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</si>
  <si>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</si>
  <si>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</si>
  <si>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</si>
  <si>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</si>
  <si>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</si>
  <si>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</si>
  <si>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</si>
  <si>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</si>
  <si>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</si>
  <si>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</si>
  <si>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</si>
  <si>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</si>
  <si>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</si>
  <si>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</si>
  <si>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</si>
  <si>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</si>
  <si>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</si>
  <si>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</si>
  <si>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</si>
  <si>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</si>
  <si>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</si>
  <si>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</si>
  <si>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</si>
  <si>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</si>
  <si>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</si>
  <si>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</si>
  <si>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</si>
  <si>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</si>
  <si>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</si>
  <si>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</si>
  <si>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</si>
  <si>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</si>
  <si>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</si>
  <si>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</si>
  <si>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</si>
  <si>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</si>
  <si>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</si>
  <si>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</si>
  <si>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</si>
  <si>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</si>
  <si>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</si>
  <si>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</si>
  <si>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</si>
  <si>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</si>
  <si>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</si>
  <si>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</si>
  <si>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</si>
  <si>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</si>
  <si>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</si>
  <si>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</si>
  <si>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</si>
  <si>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</si>
  <si>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</si>
  <si>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</si>
  <si>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</si>
  <si>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</si>
  <si>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</si>
  <si>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</si>
  <si>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</si>
  <si>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</si>
  <si>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</si>
  <si>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</si>
  <si>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</si>
  <si>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</si>
  <si>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</si>
  <si>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</si>
  <si>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</si>
  <si>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</si>
  <si>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</si>
  <si>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</si>
  <si>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</si>
  <si>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</si>
  <si>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</si>
  <si>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</si>
  <si>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</si>
  <si>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</si>
  <si>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</si>
  <si>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</si>
  <si>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</si>
  <si>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</si>
  <si>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</si>
  <si>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</si>
  <si>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</si>
  <si>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</si>
  <si>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</si>
  <si>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</si>
  <si>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</si>
  <si>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</si>
  <si>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</si>
  <si>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</si>
  <si>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</si>
  <si>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</si>
  <si>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</si>
  <si>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</si>
  <si>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</si>
  <si>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</si>
  <si>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</si>
  <si>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</si>
  <si>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</si>
  <si>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</si>
  <si>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</si>
  <si>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</si>
  <si>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</si>
  <si>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</si>
  <si>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</si>
  <si>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</si>
  <si>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</si>
  <si>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</si>
  <si>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</si>
  <si>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</si>
  <si>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</si>
  <si>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</si>
  <si>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</si>
  <si>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</si>
  <si>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</si>
  <si>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</si>
  <si>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</si>
  <si>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</si>
  <si>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</si>
  <si>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</si>
  <si>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</si>
  <si>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</si>
  <si>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</si>
  <si>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</si>
  <si>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</si>
  <si>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</si>
  <si>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</si>
  <si>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</si>
  <si>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</si>
  <si>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</si>
  <si>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</si>
  <si>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</si>
  <si>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</si>
  <si>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</si>
  <si>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</si>
  <si>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</si>
  <si>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</si>
  <si>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</si>
  <si>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</si>
  <si>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</si>
  <si>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</si>
  <si>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</si>
  <si>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</si>
  <si>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</si>
  <si>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</si>
  <si>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</si>
  <si>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</si>
  <si>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</si>
  <si>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</si>
  <si>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</si>
  <si>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</si>
  <si>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</si>
  <si>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</si>
  <si>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</si>
  <si>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</si>
  <si>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</si>
  <si>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</si>
  <si>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</si>
  <si>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</si>
  <si>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</si>
  <si>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</si>
  <si>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</si>
  <si>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</si>
  <si>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</si>
  <si>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</si>
  <si>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</si>
  <si>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</si>
  <si>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</si>
  <si>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</si>
  <si>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</si>
  <si>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</si>
  <si>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</si>
  <si>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</si>
  <si>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</si>
  <si>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</si>
  <si>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</si>
  <si>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</si>
  <si>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</si>
  <si>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</si>
  <si>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</si>
  <si>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</si>
  <si>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</si>
  <si>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</si>
  <si>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</si>
  <si>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</si>
  <si>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</si>
  <si>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</si>
  <si>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</si>
  <si>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</si>
  <si>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</si>
  <si>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</si>
  <si>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</si>
  <si>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</si>
  <si>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</si>
  <si>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</si>
  <si>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</si>
  <si>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</si>
  <si>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</si>
  <si>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</si>
  <si>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</si>
  <si>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</si>
  <si>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</si>
  <si>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</si>
  <si>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</si>
  <si>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</si>
  <si>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</si>
  <si>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</si>
  <si>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</si>
  <si>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</si>
  <si>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</si>
  <si>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</si>
  <si>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</si>
  <si>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</si>
  <si>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</si>
  <si>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</si>
  <si>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</si>
  <si>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</si>
  <si>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</si>
  <si>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</si>
  <si>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</si>
  <si>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</si>
  <si>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</si>
  <si>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</si>
  <si>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</si>
  <si>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</si>
  <si>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</si>
  <si>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</si>
  <si>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</si>
  <si>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</si>
  <si>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</si>
  <si>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</si>
  <si>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</si>
  <si>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</si>
  <si>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</si>
  <si>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</si>
  <si>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</si>
  <si>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</si>
  <si>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</si>
  <si>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</si>
  <si>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</si>
  <si>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</si>
  <si>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</si>
  <si>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</si>
  <si>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</si>
  <si>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</si>
  <si>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</si>
  <si>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</si>
  <si>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</si>
  <si>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</si>
  <si>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</si>
  <si>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</si>
  <si>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</si>
  <si>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</si>
  <si>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</si>
  <si>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</si>
  <si>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</si>
  <si>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</si>
  <si>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</si>
  <si>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</si>
  <si>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</si>
  <si>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</si>
  <si>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</si>
  <si>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</si>
  <si>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</si>
  <si>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</si>
  <si>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</si>
  <si>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</si>
  <si>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</si>
  <si>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</si>
  <si>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</si>
  <si>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</si>
  <si>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</si>
  <si>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</si>
  <si>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</si>
  <si>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</si>
  <si>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</si>
  <si>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</si>
  <si>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</si>
  <si>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</si>
  <si>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</si>
  <si>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</si>
  <si>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</si>
  <si>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</si>
  <si>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</si>
  <si>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</si>
  <si>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</si>
  <si>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</si>
  <si>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</si>
  <si>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</si>
  <si>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</si>
  <si>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</si>
  <si>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</si>
  <si>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</si>
  <si>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</si>
  <si>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</si>
  <si>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</si>
  <si>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</si>
  <si>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</si>
  <si>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</si>
  <si>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</si>
  <si>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</si>
  <si>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</si>
  <si>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</si>
  <si>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</si>
  <si>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</si>
  <si>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</si>
  <si>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</si>
  <si>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</si>
  <si>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</si>
  <si>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</si>
  <si>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</si>
  <si>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</si>
  <si>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</si>
  <si>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</si>
  <si>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</si>
  <si>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</si>
  <si>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</si>
  <si>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</si>
  <si>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</si>
  <si>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</si>
  <si>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</si>
  <si>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</si>
  <si>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</si>
  <si>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</si>
  <si>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</si>
  <si>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</si>
  <si>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</si>
  <si>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</si>
  <si>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</si>
  <si>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</si>
  <si>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</si>
  <si>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</si>
  <si>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</si>
  <si>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</si>
  <si>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</si>
  <si>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</si>
  <si>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</si>
  <si>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</si>
  <si>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</si>
  <si>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</si>
  <si>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</si>
  <si>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</si>
  <si>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</si>
  <si>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</si>
  <si>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</si>
  <si>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</si>
  <si>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</si>
  <si>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</si>
  <si>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</si>
  <si>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</si>
  <si>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</si>
  <si>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</si>
  <si>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</si>
  <si>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</si>
  <si>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</si>
  <si>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</si>
  <si>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</si>
  <si>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</si>
  <si>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</si>
  <si>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</si>
  <si>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</si>
  <si>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</si>
  <si>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</si>
  <si>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</si>
  <si>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</si>
  <si>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</si>
  <si>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</si>
  <si>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</si>
  <si>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</si>
  <si>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</si>
  <si>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</si>
  <si>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</si>
  <si>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</si>
  <si>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</si>
  <si>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</si>
  <si>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</si>
  <si>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</si>
  <si>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</si>
  <si>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</si>
  <si>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</si>
  <si>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</si>
  <si>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</si>
  <si>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</si>
  <si>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</si>
  <si>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</si>
  <si>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</si>
  <si>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</si>
  <si>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</si>
  <si>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</si>
  <si>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</si>
  <si>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</si>
  <si>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</si>
  <si>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</si>
  <si>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</si>
  <si>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</si>
  <si>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</si>
  <si>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</si>
  <si>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</si>
  <si>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</si>
  <si>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</si>
  <si>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</si>
  <si>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</si>
  <si>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</si>
  <si>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</si>
  <si>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</si>
  <si>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</si>
  <si>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</si>
  <si>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</si>
  <si>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</si>
  <si>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</si>
  <si>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</si>
  <si>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</si>
  <si>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</si>
  <si>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</si>
  <si>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</si>
  <si>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</si>
  <si>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</si>
  <si>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</si>
  <si>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</si>
  <si>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</si>
  <si>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</si>
  <si>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</si>
  <si>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</si>
  <si>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</si>
  <si>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</si>
  <si>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</si>
  <si>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</si>
  <si>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</si>
  <si>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</si>
  <si>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</si>
  <si>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</si>
  <si>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</si>
  <si>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</si>
  <si>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</si>
  <si>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</si>
  <si>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</si>
  <si>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</si>
  <si>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</si>
  <si>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</si>
  <si>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</si>
  <si>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</si>
  <si>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</si>
  <si>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</si>
  <si>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</si>
  <si>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</si>
  <si>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</si>
  <si>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</si>
  <si>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</si>
  <si>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</si>
  <si>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</si>
  <si>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</si>
  <si>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</si>
  <si>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</si>
  <si>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</si>
  <si>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</si>
  <si>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</si>
  <si>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</si>
  <si>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</si>
  <si>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</si>
  <si>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</si>
  <si>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</si>
  <si>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</si>
  <si>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</si>
  <si>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</si>
  <si>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</si>
  <si>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</si>
  <si>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</si>
  <si>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</si>
  <si>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</si>
  <si>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</si>
  <si>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</si>
  <si>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</si>
  <si>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</si>
  <si>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</si>
  <si>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</si>
  <si>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</si>
  <si>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</si>
  <si>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</si>
  <si>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</si>
  <si>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</si>
  <si>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</si>
  <si>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</si>
  <si>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</si>
  <si>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</si>
  <si>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</si>
  <si>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</si>
  <si>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</si>
  <si>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</si>
  <si>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</si>
  <si>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</si>
  <si>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</si>
  <si>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</si>
  <si>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</si>
  <si>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</si>
  <si>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</si>
  <si>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</si>
  <si>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</si>
  <si>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</si>
  <si>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</si>
  <si>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</si>
  <si>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</si>
  <si>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</si>
  <si>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</si>
  <si>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</si>
  <si>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</si>
  <si>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</si>
  <si>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</si>
  <si>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</si>
  <si>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</si>
  <si>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</si>
  <si>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</si>
  <si>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</si>
  <si>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</si>
  <si>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</si>
  <si>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</si>
  <si>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</si>
  <si>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</si>
  <si>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</si>
  <si>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</si>
  <si>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</si>
  <si>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</si>
  <si>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</si>
  <si>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</si>
  <si>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</si>
  <si>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</si>
  <si>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</si>
  <si>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</si>
  <si>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</si>
  <si>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</si>
  <si>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</si>
  <si>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</si>
  <si>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</si>
  <si>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</si>
  <si>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</si>
  <si>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</si>
  <si>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</si>
  <si>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</si>
  <si>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</si>
  <si>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</si>
  <si>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</si>
  <si>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</si>
  <si>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</si>
  <si>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</si>
  <si>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</si>
  <si>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</si>
  <si>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</si>
  <si>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</si>
  <si>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</si>
  <si>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</si>
  <si>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</si>
  <si>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</si>
  <si>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</si>
  <si>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</si>
  <si>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</si>
  <si>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</si>
  <si>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</si>
  <si>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</si>
  <si>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</si>
  <si>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</si>
  <si>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</si>
  <si>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</si>
  <si>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</si>
  <si>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</si>
  <si>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</si>
  <si>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</si>
  <si>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</si>
  <si>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</si>
  <si>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</si>
  <si>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</si>
  <si>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</si>
  <si>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</si>
  <si>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</si>
  <si>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</si>
  <si>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</si>
  <si>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</si>
  <si>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</si>
  <si>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</si>
  <si>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</si>
  <si>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</si>
  <si>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</si>
  <si>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</si>
  <si>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</si>
  <si>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</si>
  <si>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</si>
  <si>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</si>
  <si>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</si>
  <si>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</si>
  <si>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</si>
  <si>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</si>
  <si>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</si>
  <si>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</si>
  <si>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</si>
  <si>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</si>
  <si>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</si>
  <si>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</si>
  <si>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</si>
  <si>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</si>
  <si>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</si>
  <si>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</si>
  <si>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</si>
  <si>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</si>
  <si>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</si>
  <si>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</si>
  <si>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</si>
  <si>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</si>
  <si>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</si>
  <si>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</si>
  <si>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</si>
  <si>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</si>
  <si>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</si>
  <si>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</si>
  <si>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</si>
  <si>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</si>
  <si>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</si>
  <si>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</si>
  <si>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</si>
  <si>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</si>
  <si>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</si>
  <si>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</si>
  <si>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</si>
  <si>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</si>
  <si>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</si>
  <si>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</si>
  <si>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</si>
  <si>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</si>
  <si>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</si>
  <si>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</si>
  <si>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</si>
  <si>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</si>
  <si>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</si>
  <si>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</si>
  <si>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</si>
  <si>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</si>
  <si>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</si>
  <si>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</si>
  <si>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</si>
  <si>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</si>
  <si>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</si>
  <si>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</si>
  <si>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</si>
  <si>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</si>
  <si>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</si>
  <si>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</si>
  <si>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</si>
  <si>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</si>
  <si>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</si>
  <si>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</si>
  <si>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</si>
  <si>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</si>
  <si>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</si>
  <si>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</si>
  <si>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</si>
  <si>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</si>
  <si>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</si>
  <si>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</si>
  <si>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</si>
  <si>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</si>
  <si>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</si>
  <si>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</si>
  <si>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</si>
  <si>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</si>
  <si>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</si>
  <si>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</si>
  <si>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</si>
  <si>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</si>
  <si>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</si>
  <si>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</si>
  <si>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</si>
  <si>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</si>
  <si>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</si>
  <si>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</si>
  <si>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</si>
  <si>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</si>
  <si>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</si>
  <si>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</si>
  <si>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</si>
  <si>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</si>
  <si>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</si>
  <si>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</si>
  <si>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</si>
  <si>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</si>
  <si>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</si>
  <si>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</si>
  <si>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</si>
  <si>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</si>
  <si>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</si>
  <si>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</si>
  <si>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</si>
  <si>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</si>
  <si>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</si>
  <si>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</si>
  <si>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</si>
  <si>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</si>
  <si>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</si>
  <si>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</si>
  <si>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</si>
  <si>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</si>
  <si>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</si>
  <si>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</si>
  <si>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</si>
  <si>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</si>
  <si>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</si>
  <si>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</si>
  <si>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</si>
  <si>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</si>
  <si>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</si>
  <si>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</si>
  <si>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</si>
  <si>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</si>
  <si>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</si>
  <si>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</si>
  <si>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</si>
  <si>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</si>
  <si>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</si>
  <si>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</si>
  <si>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</si>
  <si>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</si>
  <si>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</si>
  <si>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</si>
  <si>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</si>
  <si>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</si>
  <si>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</si>
  <si>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</si>
  <si>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</si>
  <si>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</si>
  <si>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</si>
  <si>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</si>
  <si>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</si>
  <si>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</si>
  <si>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</si>
  <si>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</si>
  <si>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</si>
  <si>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</si>
  <si>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</si>
  <si>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</si>
  <si>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</si>
  <si>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</si>
  <si>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</si>
  <si>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</si>
  <si>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</si>
  <si>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</si>
  <si>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</si>
  <si>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</si>
  <si>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</si>
  <si>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</si>
  <si>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</si>
  <si>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</si>
  <si>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</si>
  <si>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</si>
  <si>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</si>
  <si>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</si>
  <si>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</si>
  <si>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</si>
  <si>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</si>
  <si>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</si>
  <si>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</si>
  <si>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</si>
  <si>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</si>
  <si>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</si>
  <si>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</si>
  <si>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</si>
  <si>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</si>
  <si>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</si>
  <si>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</si>
  <si>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</si>
  <si>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</si>
  <si>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</si>
  <si>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</si>
  <si>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</si>
  <si>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</si>
  <si>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</si>
  <si>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</si>
  <si>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</si>
  <si>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</si>
  <si>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</si>
  <si>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</si>
  <si>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</si>
  <si>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</si>
  <si>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</si>
  <si>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</si>
  <si>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</si>
  <si>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</si>
  <si>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</si>
  <si>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</si>
  <si>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</si>
  <si>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</si>
  <si>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</si>
  <si>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</si>
  <si>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</si>
  <si>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</si>
  <si>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</si>
  <si>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</si>
  <si>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</si>
  <si>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</si>
  <si>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</si>
  <si>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</si>
  <si>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</si>
  <si>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</si>
  <si>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</si>
  <si>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</si>
  <si>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</si>
  <si>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</si>
  <si>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</si>
  <si>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</si>
  <si>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</si>
  <si>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</si>
  <si>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</si>
  <si>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</si>
  <si>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</si>
  <si>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</si>
  <si>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</si>
  <si>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</si>
  <si>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</si>
  <si>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</si>
  <si>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</si>
  <si>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</si>
  <si>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</si>
  <si>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</si>
  <si>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</si>
  <si>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</si>
  <si>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</si>
  <si>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</si>
  <si>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</si>
  <si>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</si>
  <si>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</si>
  <si>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</si>
  <si>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</si>
  <si>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</si>
  <si>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</si>
  <si>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</si>
  <si>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</si>
  <si>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</si>
  <si>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</si>
  <si>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</si>
  <si>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</si>
  <si>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</si>
  <si>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</si>
  <si>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</si>
  <si>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</si>
  <si>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</si>
  <si>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</si>
  <si>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</si>
  <si>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</si>
  <si>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</si>
  <si>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</si>
  <si>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</si>
  <si>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</si>
  <si>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</si>
  <si>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</si>
  <si>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</si>
  <si>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</si>
  <si>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</si>
  <si>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</si>
  <si>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</si>
  <si>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</si>
  <si>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</si>
  <si>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</si>
  <si>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</si>
  <si>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</si>
  <si>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</si>
  <si>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</si>
  <si>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</si>
  <si>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</si>
  <si>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</si>
  <si>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</si>
  <si>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</si>
  <si>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</si>
  <si>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</si>
  <si>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</si>
  <si>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</si>
  <si>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</si>
  <si>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</si>
  <si>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</si>
  <si>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</si>
  <si>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</si>
  <si>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</si>
  <si>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</si>
  <si>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</si>
  <si>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</si>
  <si>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</si>
  <si>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</si>
  <si>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</si>
  <si>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</si>
  <si>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</si>
  <si>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</si>
  <si>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</si>
  <si>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</si>
  <si>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</si>
  <si>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</si>
  <si>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</si>
  <si>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</si>
  <si>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</si>
  <si>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</si>
  <si>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</si>
  <si>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</si>
  <si>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</si>
  <si>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</si>
  <si>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</si>
  <si>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</si>
  <si>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</si>
  <si>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</si>
  <si>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</si>
  <si>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</si>
  <si>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</si>
  <si>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</si>
  <si>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</si>
  <si>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</si>
  <si>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</si>
  <si>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</si>
  <si>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</si>
  <si>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</si>
  <si>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</si>
  <si>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</si>
  <si>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</si>
  <si>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</si>
  <si>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</si>
  <si>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</si>
  <si>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</si>
  <si>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</si>
  <si>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</si>
  <si>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</si>
  <si>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</si>
  <si>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</si>
  <si>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</si>
  <si>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</si>
  <si>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</si>
  <si>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</si>
  <si>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</si>
  <si>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</si>
  <si>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</si>
  <si>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</si>
  <si>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</si>
  <si>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</si>
  <si>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</si>
  <si>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</si>
  <si>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</si>
  <si>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</si>
  <si>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</si>
  <si>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</si>
  <si>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</si>
  <si>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</si>
  <si>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</si>
  <si>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</si>
  <si>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</si>
  <si>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</si>
  <si>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</si>
  <si>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</si>
  <si>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</si>
  <si>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</si>
  <si>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</si>
  <si>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</si>
  <si>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</si>
  <si>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</si>
  <si>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</si>
  <si>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</si>
  <si>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</si>
  <si>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</si>
  <si>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</si>
  <si>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</si>
  <si>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</si>
  <si>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</si>
  <si>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</si>
  <si>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</si>
  <si>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</si>
  <si>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</si>
  <si>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</si>
  <si>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</si>
  <si>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</si>
  <si>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</si>
  <si>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</si>
  <si>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</si>
  <si>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</si>
  <si>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</si>
  <si>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</si>
  <si>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</si>
  <si>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</si>
  <si>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</si>
  <si>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</si>
  <si>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</si>
  <si>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</si>
  <si>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</si>
  <si>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</si>
  <si>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</si>
  <si>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</si>
  <si>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</si>
  <si>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</si>
  <si>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</si>
  <si>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</si>
  <si>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</si>
  <si>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</si>
  <si>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</si>
  <si>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</si>
  <si>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</si>
  <si>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</si>
  <si>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</si>
  <si>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</si>
  <si>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</si>
  <si>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</si>
  <si>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</si>
  <si>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</si>
  <si>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</si>
  <si>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</si>
  <si>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</si>
  <si>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</si>
  <si>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</si>
  <si>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</si>
  <si>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</si>
  <si>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</si>
  <si>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</si>
  <si>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</si>
  <si>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</si>
  <si>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</si>
  <si>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</si>
  <si>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</si>
  <si>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</si>
  <si>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</si>
  <si>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</si>
  <si>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</si>
  <si>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</si>
  <si>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</si>
  <si>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</si>
  <si>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</si>
  <si>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</si>
  <si>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</si>
  <si>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</si>
  <si>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</si>
  <si>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</si>
  <si>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</si>
  <si>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</si>
  <si>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</si>
  <si>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</si>
  <si>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</si>
  <si>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</si>
  <si>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</si>
  <si>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</si>
  <si>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</si>
  <si>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</si>
  <si>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</si>
  <si>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</si>
  <si>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</si>
  <si>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</si>
  <si>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</si>
  <si>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</si>
  <si>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</si>
  <si>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</si>
  <si>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</si>
  <si>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</si>
  <si>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</si>
  <si>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</si>
  <si>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</si>
  <si>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</si>
  <si>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</si>
  <si>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</si>
  <si>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</si>
  <si>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</si>
  <si>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</si>
  <si>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</si>
  <si>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</si>
  <si>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</si>
  <si>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</si>
  <si>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</si>
  <si>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</si>
  <si>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</si>
  <si>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</si>
  <si>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</si>
  <si>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</si>
  <si>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</si>
  <si>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</si>
  <si>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</si>
  <si>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</si>
  <si>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</si>
  <si>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</si>
  <si>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</si>
  <si>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</si>
  <si>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</si>
  <si>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</si>
  <si>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</si>
  <si>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</si>
  <si>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</si>
  <si>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</si>
  <si>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</si>
  <si>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</si>
  <si>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</si>
  <si>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</si>
  <si>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</si>
  <si>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</si>
  <si>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</si>
  <si>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</si>
  <si>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</si>
  <si>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</si>
  <si>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</si>
  <si>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</si>
  <si>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</si>
  <si>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</si>
  <si>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</si>
  <si>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</si>
  <si>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</si>
  <si>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</si>
  <si>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</si>
  <si>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</si>
  <si>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</si>
  <si>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</si>
  <si>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</si>
  <si>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</si>
  <si>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</si>
  <si>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</si>
  <si>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</si>
  <si>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</si>
  <si>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</si>
  <si>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</si>
  <si>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</si>
  <si>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</si>
  <si>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</si>
  <si>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</si>
  <si>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</si>
  <si>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</si>
  <si>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</si>
  <si>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</si>
  <si>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</si>
  <si>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</si>
  <si>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</si>
  <si>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</si>
  <si>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</si>
  <si>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</si>
  <si>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</si>
  <si>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</si>
  <si>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</si>
  <si>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</si>
  <si>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</si>
  <si>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</si>
  <si>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</si>
  <si>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</si>
  <si>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</si>
  <si>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</si>
  <si>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</si>
  <si>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</si>
  <si>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</si>
  <si>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</si>
  <si>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</si>
  <si>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</si>
  <si>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</si>
  <si>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</si>
  <si>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</si>
  <si>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</si>
  <si>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</si>
  <si>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</si>
  <si>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</si>
  <si>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</si>
  <si>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</si>
  <si>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ООО НВ Тс186509-26 30.08.2026 Луганск 2812кг (Решетников)</t>
  </si>
  <si>
    <t>02,09,26</t>
  </si>
  <si>
    <t>TSO001114323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</si>
</sst>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69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45" borderId="0" xfId="0" applyFont="1" applyFill="1" applyAlignment="1">
      <alignment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166" fontId="45" fillId="43" borderId="0" xfId="0" applyNumberFormat="1" applyFont="1" applyFill="1" applyAlignment="1">
      <alignment horizontal="left" vertical="center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10" xfId="0" applyNumberFormat="1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158"/>
  <sheetViews>
    <sheetView tabSelected="1" zoomScale="70" zoomScaleNormal="70" workbookViewId="0">
      <pane ySplit="2" topLeftCell="A7125" activePane="bottomLeft" state="frozen"/>
      <selection pane="bottomLeft" activeCell="L7156" sqref="L715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1021" width="9.140625" style="2"/>
  </cols>
  <sheetData>
    <row r="1" spans="1:18" ht="19.5" customHeight="1" thickBot="1" x14ac:dyDescent="0.3">
      <c r="A1" s="1040" t="s">
        <v>0</v>
      </c>
      <c r="B1" s="1040"/>
      <c r="C1" s="1040"/>
      <c r="D1" s="1040"/>
      <c r="E1" s="1040"/>
      <c r="F1" s="1040"/>
      <c r="G1" s="1040"/>
      <c r="H1" s="1040"/>
      <c r="I1" s="1040"/>
      <c r="J1" s="1040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41">
        <v>1</v>
      </c>
      <c r="B3" s="104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41"/>
      <c r="B4" s="104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37">
        <v>3</v>
      </c>
      <c r="B6" s="103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37"/>
      <c r="B7" s="103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37"/>
      <c r="B8" s="103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37">
        <v>5</v>
      </c>
      <c r="B10" s="103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37"/>
      <c r="B11" s="103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35">
        <v>8</v>
      </c>
      <c r="B14" s="103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35"/>
      <c r="B15" s="103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37">
        <v>11</v>
      </c>
      <c r="B18" s="103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37"/>
      <c r="B19" s="103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37"/>
      <c r="B20" s="103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37"/>
      <c r="B21" s="103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37">
        <v>13</v>
      </c>
      <c r="B23" s="103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37"/>
      <c r="B24" s="103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35">
        <v>14</v>
      </c>
      <c r="B25" s="103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35"/>
      <c r="B26" s="103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37">
        <v>15</v>
      </c>
      <c r="B27" s="103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37"/>
      <c r="B28" s="103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37"/>
      <c r="B29" s="103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37"/>
      <c r="B30" s="103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35">
        <v>16</v>
      </c>
      <c r="B31" s="103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35"/>
      <c r="B32" s="103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35"/>
      <c r="B33" s="103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35"/>
      <c r="B34" s="103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37">
        <v>17</v>
      </c>
      <c r="B35" s="103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37"/>
      <c r="B36" s="103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37">
        <v>21</v>
      </c>
      <c r="B40" s="103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37"/>
      <c r="B41" s="103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37">
        <v>23</v>
      </c>
      <c r="B43" s="103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37"/>
      <c r="B44" s="103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37"/>
      <c r="B45" s="103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35">
        <v>24</v>
      </c>
      <c r="B46" s="103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35"/>
      <c r="B47" s="103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37">
        <v>25</v>
      </c>
      <c r="B48" s="103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37"/>
      <c r="B49" s="103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37"/>
      <c r="B50" s="103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35">
        <v>26</v>
      </c>
      <c r="B51" s="103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35"/>
      <c r="B52" s="103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37">
        <v>29</v>
      </c>
      <c r="B55" s="103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37"/>
      <c r="B56" s="103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35">
        <v>32</v>
      </c>
      <c r="B59" s="103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35"/>
      <c r="B60" s="103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35">
        <v>34</v>
      </c>
      <c r="B62" s="103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35"/>
      <c r="B63" s="103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35"/>
      <c r="B64" s="103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35"/>
      <c r="B65" s="103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35"/>
      <c r="B66" s="103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37">
        <v>35</v>
      </c>
      <c r="B67" s="103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37"/>
      <c r="B68" s="103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22">
        <v>40</v>
      </c>
      <c r="B73" s="103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22"/>
      <c r="B74" s="103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21">
        <v>41</v>
      </c>
      <c r="B75" s="103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21"/>
      <c r="B76" s="103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21"/>
      <c r="B77" s="103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22">
        <v>42</v>
      </c>
      <c r="B78" s="103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22"/>
      <c r="B79" s="103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21">
        <v>49</v>
      </c>
      <c r="B86" s="103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21"/>
      <c r="B87" s="103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21"/>
      <c r="B88" s="103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22">
        <v>50</v>
      </c>
      <c r="B89" s="103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22"/>
      <c r="B90" s="103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21">
        <v>51</v>
      </c>
      <c r="B91" s="103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21"/>
      <c r="B92" s="103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21">
        <v>53</v>
      </c>
      <c r="B94" s="103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21"/>
      <c r="B95" s="103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22">
        <v>54</v>
      </c>
      <c r="B96" s="103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22"/>
      <c r="B97" s="103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22"/>
      <c r="B98" s="103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22">
        <v>58</v>
      </c>
      <c r="B102" s="103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22"/>
      <c r="B103" s="103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22">
        <v>60</v>
      </c>
      <c r="B105" s="103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22"/>
      <c r="B106" s="103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22"/>
      <c r="B107" s="103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21">
        <v>61</v>
      </c>
      <c r="B108" s="103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21"/>
      <c r="B109" s="103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21"/>
      <c r="B110" s="103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22">
        <v>64</v>
      </c>
      <c r="B113" s="103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22"/>
      <c r="B114" s="103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22">
        <v>66</v>
      </c>
      <c r="B116" s="103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22"/>
      <c r="B117" s="103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21">
        <v>67</v>
      </c>
      <c r="B118" s="103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21"/>
      <c r="B119" s="103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21"/>
      <c r="B120" s="103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22">
        <v>68</v>
      </c>
      <c r="B121" s="103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22"/>
      <c r="B122" s="103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21">
        <v>69</v>
      </c>
      <c r="B123" s="103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21"/>
      <c r="B124" s="103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22">
        <v>72</v>
      </c>
      <c r="B127" s="1035" t="s">
        <v>65</v>
      </c>
      <c r="C127" s="119" t="s">
        <v>26</v>
      </c>
      <c r="D127" s="120">
        <v>3.3</v>
      </c>
      <c r="E127" s="121"/>
      <c r="F127" s="122" t="s">
        <v>30</v>
      </c>
      <c r="G127" s="1034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22"/>
      <c r="B128" s="1035"/>
      <c r="C128" s="103" t="s">
        <v>26</v>
      </c>
      <c r="D128" s="88">
        <v>12.9</v>
      </c>
      <c r="E128" s="106"/>
      <c r="F128" s="107" t="s">
        <v>16</v>
      </c>
      <c r="G128" s="1034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22">
        <v>76</v>
      </c>
      <c r="B132" s="103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22"/>
      <c r="B133" s="103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22"/>
      <c r="B134" s="103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22"/>
      <c r="B135" s="103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22">
        <v>78</v>
      </c>
      <c r="B137" s="104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22"/>
      <c r="B138" s="104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3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3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2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2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2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2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2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2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2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2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2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2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2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2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2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2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2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2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2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2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2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2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2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2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39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2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39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2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2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2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2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2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2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2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2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2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2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2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2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2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2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2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2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2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2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2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2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2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2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2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2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2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2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2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2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2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2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2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2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2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2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2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2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2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2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2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2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2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34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2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34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2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2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2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2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2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2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2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2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2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2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2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2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2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2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2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2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2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2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2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2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2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2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2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2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2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2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2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2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2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2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2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2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44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2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44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2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2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2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34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2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34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2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2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2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2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2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2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2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2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2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2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2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2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2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2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2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2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2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2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2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2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2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2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2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2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2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2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2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2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2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39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2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39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2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2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2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2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2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2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2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2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2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2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2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2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2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2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2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2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2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2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2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2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2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2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2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2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2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2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2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2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2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2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2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2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2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2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25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2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25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2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2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2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2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2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2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2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2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2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2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2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2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2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2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2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2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2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2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2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2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2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2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2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2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2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2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2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2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2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2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2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2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2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2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25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2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25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2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2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2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2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2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2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42" t="s">
        <v>133</v>
      </c>
      <c r="J420" s="1042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2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2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2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2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2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2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2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2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2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2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2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2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2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2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2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2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2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2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2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2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2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2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2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2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2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26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2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26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2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2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2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2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2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2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2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2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2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2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2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2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2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2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2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2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2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2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2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2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2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2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2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2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2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2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2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2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2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2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2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2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2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25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2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25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2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2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2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46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2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46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2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46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2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46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2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46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2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2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2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2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2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2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2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2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2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2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2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2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2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2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2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2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2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2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2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2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2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2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2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2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2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2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2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2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2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2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2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2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2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2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2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2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2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2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2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2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26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2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26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2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2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2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2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2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2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2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2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2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2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2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2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2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2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2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2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2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2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2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2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2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2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2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2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2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2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2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2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2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2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2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2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2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25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2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25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2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2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2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2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2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2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2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2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2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2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2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2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2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2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2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2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2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2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2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2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2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2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2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2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2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2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2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2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2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2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2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2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2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2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2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2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2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2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2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2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2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2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2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2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25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2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25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2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2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45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2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45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2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2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2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2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2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2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2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2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2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2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2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2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2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2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2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2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2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2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2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2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2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2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2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2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2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2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2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2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2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25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2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25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7.5" hidden="1" x14ac:dyDescent="0.25">
      <c r="A699" s="103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7.5" hidden="1" x14ac:dyDescent="0.25">
      <c r="A700" s="103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3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2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2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2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idden="1" x14ac:dyDescent="0.25">
      <c r="A705" s="103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3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2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2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2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idden="1" x14ac:dyDescent="0.25">
      <c r="A710" s="103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3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2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2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2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2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2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2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2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2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2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2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2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2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2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2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2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2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2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2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2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2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2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2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4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2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47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2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2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2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2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2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2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2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2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2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2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2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2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2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2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2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2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idden="1" x14ac:dyDescent="0.25">
      <c r="A755" s="103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idden="1" x14ac:dyDescent="0.25">
      <c r="A756" s="103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idden="1" x14ac:dyDescent="0.25">
      <c r="A757" s="103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idden="1" x14ac:dyDescent="0.25">
      <c r="A758" s="103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idden="1" x14ac:dyDescent="0.25">
      <c r="A759" s="103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3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2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25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2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25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2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2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2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2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2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2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2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2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2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2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2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2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2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2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2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2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3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3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2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2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2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2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2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2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2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2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2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2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2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2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2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2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2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2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2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2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2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2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2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2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2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2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2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26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2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26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2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2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2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2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2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2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2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2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2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2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2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2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2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2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2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2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2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2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2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2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2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2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2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2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2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2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2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2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2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2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2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2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2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2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2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2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2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2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2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2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2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2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2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2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2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2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2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2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2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2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2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2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2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2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2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2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2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2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2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2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2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2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2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2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2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2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2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2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2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2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2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2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2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2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2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2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2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2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2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2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2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2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2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2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2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2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2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2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2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2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2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2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2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26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2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26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2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2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2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2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2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2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2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2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2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2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2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2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2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2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2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2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2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2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2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2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2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3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3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2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2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2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2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2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2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2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2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2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2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2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2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2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2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2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2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2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2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2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2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2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2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2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2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25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2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25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2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2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2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2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2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2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2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2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2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2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2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2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2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2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2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2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2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2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2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2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2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2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2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2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2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2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2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2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2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2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2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2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2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2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2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2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2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2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2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2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2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2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25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2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25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2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2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2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2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2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2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2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2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2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2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2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2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2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2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2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2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2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2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2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2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2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2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2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2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2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2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2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2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2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2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2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2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2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2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2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2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2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2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26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2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26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2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2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2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2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2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2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2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2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2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2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2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2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2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2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2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2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2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2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2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2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2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2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2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2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2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2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26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2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26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2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2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2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2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2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2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2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2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2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2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2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2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2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2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2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2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2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2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2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2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2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2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2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2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2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2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2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2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2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2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2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26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2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26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2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2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2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2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2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2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2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2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2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2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2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2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2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2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2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2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2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2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2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2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2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2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2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2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2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2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26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2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26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2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2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2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2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2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2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2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2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2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2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2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2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2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2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2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2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2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2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2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2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2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2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2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2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2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2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2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2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2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2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2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2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2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2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2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2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26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2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26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2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2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2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2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2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2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2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2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2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2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2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2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2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2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2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2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2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2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2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2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2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2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2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2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2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2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2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2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2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25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2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25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2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2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2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2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2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2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2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2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2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2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2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2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2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2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2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2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2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2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2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2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2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2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2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2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2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2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2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27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2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27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2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2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2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2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2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2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2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2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2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2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2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2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2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2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2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2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2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2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2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2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2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2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2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2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2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2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2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25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2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25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2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2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2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2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2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2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2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2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2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2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2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2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2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2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2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25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2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25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2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25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2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25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2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2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2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2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2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2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2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2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2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25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2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25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2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2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2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2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2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2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2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2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2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2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2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2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2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2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2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2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2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2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2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2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2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2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2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2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2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25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2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25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2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2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2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2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2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2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2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2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2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2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2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2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2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2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2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2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2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2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2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2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26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2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26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2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2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2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2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2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2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2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2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2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2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2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2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2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2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2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2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2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2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2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2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2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25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2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25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2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2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2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2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2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2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2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2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2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2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2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2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2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2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2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2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2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2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2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2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2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2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2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2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2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2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2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2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2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2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2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2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2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2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2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2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2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2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2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2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2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2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2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2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2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2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2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26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2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26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2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2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2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2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2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2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2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2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2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2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2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2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2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2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2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2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2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2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2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2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2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2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2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2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2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2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25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2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25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2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2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2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2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2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2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2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2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2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2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2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2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26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2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26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2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2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2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2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2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2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2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2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2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2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2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2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2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2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2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2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2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2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2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2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2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2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2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25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2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25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2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2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2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2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2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2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2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2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2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2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2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2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2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2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2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21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2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2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2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2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2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2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2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2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25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2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25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2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25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2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2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2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2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2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2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2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2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2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2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2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2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26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2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26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2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2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2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2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2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2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2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2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2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2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2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2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2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22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2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22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2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2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2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2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2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2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2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2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22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2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2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2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2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2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25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2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25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2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2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2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2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2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2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2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2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2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2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2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2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2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2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2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2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2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2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2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2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25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2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25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2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2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2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2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2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2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2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2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2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2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2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21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2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2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2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2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21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2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2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2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2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2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25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2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25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2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2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2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2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2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2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2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2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2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2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2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2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2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2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2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2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2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2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2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2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26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2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26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21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2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2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2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2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2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2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2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2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2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2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2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2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2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2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2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2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2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2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2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2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2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22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2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2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2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2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22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2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2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2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2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2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2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2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2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2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2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2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2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2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2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2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2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2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2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2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2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25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2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25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21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2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2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2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2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2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2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2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2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2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25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2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25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2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2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2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2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2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2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2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2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2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2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2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2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21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2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2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2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2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26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2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26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21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2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2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2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2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2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2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2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2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2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2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2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2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2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2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2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2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2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2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2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2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2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22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2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2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2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2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2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2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2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2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2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2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2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2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2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2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2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21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2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2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2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2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2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2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2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2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2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22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2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2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2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2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2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2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2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2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2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2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2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2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4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49" t="s">
        <v>467</v>
      </c>
      <c r="H2160" s="414" t="s">
        <v>515</v>
      </c>
      <c r="I2160" s="415" t="s">
        <v>516</v>
      </c>
      <c r="J2160" s="1050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4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49"/>
      <c r="H2161" s="421" t="s">
        <v>515</v>
      </c>
      <c r="I2161" s="422" t="s">
        <v>516</v>
      </c>
      <c r="J2161" s="1050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4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49"/>
      <c r="H2162" s="429" t="s">
        <v>515</v>
      </c>
      <c r="I2162" s="430" t="s">
        <v>516</v>
      </c>
      <c r="J2162" s="1050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4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49" t="s">
        <v>467</v>
      </c>
      <c r="H2165" s="414" t="s">
        <v>516</v>
      </c>
      <c r="I2165" s="415" t="s">
        <v>516</v>
      </c>
      <c r="J2165" s="1050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4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49"/>
      <c r="H2166" s="429" t="s">
        <v>516</v>
      </c>
      <c r="I2166" s="430" t="s">
        <v>516</v>
      </c>
      <c r="J2166" s="1050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2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2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2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2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2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21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2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2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2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2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2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2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25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2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25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21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2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2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2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26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2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26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21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51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2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51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2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44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2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44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21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2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2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2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2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2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2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2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2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2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2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2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2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2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2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2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2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2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2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21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2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2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2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2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2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2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2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2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2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2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2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2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2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2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2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2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22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2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2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22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2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2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2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2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2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2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2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2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2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2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2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2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2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2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2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2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2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2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2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2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2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2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2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2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22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2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2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2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2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2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2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2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2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2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2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2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2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2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2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2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2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2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2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2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21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2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2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2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29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2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2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2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2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2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2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2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2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2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2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2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2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2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2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2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2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2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2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2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21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2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2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2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2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2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21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2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2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2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21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2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2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2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2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2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2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2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2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2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2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2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2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2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2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2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2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2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2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2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2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2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2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2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2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2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2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2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2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2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2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2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2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2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2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2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2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2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21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2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2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2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2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2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2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2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2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2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2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2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2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2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2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2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2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2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21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2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2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2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2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2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2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2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2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2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2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2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2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2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2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2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2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2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22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26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2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26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2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26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2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2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2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2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21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2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2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2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2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2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2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26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2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26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2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2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2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2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2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2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2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2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21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2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2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2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5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5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5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53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2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2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2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25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2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25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2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2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2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2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22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2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2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2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2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2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2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2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2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2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2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2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2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2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54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2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54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2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2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2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26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2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26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2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2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2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2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2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2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22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2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2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2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2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2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2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2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2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2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2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2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2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2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2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2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2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26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2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26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2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2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2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2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2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2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2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2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2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2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2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2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2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2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2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2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2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2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2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2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2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2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2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2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5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5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2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2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2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2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2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2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2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2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2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2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2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2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2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2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2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2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2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2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2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2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2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2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2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2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2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2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2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2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2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2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2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2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2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2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2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2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2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2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2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2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2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2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26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2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26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2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26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2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2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2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2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2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2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2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2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2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2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2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2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2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21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2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2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2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2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2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2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2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2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2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2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2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2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2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2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2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2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2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2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2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2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2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2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2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2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2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2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2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2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2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2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2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2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2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2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2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56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2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56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2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2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21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25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2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25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2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2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2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2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2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2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2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21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2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2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2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2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2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2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2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2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2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2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2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29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2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2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2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2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2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2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2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26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2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26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2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2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2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2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2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2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2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2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2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2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2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2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2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2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2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2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2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2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2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25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2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25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2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2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2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2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2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2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2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25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2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25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2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2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2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2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2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2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2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2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2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2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2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2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2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2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2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29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2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2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2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2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2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2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21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2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2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2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2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2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25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2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25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2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2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2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2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2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2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2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2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2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2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2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2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2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2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2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2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2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2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2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2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2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2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2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2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2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2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2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26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2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26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2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26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21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2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2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2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2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2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2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2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2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2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2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2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2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2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2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2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2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2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2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2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26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2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26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2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26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2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26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2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2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2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2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2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2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2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2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26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2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26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2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26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2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2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2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2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2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2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2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2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2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2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2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2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2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2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2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2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2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2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2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2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26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2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26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2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2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2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2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2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2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2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2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2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2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2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2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2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2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2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2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2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2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2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2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2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2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2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2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2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2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2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2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2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2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2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2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2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2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2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2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2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2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2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2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2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2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2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2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2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2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2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2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2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2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2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2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2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2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2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2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2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2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2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2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2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2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25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2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25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2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25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2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2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2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2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2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2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2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2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2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2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2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2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2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2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2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2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2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2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2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2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2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2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2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2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2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2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2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2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2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2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2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2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2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2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2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2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2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2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2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2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2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2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54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2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54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2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54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2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54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2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54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2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54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2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2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2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2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2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2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2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2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2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2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2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2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22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2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2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2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2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2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2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2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2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2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2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2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2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2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2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2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2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2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2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2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2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2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2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2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2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2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2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2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2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2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2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2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2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2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2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2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2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2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2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2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2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2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2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2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2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2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2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2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2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2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2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2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2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2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2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2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2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2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2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2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2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2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2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2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2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2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2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2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2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21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2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2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2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2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2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2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2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2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2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2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2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2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2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2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2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2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2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2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2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2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2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2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2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2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2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2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2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2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2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2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2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2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2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2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2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2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25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2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25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2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2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2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2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2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2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2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2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2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2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25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2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25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2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2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2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2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2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2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2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2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2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2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2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2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2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25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2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25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2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2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2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2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2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2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2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2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2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2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2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2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2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2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2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2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2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2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2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2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2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2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2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2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2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2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54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2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54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2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54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2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2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2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2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2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2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2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2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2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2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2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2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2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29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2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2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2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2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2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2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2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26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2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26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2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2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2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2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2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2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2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2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2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2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2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2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2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2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29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2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2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2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2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2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2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2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2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2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26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2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26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2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2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2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2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2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2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2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2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2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2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2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2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2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2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2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2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26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2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26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95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81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0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04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idden="1" x14ac:dyDescent="0.25">
      <c r="A3557" s="995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81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idden="1" x14ac:dyDescent="0.25">
      <c r="A3558" s="100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04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idden="1" x14ac:dyDescent="0.25">
      <c r="A3559" s="100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04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0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04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idden="1" x14ac:dyDescent="0.25">
      <c r="A3561" s="989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57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idden="1" x14ac:dyDescent="0.25">
      <c r="A3565" s="995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5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idden="1" x14ac:dyDescent="0.25">
      <c r="A3568" s="995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81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5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59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idden="1" x14ac:dyDescent="0.25">
      <c r="A3571" s="995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idden="1" x14ac:dyDescent="0.25">
      <c r="A3572" s="100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idden="1" x14ac:dyDescent="0.25">
      <c r="A3573" s="100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0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idden="1" x14ac:dyDescent="0.25">
      <c r="A3577" s="989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idden="1" x14ac:dyDescent="0.25">
      <c r="A3578" s="99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idden="1" x14ac:dyDescent="0.25">
      <c r="A3579" s="99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idden="1" x14ac:dyDescent="0.25">
      <c r="A3580" s="99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57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idden="1" x14ac:dyDescent="0.25">
      <c r="A3584" s="995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5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idden="1" x14ac:dyDescent="0.25">
      <c r="A3586" s="989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57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idden="1" x14ac:dyDescent="0.25">
      <c r="A3592" s="995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idden="1" x14ac:dyDescent="0.25">
      <c r="A3593" s="100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idden="1" x14ac:dyDescent="0.25">
      <c r="A3594" s="100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idden="1" x14ac:dyDescent="0.25">
      <c r="A3595" s="100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idden="1" x14ac:dyDescent="0.25">
      <c r="A3596" s="100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0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89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09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57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60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idden="1" x14ac:dyDescent="0.25">
      <c r="A3600" s="995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5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idden="1" x14ac:dyDescent="0.25">
      <c r="A3604" s="989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09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57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60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idden="1" x14ac:dyDescent="0.25">
      <c r="A3606" s="995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idden="1" x14ac:dyDescent="0.25">
      <c r="A3607" s="100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idden="1" x14ac:dyDescent="0.25">
      <c r="A3608" s="100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5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idden="1" x14ac:dyDescent="0.25">
      <c r="A3611" s="995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0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idden="1" x14ac:dyDescent="0.25">
      <c r="A3615" s="989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idden="1" x14ac:dyDescent="0.25">
      <c r="A3616" s="99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idden="1" x14ac:dyDescent="0.25">
      <c r="A3617" s="99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57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idden="1" x14ac:dyDescent="0.25">
      <c r="A3622" s="989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idden="1" x14ac:dyDescent="0.25">
      <c r="A3623" s="99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9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idden="1" x14ac:dyDescent="0.25">
      <c r="A3627" s="995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idden="1" x14ac:dyDescent="0.25">
      <c r="A3628" s="100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idden="1" x14ac:dyDescent="0.25">
      <c r="A3629" s="100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idden="1" x14ac:dyDescent="0.25">
      <c r="A3630" s="100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idden="1" x14ac:dyDescent="0.25">
      <c r="A3631" s="100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0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idden="1" x14ac:dyDescent="0.25">
      <c r="A3633" s="989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57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idden="1" x14ac:dyDescent="0.25">
      <c r="A3639" s="995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81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5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59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idden="1" x14ac:dyDescent="0.25">
      <c r="A3642" s="995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81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5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59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idden="1" x14ac:dyDescent="0.25">
      <c r="A3645" s="995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5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idden="1" x14ac:dyDescent="0.25">
      <c r="A3647" s="989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57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idden="1" x14ac:dyDescent="0.25">
      <c r="A3649" s="995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0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idden="1" x14ac:dyDescent="0.25">
      <c r="A3654" s="995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5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idden="1" x14ac:dyDescent="0.25">
      <c r="A3656" s="989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57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idden="1" x14ac:dyDescent="0.25">
      <c r="A3658" s="995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idden="1" x14ac:dyDescent="0.25">
      <c r="A3659" s="100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5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idden="1" x14ac:dyDescent="0.25">
      <c r="A3661" s="989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idden="1" x14ac:dyDescent="0.25">
      <c r="A3662" s="99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57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idden="1" x14ac:dyDescent="0.25">
      <c r="A3669" s="989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idden="1" x14ac:dyDescent="0.25">
      <c r="A3670" s="99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idden="1" x14ac:dyDescent="0.25">
      <c r="A3671" s="99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idden="1" x14ac:dyDescent="0.25">
      <c r="A3672" s="99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idden="1" x14ac:dyDescent="0.25">
      <c r="A3673" s="99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9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idden="1" x14ac:dyDescent="0.25">
      <c r="A3675" s="995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5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idden="1" x14ac:dyDescent="0.25">
      <c r="A3677" s="989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09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57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60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6.25" hidden="1" x14ac:dyDescent="0.25">
      <c r="A3681" s="995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5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idden="1" x14ac:dyDescent="0.25">
      <c r="A3685" s="989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57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idden="1" x14ac:dyDescent="0.25">
      <c r="A3687" s="995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idden="1" x14ac:dyDescent="0.25">
      <c r="A3688" s="100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idden="1" x14ac:dyDescent="0.25">
      <c r="A3689" s="100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5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95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81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5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59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idden="1" x14ac:dyDescent="0.25">
      <c r="A3698" s="989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idden="1" x14ac:dyDescent="0.25">
      <c r="A3699" s="99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57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idden="1" x14ac:dyDescent="0.25">
      <c r="A3701" s="995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5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89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09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57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60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idden="1" x14ac:dyDescent="0.25">
      <c r="A3709" s="995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idden="1" x14ac:dyDescent="0.25">
      <c r="A3710" s="100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idden="1" x14ac:dyDescent="0.25">
      <c r="A3711" s="100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idden="1" x14ac:dyDescent="0.25">
      <c r="A3712" s="100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idden="1" x14ac:dyDescent="0.25">
      <c r="A3713" s="100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0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idden="1" x14ac:dyDescent="0.25">
      <c r="A3715" s="98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57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idden="1" x14ac:dyDescent="0.25">
      <c r="A3718" s="989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57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idden="1" x14ac:dyDescent="0.25">
      <c r="A3721" s="989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09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57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60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idden="1" x14ac:dyDescent="0.25">
      <c r="A3723" s="995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idden="1" x14ac:dyDescent="0.25">
      <c r="A3724" s="100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5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idden="1" x14ac:dyDescent="0.25">
      <c r="A3726" s="989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idden="1" x14ac:dyDescent="0.25">
      <c r="A3727" s="99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57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idden="1" x14ac:dyDescent="0.25">
      <c r="A3729" s="995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idden="1" x14ac:dyDescent="0.25">
      <c r="A3730" s="100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5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idden="1" x14ac:dyDescent="0.25">
      <c r="A3732" s="989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idden="1" x14ac:dyDescent="0.25">
      <c r="A3733" s="99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idden="1" x14ac:dyDescent="0.25">
      <c r="A3734" s="99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9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idden="1" x14ac:dyDescent="0.25">
      <c r="A3737" s="989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57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idden="1" x14ac:dyDescent="0.25">
      <c r="A3739" s="995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idden="1" x14ac:dyDescent="0.25">
      <c r="A3740" s="100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5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idden="1" x14ac:dyDescent="0.25">
      <c r="A3743" s="995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idden="1" x14ac:dyDescent="0.25">
      <c r="A3744" s="100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idden="1" x14ac:dyDescent="0.25">
      <c r="A3745" s="100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0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idden="1" x14ac:dyDescent="0.25">
      <c r="A3749" s="989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9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idden="1" x14ac:dyDescent="0.25">
      <c r="A3754" s="989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idden="1" x14ac:dyDescent="0.25">
      <c r="A3755" s="99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idden="1" x14ac:dyDescent="0.25">
      <c r="A3756" s="99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idden="1" x14ac:dyDescent="0.25">
      <c r="A3757" s="99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idden="1" x14ac:dyDescent="0.25">
      <c r="A3758" s="99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9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idden="1" x14ac:dyDescent="0.25">
      <c r="A3760" s="995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5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idden="1" x14ac:dyDescent="0.25">
      <c r="A3765" s="995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81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idden="1" x14ac:dyDescent="0.25">
      <c r="A3766" s="100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04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5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59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6.25" hidden="1" x14ac:dyDescent="0.25">
      <c r="A3769" s="99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idden="1" x14ac:dyDescent="0.25">
      <c r="A3770" s="100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5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idden="1" x14ac:dyDescent="0.25">
      <c r="A3772" s="98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idden="1" x14ac:dyDescent="0.25">
      <c r="A3773" s="99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57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idden="1" x14ac:dyDescent="0.25">
      <c r="A3775" s="99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idden="1" x14ac:dyDescent="0.25">
      <c r="A3776" s="100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0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9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81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5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59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idden="1" x14ac:dyDescent="0.25">
      <c r="A3781" s="989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idden="1" x14ac:dyDescent="0.25">
      <c r="A3782" s="99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idden="1" x14ac:dyDescent="0.25">
      <c r="A3783" s="99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57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idden="1" x14ac:dyDescent="0.25">
      <c r="A3785" s="995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5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idden="1" x14ac:dyDescent="0.25">
      <c r="A3788" s="995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5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idden="1" x14ac:dyDescent="0.25">
      <c r="A3790" s="989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57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idden="1" x14ac:dyDescent="0.25">
      <c r="A3797" s="989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idden="1" x14ac:dyDescent="0.25">
      <c r="A3798" s="99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idden="1" x14ac:dyDescent="0.25">
      <c r="A3799" s="99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idden="1" x14ac:dyDescent="0.25">
      <c r="A3800" s="99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9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idden="1" x14ac:dyDescent="0.25">
      <c r="A3802" s="995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5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idden="1" x14ac:dyDescent="0.25">
      <c r="A3811" s="995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idden="1" x14ac:dyDescent="0.25">
      <c r="A3812" s="100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5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idden="1" x14ac:dyDescent="0.25">
      <c r="A3814" s="989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57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idden="1" x14ac:dyDescent="0.25">
      <c r="A3816" s="995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5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idden="1" x14ac:dyDescent="0.25">
      <c r="A3818" s="989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57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idden="1" x14ac:dyDescent="0.25">
      <c r="A3820" s="995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81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5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59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idden="1" x14ac:dyDescent="0.25">
      <c r="A3822" s="989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9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idden="1" x14ac:dyDescent="0.25">
      <c r="A3828" s="995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idden="1" x14ac:dyDescent="0.25">
      <c r="A3829" s="100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5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idden="1" x14ac:dyDescent="0.25">
      <c r="A3831" s="989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57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idden="1" x14ac:dyDescent="0.25">
      <c r="A3833" s="995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5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idden="1" x14ac:dyDescent="0.25">
      <c r="A3835" s="989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57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idden="1" x14ac:dyDescent="0.25">
      <c r="A3837" s="995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5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idden="1" x14ac:dyDescent="0.25">
      <c r="A3842" s="995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0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idden="1" x14ac:dyDescent="0.25">
      <c r="A3848" s="991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idden="1" x14ac:dyDescent="0.25">
      <c r="A3849" s="99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idden="1" x14ac:dyDescent="0.25">
      <c r="A3850" s="99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idden="1" x14ac:dyDescent="0.25">
      <c r="A3851" s="99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idden="1" x14ac:dyDescent="0.25">
      <c r="A3852" s="99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9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idden="1" x14ac:dyDescent="0.25">
      <c r="A3854" s="995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5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idden="1" x14ac:dyDescent="0.25">
      <c r="A3859" s="995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5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idden="1" x14ac:dyDescent="0.25">
      <c r="A3861" s="989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idden="1" x14ac:dyDescent="0.25">
      <c r="A3862" s="99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idden="1" x14ac:dyDescent="0.25">
      <c r="A3863" s="99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57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idden="1" x14ac:dyDescent="0.25">
      <c r="A3867" s="995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idden="1" x14ac:dyDescent="0.25">
      <c r="A3868" s="100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idden="1" x14ac:dyDescent="0.25">
      <c r="A3869" s="100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idden="1" x14ac:dyDescent="0.25">
      <c r="A3870" s="100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idden="1" x14ac:dyDescent="0.25">
      <c r="A3871" s="100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5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idden="1" x14ac:dyDescent="0.25">
      <c r="A3874" s="995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5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idden="1" x14ac:dyDescent="0.25">
      <c r="A3876" s="989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idden="1" x14ac:dyDescent="0.25">
      <c r="A3877" s="99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idden="1" x14ac:dyDescent="0.25">
      <c r="A3878" s="99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57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idden="1" x14ac:dyDescent="0.25">
      <c r="A3884" s="989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idden="1" x14ac:dyDescent="0.25">
      <c r="A3885" s="99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idden="1" x14ac:dyDescent="0.25">
      <c r="A3886" s="99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idden="1" x14ac:dyDescent="0.25">
      <c r="A3887" s="99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idden="1" x14ac:dyDescent="0.25">
      <c r="A3888" s="99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9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idden="1" x14ac:dyDescent="0.25">
      <c r="A3890" s="995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5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idden="1" x14ac:dyDescent="0.25">
      <c r="A3895" s="995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81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5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59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89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9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57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95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0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0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5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89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9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57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95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81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0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04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5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59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89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09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57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60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95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5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89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57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95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0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0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0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0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0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89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57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95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5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89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9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57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95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0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0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5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89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57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95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81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5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59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95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5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89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9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57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89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57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95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0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idden="1" x14ac:dyDescent="0.25">
      <c r="A3966" s="989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9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idden="1" x14ac:dyDescent="0.25">
      <c r="A3971" s="989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idden="1" x14ac:dyDescent="0.25">
      <c r="A3972" s="99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idden="1" x14ac:dyDescent="0.25">
      <c r="A3973" s="99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idden="1" x14ac:dyDescent="0.25">
      <c r="A3974" s="99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9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idden="1" x14ac:dyDescent="0.25">
      <c r="A3976" s="995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5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idden="1" x14ac:dyDescent="0.25">
      <c r="A3981" s="995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0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idden="1" x14ac:dyDescent="0.25">
      <c r="A3983" s="989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09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57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60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idden="1" x14ac:dyDescent="0.25">
      <c r="A3985" s="995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idden="1" x14ac:dyDescent="0.25">
      <c r="A3986" s="100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idden="1" x14ac:dyDescent="0.25">
      <c r="A3987" s="100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idden="1" x14ac:dyDescent="0.25">
      <c r="A3988" s="100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idden="1" x14ac:dyDescent="0.25">
      <c r="A3989" s="100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idden="1" x14ac:dyDescent="0.25">
      <c r="A3990" s="100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5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idden="1" x14ac:dyDescent="0.25">
      <c r="A3992" s="989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idden="1" x14ac:dyDescent="0.25">
      <c r="A3993" s="99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idden="1" x14ac:dyDescent="0.25">
      <c r="A3994" s="99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9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idden="1" x14ac:dyDescent="0.25">
      <c r="A3996" s="995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idden="1" x14ac:dyDescent="0.25">
      <c r="A3997" s="100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5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idden="1" x14ac:dyDescent="0.25">
      <c r="A4002" s="995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5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idden="1" x14ac:dyDescent="0.25">
      <c r="A4004" s="989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57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idden="1" x14ac:dyDescent="0.25">
      <c r="A4006" s="995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idden="1" x14ac:dyDescent="0.25">
      <c r="A4007" s="100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5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idden="1" x14ac:dyDescent="0.25">
      <c r="A4010" s="995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5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idden="1" x14ac:dyDescent="0.25">
      <c r="A4012" s="101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idden="1" x14ac:dyDescent="0.25">
      <c r="A4013" s="106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6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idden="1" x14ac:dyDescent="0.25">
      <c r="A4019" s="995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idden="1" x14ac:dyDescent="0.25">
      <c r="A4020" s="100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idden="1" x14ac:dyDescent="0.25">
      <c r="A4021" s="100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idden="1" x14ac:dyDescent="0.25">
      <c r="A4022" s="100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idden="1" x14ac:dyDescent="0.25">
      <c r="A4023" s="100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5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idden="1" x14ac:dyDescent="0.25">
      <c r="A4027" s="989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57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idden="1" x14ac:dyDescent="0.25">
      <c r="A4031" s="995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idden="1" x14ac:dyDescent="0.25">
      <c r="A4032" s="100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5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idden="1" x14ac:dyDescent="0.25">
      <c r="A4034" s="989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57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idden="1" x14ac:dyDescent="0.25">
      <c r="A4036" s="995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5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idden="1" x14ac:dyDescent="0.25">
      <c r="A4039" s="995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5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idden="1" x14ac:dyDescent="0.25">
      <c r="A4045" s="989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idden="1" x14ac:dyDescent="0.25">
      <c r="A4046" s="99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idden="1" x14ac:dyDescent="0.25">
      <c r="A4048" s="995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idden="1" x14ac:dyDescent="0.25">
      <c r="A4049" s="100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9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idden="1" x14ac:dyDescent="0.25">
      <c r="A4053" s="989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idden="1" x14ac:dyDescent="0.25">
      <c r="A4055" s="995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81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9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82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idden="1" x14ac:dyDescent="0.25">
      <c r="A4058" s="995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0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idden="1" x14ac:dyDescent="0.25">
      <c r="A4064" s="989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09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08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idden="1" x14ac:dyDescent="0.25">
      <c r="A4066" s="995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idden="1" x14ac:dyDescent="0.25">
      <c r="A4067" s="100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idden="1" x14ac:dyDescent="0.25">
      <c r="A4068" s="100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idden="1" x14ac:dyDescent="0.25">
      <c r="A4069" s="100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0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idden="1" x14ac:dyDescent="0.25">
      <c r="A4071" s="989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idden="1" x14ac:dyDescent="0.25">
      <c r="A4077" s="995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9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idden="1" x14ac:dyDescent="0.25">
      <c r="A4082" s="995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idden="1" x14ac:dyDescent="0.25">
      <c r="A4083" s="100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9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idden="1" x14ac:dyDescent="0.25">
      <c r="A4085" s="989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idden="1" x14ac:dyDescent="0.25">
      <c r="A4087" s="995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idden="1" x14ac:dyDescent="0.25">
      <c r="A4088" s="100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0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89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09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9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0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08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idden="1" x14ac:dyDescent="0.25">
      <c r="A4096" s="989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idden="1" x14ac:dyDescent="0.25">
      <c r="A4099" s="989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idden="1" x14ac:dyDescent="0.25">
      <c r="A4100" s="99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idden="1" x14ac:dyDescent="0.25">
      <c r="A4106" s="995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idden="1" x14ac:dyDescent="0.25">
      <c r="A4107" s="100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9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idden="1" x14ac:dyDescent="0.25">
      <c r="A4109" s="989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idden="1" x14ac:dyDescent="0.25">
      <c r="A4110" s="99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idden="1" x14ac:dyDescent="0.25">
      <c r="A4111" s="99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idden="1" x14ac:dyDescent="0.25">
      <c r="A4112" s="99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9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idden="1" x14ac:dyDescent="0.25">
      <c r="A4114" s="995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9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idden="1" x14ac:dyDescent="0.25">
      <c r="A4120" s="989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idden="1" x14ac:dyDescent="0.25">
      <c r="A4121" s="99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idden="1" x14ac:dyDescent="0.25">
      <c r="A4123" s="995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idden="1" x14ac:dyDescent="0.25">
      <c r="A4124" s="100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idden="1" x14ac:dyDescent="0.25">
      <c r="A4125" s="100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9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idden="1" x14ac:dyDescent="0.25">
      <c r="A4131" s="989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idden="1" x14ac:dyDescent="0.25">
      <c r="A4133" s="995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idden="1" x14ac:dyDescent="0.25">
      <c r="A4134" s="100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idden="1" x14ac:dyDescent="0.25">
      <c r="A4135" s="100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9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idden="1" x14ac:dyDescent="0.25">
      <c r="A4138" s="995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9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idden="1" x14ac:dyDescent="0.25">
      <c r="A4140" s="989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idden="1" x14ac:dyDescent="0.25">
      <c r="A4141" s="99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9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idden="1" x14ac:dyDescent="0.25">
      <c r="A4145" s="995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9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idden="1" x14ac:dyDescent="0.25">
      <c r="A4153" s="989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idden="1" x14ac:dyDescent="0.25">
      <c r="A4154" s="99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idden="1" x14ac:dyDescent="0.25">
      <c r="A4155" s="99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idden="1" x14ac:dyDescent="0.25">
      <c r="A4156" s="99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9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idden="1" x14ac:dyDescent="0.25">
      <c r="A4158" s="995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9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idden="1" x14ac:dyDescent="0.25">
      <c r="A4164" s="989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idden="1" x14ac:dyDescent="0.25">
      <c r="A4165" s="99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idden="1" x14ac:dyDescent="0.25">
      <c r="A4167" s="995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9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idden="1" x14ac:dyDescent="0.25">
      <c r="A4169" s="989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idden="1" x14ac:dyDescent="0.25">
      <c r="A4171" s="995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9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idden="1" x14ac:dyDescent="0.25">
      <c r="A4178" s="995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idden="1" x14ac:dyDescent="0.25">
      <c r="A4179" s="100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9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idden="1" x14ac:dyDescent="0.25">
      <c r="A4182" s="995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9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idden="1" x14ac:dyDescent="0.25">
      <c r="A4184" s="989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idden="1" x14ac:dyDescent="0.25">
      <c r="A4193" s="989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idden="1" x14ac:dyDescent="0.25">
      <c r="A4194" s="99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idden="1" x14ac:dyDescent="0.25">
      <c r="A4196" s="995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idden="1" x14ac:dyDescent="0.25">
      <c r="A4197" s="100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idden="1" x14ac:dyDescent="0.25">
      <c r="A4198" s="100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idden="1" x14ac:dyDescent="0.25">
      <c r="A4199" s="100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9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idden="1" x14ac:dyDescent="0.25">
      <c r="A4202" s="995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0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idden="1" x14ac:dyDescent="0.25">
      <c r="A4204" s="989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6.25" hidden="1" x14ac:dyDescent="0.25">
      <c r="A4209" s="989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idden="1" x14ac:dyDescent="0.25">
      <c r="A4212" s="989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idden="1" x14ac:dyDescent="0.25">
      <c r="A4214" s="995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idden="1" x14ac:dyDescent="0.25">
      <c r="A4215" s="100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9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idden="1" x14ac:dyDescent="0.25">
      <c r="A4223" s="989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idden="1" x14ac:dyDescent="0.25">
      <c r="A4224" s="99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idden="1" x14ac:dyDescent="0.25">
      <c r="A4225" s="99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idden="1" x14ac:dyDescent="0.25">
      <c r="A4227" s="995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idden="1" x14ac:dyDescent="0.25">
      <c r="A4228" s="100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9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95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81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9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82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idden="1" x14ac:dyDescent="0.25">
      <c r="A4233" s="989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idden="1" x14ac:dyDescent="0.25">
      <c r="A4234" s="99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idden="1" x14ac:dyDescent="0.25">
      <c r="A4237" s="989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idden="1" x14ac:dyDescent="0.25">
      <c r="A4238" s="99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idden="1" x14ac:dyDescent="0.25">
      <c r="A4240" s="995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idden="1" x14ac:dyDescent="0.25">
      <c r="A4241" s="100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idden="1" x14ac:dyDescent="0.25">
      <c r="A4242" s="100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9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idden="1" x14ac:dyDescent="0.25">
      <c r="A4245" s="995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9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89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09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9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0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9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0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08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idden="1" x14ac:dyDescent="0.25">
      <c r="A4255" s="995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idden="1" x14ac:dyDescent="0.25">
      <c r="A4256" s="100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9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idden="1" x14ac:dyDescent="0.25">
      <c r="A4259" s="995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9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idden="1" x14ac:dyDescent="0.25">
      <c r="A4267" s="989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idden="1" x14ac:dyDescent="0.25">
      <c r="A4268" s="99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idden="1" x14ac:dyDescent="0.25">
      <c r="A4270" s="995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9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idden="1" x14ac:dyDescent="0.25">
      <c r="A4272" s="989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idden="1" x14ac:dyDescent="0.25">
      <c r="A4273" s="99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9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89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09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08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idden="1" x14ac:dyDescent="0.25">
      <c r="A4282" s="995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9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idden="1" x14ac:dyDescent="0.25">
      <c r="A4284" s="989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idden="1" x14ac:dyDescent="0.25">
      <c r="A4285" s="99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idden="1" x14ac:dyDescent="0.25">
      <c r="A4288" s="989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idden="1" x14ac:dyDescent="0.25">
      <c r="A4290" s="995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9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idden="1" x14ac:dyDescent="0.25">
      <c r="A4292" s="989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9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idden="1" x14ac:dyDescent="0.25">
      <c r="A4298" s="995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9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idden="1" x14ac:dyDescent="0.25">
      <c r="A4300" s="989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idden="1" x14ac:dyDescent="0.25">
      <c r="A4301" s="99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idden="1" x14ac:dyDescent="0.25">
      <c r="A4302" s="99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idden="1" x14ac:dyDescent="0.25">
      <c r="A4303" s="99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9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idden="1" x14ac:dyDescent="0.25">
      <c r="A4305" s="995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idden="1" x14ac:dyDescent="0.25">
      <c r="A4306" s="100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9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idden="1" x14ac:dyDescent="0.25">
      <c r="A4311" s="995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81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idden="1" x14ac:dyDescent="0.25">
      <c r="A4312" s="100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04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idden="1" x14ac:dyDescent="0.25">
      <c r="A4313" s="100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04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9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82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idden="1" x14ac:dyDescent="0.25">
      <c r="A4315" s="989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idden="1" x14ac:dyDescent="0.25">
      <c r="A4317" s="995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9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idden="1" x14ac:dyDescent="0.25">
      <c r="A4322" s="995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9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idden="1" x14ac:dyDescent="0.25">
      <c r="A4324" s="989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idden="1" x14ac:dyDescent="0.25">
      <c r="A4325" s="99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idden="1" x14ac:dyDescent="0.25">
      <c r="A4329" s="995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9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89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09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08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idden="1" x14ac:dyDescent="0.25">
      <c r="A4334" s="989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9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idden="1" x14ac:dyDescent="0.25">
      <c r="A4339" s="989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idden="1" x14ac:dyDescent="0.25">
      <c r="A4340" s="99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idden="1" x14ac:dyDescent="0.25">
      <c r="A4341" s="99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idden="1" x14ac:dyDescent="0.25">
      <c r="A4342" s="99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idden="1" x14ac:dyDescent="0.25">
      <c r="A4343" s="99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idden="1" x14ac:dyDescent="0.25">
      <c r="A4345" s="995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0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idden="1" x14ac:dyDescent="0.25">
      <c r="A4347" s="989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idden="1" x14ac:dyDescent="0.25">
      <c r="A4348" s="99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6.25" hidden="1" x14ac:dyDescent="0.25">
      <c r="A4354" s="995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9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idden="1" x14ac:dyDescent="0.25">
      <c r="A4357" s="995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idden="1" x14ac:dyDescent="0.25">
      <c r="A4358" s="100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9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idden="1" x14ac:dyDescent="0.25">
      <c r="A4360" s="989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idden="1" x14ac:dyDescent="0.25">
      <c r="A4361" s="99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idden="1" x14ac:dyDescent="0.25">
      <c r="A4367" s="995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idden="1" x14ac:dyDescent="0.25">
      <c r="A4368" s="100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9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idden="1" x14ac:dyDescent="0.25">
      <c r="A4370" s="989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idden="1" x14ac:dyDescent="0.25">
      <c r="A4371" s="99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idden="1" x14ac:dyDescent="0.25">
      <c r="A4374" s="989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idden="1" x14ac:dyDescent="0.25">
      <c r="A4376" s="995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9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6.25" hidden="1" x14ac:dyDescent="0.25">
      <c r="A4384" s="98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6.25" hidden="1" x14ac:dyDescent="0.25">
      <c r="A4385" s="99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6.25" hidden="1" x14ac:dyDescent="0.25">
      <c r="A4387" s="99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6.25" hidden="1" x14ac:dyDescent="0.25">
      <c r="A4388" s="100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6.25" hidden="1" x14ac:dyDescent="0.25">
      <c r="A4389" s="100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9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6.25" hidden="1" x14ac:dyDescent="0.25">
      <c r="A4391" s="98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0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9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08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idden="1" x14ac:dyDescent="0.25">
      <c r="A4393" s="99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idden="1" x14ac:dyDescent="0.25">
      <c r="A4394" s="100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9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idden="1" x14ac:dyDescent="0.25">
      <c r="A4400" s="989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idden="1" x14ac:dyDescent="0.25">
      <c r="A4402" s="995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idden="1" x14ac:dyDescent="0.25">
      <c r="A4403" s="100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idden="1" x14ac:dyDescent="0.25">
      <c r="A4404" s="100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0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idden="1" x14ac:dyDescent="0.25">
      <c r="A4406" s="989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idden="1" x14ac:dyDescent="0.25">
      <c r="A4414" s="995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9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idden="1" x14ac:dyDescent="0.25">
      <c r="A4416" s="989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idden="1" x14ac:dyDescent="0.25">
      <c r="A4417" s="99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idden="1" x14ac:dyDescent="0.25">
      <c r="A4418" s="99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idden="1" x14ac:dyDescent="0.25">
      <c r="A4422" s="995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9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idden="1" x14ac:dyDescent="0.25">
      <c r="A4424" s="98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idden="1" x14ac:dyDescent="0.25">
      <c r="A4427" s="98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idden="1" x14ac:dyDescent="0.25">
      <c r="A4429" s="99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9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idden="1" x14ac:dyDescent="0.25">
      <c r="A4431" s="98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9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idden="1" x14ac:dyDescent="0.25">
      <c r="A4437" s="995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idden="1" x14ac:dyDescent="0.25">
      <c r="A4438" s="100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idden="1" x14ac:dyDescent="0.25">
      <c r="A4439" s="100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9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idden="1" x14ac:dyDescent="0.25">
      <c r="A4442" s="995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9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idden="1" x14ac:dyDescent="0.25">
      <c r="A4445" s="995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idden="1" x14ac:dyDescent="0.25">
      <c r="A4446" s="100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idden="1" x14ac:dyDescent="0.25">
      <c r="A4447" s="100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9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idden="1" x14ac:dyDescent="0.25">
      <c r="A4453" s="989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idden="1" x14ac:dyDescent="0.25">
      <c r="A4456" s="989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idden="1" x14ac:dyDescent="0.25">
      <c r="A4458" s="995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idden="1" x14ac:dyDescent="0.25">
      <c r="A4459" s="100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9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idden="1" x14ac:dyDescent="0.25">
      <c r="A4461" s="989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idden="1" x14ac:dyDescent="0.25">
      <c r="A4462" s="99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idden="1" x14ac:dyDescent="0.25">
      <c r="A4473" s="989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idden="1" x14ac:dyDescent="0.25">
      <c r="A4474" s="99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idden="1" x14ac:dyDescent="0.25">
      <c r="A4477" s="989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idden="1" x14ac:dyDescent="0.25">
      <c r="A4478" s="99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idden="1" x14ac:dyDescent="0.25">
      <c r="A4480" s="995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9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idden="1" x14ac:dyDescent="0.25">
      <c r="A4489" s="995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idden="1" x14ac:dyDescent="0.25">
      <c r="A4490" s="100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idden="1" x14ac:dyDescent="0.25">
      <c r="A4491" s="100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9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idden="1" x14ac:dyDescent="0.25">
      <c r="A4493" s="989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09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9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0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idden="1" x14ac:dyDescent="0.25">
      <c r="A4499" s="995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9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idden="1" x14ac:dyDescent="0.25">
      <c r="A4501" s="989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idden="1" x14ac:dyDescent="0.25">
      <c r="A4503" s="995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9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idden="1" x14ac:dyDescent="0.25">
      <c r="A4505" s="989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idden="1" x14ac:dyDescent="0.25">
      <c r="A4507" s="995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9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idden="1" x14ac:dyDescent="0.25">
      <c r="A4512" s="995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idden="1" x14ac:dyDescent="0.25">
      <c r="A4513" s="100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9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idden="1" x14ac:dyDescent="0.25">
      <c r="A4515" s="989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idden="1" x14ac:dyDescent="0.25">
      <c r="A4517" s="995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9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idden="1" x14ac:dyDescent="0.25">
      <c r="A4521" s="989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idden="1" x14ac:dyDescent="0.25">
      <c r="A4522" s="99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idden="1" x14ac:dyDescent="0.25">
      <c r="A4524" s="995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idden="1" x14ac:dyDescent="0.25">
      <c r="A4525" s="100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9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idden="1" x14ac:dyDescent="0.25">
      <c r="A4527" s="989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idden="1" x14ac:dyDescent="0.25">
      <c r="A4529" s="995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9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idden="1" x14ac:dyDescent="0.25">
      <c r="A4532" s="995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0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idden="1" x14ac:dyDescent="0.25">
      <c r="A4536" s="989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idden="1" x14ac:dyDescent="0.25">
      <c r="A4537" s="99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idden="1" x14ac:dyDescent="0.25">
      <c r="A4539" s="995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idden="1" x14ac:dyDescent="0.25">
      <c r="A4540" s="100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9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idden="1" x14ac:dyDescent="0.25">
      <c r="A4543" s="995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9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idden="1" x14ac:dyDescent="0.25">
      <c r="A4548" s="995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9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idden="1" x14ac:dyDescent="0.25">
      <c r="A4550" s="989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idden="1" x14ac:dyDescent="0.25">
      <c r="A4552" s="995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9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idden="1" x14ac:dyDescent="0.25">
      <c r="A4554" s="989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idden="1" x14ac:dyDescent="0.25">
      <c r="A4560" s="995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idden="1" x14ac:dyDescent="0.25">
      <c r="A4561" s="100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9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idden="1" x14ac:dyDescent="0.25">
      <c r="A4563" s="989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idden="1" x14ac:dyDescent="0.25">
      <c r="A4564" s="99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idden="1" x14ac:dyDescent="0.25">
      <c r="A4567" s="989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idden="1" x14ac:dyDescent="0.25">
      <c r="A4568" s="99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idden="1" x14ac:dyDescent="0.25">
      <c r="A4570" s="995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9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idden="1" x14ac:dyDescent="0.25">
      <c r="A4572" s="989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idden="1" x14ac:dyDescent="0.25">
      <c r="A4573" s="99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95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81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0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04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9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82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idden="1" x14ac:dyDescent="0.25">
      <c r="A4582" s="989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idden="1" x14ac:dyDescent="0.25">
      <c r="A4583" s="99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idden="1" x14ac:dyDescent="0.25">
      <c r="A4586" s="989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idden="1" x14ac:dyDescent="0.25">
      <c r="A4591" s="989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idden="1" x14ac:dyDescent="0.25">
      <c r="A4593" s="995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idden="1" x14ac:dyDescent="0.25">
      <c r="A4594" s="100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9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idden="1" x14ac:dyDescent="0.25">
      <c r="A4597" s="995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9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idden="1" x14ac:dyDescent="0.25">
      <c r="A4601" s="989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9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idden="1" x14ac:dyDescent="0.25">
      <c r="A4605" s="995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idden="1" x14ac:dyDescent="0.25">
      <c r="A4606" s="100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idden="1" x14ac:dyDescent="0.25">
      <c r="A4607" s="100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9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idden="1" x14ac:dyDescent="0.25">
      <c r="A4610" s="995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9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95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81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9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82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idden="1" x14ac:dyDescent="0.25">
      <c r="A4617" s="989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idden="1" x14ac:dyDescent="0.25">
      <c r="A4622" s="989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9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idden="1" x14ac:dyDescent="0.25">
      <c r="A4627" s="989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idden="1" x14ac:dyDescent="0.25">
      <c r="A4629" s="995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idden="1" x14ac:dyDescent="0.25">
      <c r="A4630" s="100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idden="1" x14ac:dyDescent="0.25">
      <c r="A4631" s="100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9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idden="1" x14ac:dyDescent="0.25">
      <c r="A4633" s="989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9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idden="1" x14ac:dyDescent="0.25">
      <c r="A4635" s="995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9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6.25" hidden="1" x14ac:dyDescent="0.25">
      <c r="A4640" s="995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9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idden="1" x14ac:dyDescent="0.25">
      <c r="A4643" s="995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idden="1" x14ac:dyDescent="0.25">
      <c r="A4644" s="100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9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idden="1" x14ac:dyDescent="0.25">
      <c r="A4646" s="989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idden="1" x14ac:dyDescent="0.25">
      <c r="A4647" s="99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idden="1" x14ac:dyDescent="0.25">
      <c r="A4649" s="995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9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idden="1" x14ac:dyDescent="0.25">
      <c r="A4653" s="989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idden="1" x14ac:dyDescent="0.25">
      <c r="A4654" s="99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idden="1" x14ac:dyDescent="0.25">
      <c r="A4656" s="995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9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idden="1" x14ac:dyDescent="0.25">
      <c r="A4662" s="989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idden="1" x14ac:dyDescent="0.25">
      <c r="A4664" s="995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9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89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9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00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0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89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9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95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9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89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9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9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95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9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89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95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9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95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81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9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82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idden="1" x14ac:dyDescent="0.25">
      <c r="A4703" s="995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idden="1" x14ac:dyDescent="0.25">
      <c r="A4704" s="100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9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idden="1" x14ac:dyDescent="0.25">
      <c r="A4706" s="989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idden="1" x14ac:dyDescent="0.25">
      <c r="A4707" s="99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idden="1" x14ac:dyDescent="0.25">
      <c r="A4709" s="995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idden="1" x14ac:dyDescent="0.25">
      <c r="A4710" s="100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9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idden="1" x14ac:dyDescent="0.25">
      <c r="A4714" s="989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9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idden="1" x14ac:dyDescent="0.25">
      <c r="A4719" s="989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idden="1" x14ac:dyDescent="0.25">
      <c r="A4721" s="995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0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idden="1" x14ac:dyDescent="0.25">
      <c r="A4723" s="989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idden="1" x14ac:dyDescent="0.25">
      <c r="A4727" s="995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9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89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09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9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0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9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0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08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89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9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89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09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08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95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0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95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0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9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89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9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95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81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9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82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95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9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idden="1" x14ac:dyDescent="0.25">
      <c r="A4756" s="989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9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idden="1" x14ac:dyDescent="0.25">
      <c r="A4761" s="989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idden="1" x14ac:dyDescent="0.25">
      <c r="A4762" s="99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idden="1" x14ac:dyDescent="0.25">
      <c r="A4763" s="99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idden="1" x14ac:dyDescent="0.25">
      <c r="A4765" s="995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81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0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04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idden="1" x14ac:dyDescent="0.25">
      <c r="A4767" s="989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idden="1" x14ac:dyDescent="0.25">
      <c r="A4770" s="989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idden="1" x14ac:dyDescent="0.25">
      <c r="A4772" s="995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9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idden="1" x14ac:dyDescent="0.25">
      <c r="A4774" s="989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95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81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9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82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idden="1" x14ac:dyDescent="0.25">
      <c r="A4785" s="995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idden="1" x14ac:dyDescent="0.25">
      <c r="A4786" s="100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9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idden="1" x14ac:dyDescent="0.25">
      <c r="A4788" s="989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idden="1" x14ac:dyDescent="0.25">
      <c r="A4789" s="99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89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09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08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idden="1" x14ac:dyDescent="0.25">
      <c r="A4794" s="995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9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idden="1" x14ac:dyDescent="0.25">
      <c r="A4799" s="995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0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idden="1" x14ac:dyDescent="0.25">
      <c r="A4806" s="995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9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idden="1" x14ac:dyDescent="0.25">
      <c r="A4808" s="989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idden="1" x14ac:dyDescent="0.25">
      <c r="A4809" s="99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idden="1" x14ac:dyDescent="0.25">
      <c r="A4810" s="99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9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idden="1" x14ac:dyDescent="0.25">
      <c r="A4812" s="995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9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idden="1" x14ac:dyDescent="0.25">
      <c r="A4816" s="989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idden="1" x14ac:dyDescent="0.25">
      <c r="A4818" s="995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9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idden="1" x14ac:dyDescent="0.25">
      <c r="A4820" s="989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09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idden="1" x14ac:dyDescent="0.25">
      <c r="A4821" s="99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0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08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idden="1" x14ac:dyDescent="0.25">
      <c r="A4825" s="995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9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idden="1" x14ac:dyDescent="0.25">
      <c r="A4830" s="995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81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9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82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idden="1" x14ac:dyDescent="0.25">
      <c r="A4832" s="989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idden="1" x14ac:dyDescent="0.25">
      <c r="A4834" s="995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idden="1" x14ac:dyDescent="0.25">
      <c r="A4835" s="100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idden="1" x14ac:dyDescent="0.25">
      <c r="A4836" s="100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9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89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09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08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idden="1" x14ac:dyDescent="0.25">
      <c r="A4840" s="995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9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idden="1" x14ac:dyDescent="0.25">
      <c r="A4842" s="989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idden="1" x14ac:dyDescent="0.25">
      <c r="A4844" s="995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9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idden="1" x14ac:dyDescent="0.25">
      <c r="A4846" s="989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9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idden="1" x14ac:dyDescent="0.25">
      <c r="A4854" s="995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81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9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82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idden="1" x14ac:dyDescent="0.25">
      <c r="A4856" s="989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idden="1" x14ac:dyDescent="0.25">
      <c r="A4857" s="99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9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idden="1" x14ac:dyDescent="0.25">
      <c r="A4859" s="995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9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95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81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9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82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idden="1" x14ac:dyDescent="0.25">
      <c r="A4868" s="989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idden="1" x14ac:dyDescent="0.25">
      <c r="A4869" s="99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idden="1" x14ac:dyDescent="0.25">
      <c r="A4870" s="99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idden="1" x14ac:dyDescent="0.25">
      <c r="A4872" s="995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9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idden="1" x14ac:dyDescent="0.25">
      <c r="A4878" s="989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idden="1" x14ac:dyDescent="0.25">
      <c r="A4879" s="99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idden="1" x14ac:dyDescent="0.25">
      <c r="A4881" s="995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idden="1" x14ac:dyDescent="0.25">
      <c r="A4882" s="100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idden="1" x14ac:dyDescent="0.25">
      <c r="A4883" s="100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9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idden="1" x14ac:dyDescent="0.25">
      <c r="A4887" s="989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idden="1" x14ac:dyDescent="0.25">
      <c r="A4889" s="995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9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idden="1" x14ac:dyDescent="0.25">
      <c r="A4891" s="989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95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81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9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82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idden="1" x14ac:dyDescent="0.25">
      <c r="A4897" s="989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9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idden="1" x14ac:dyDescent="0.25">
      <c r="A4900" s="989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idden="1" x14ac:dyDescent="0.25">
      <c r="A4901" s="99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95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81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0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04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idden="1" x14ac:dyDescent="0.25">
      <c r="A4905" s="989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idden="1" x14ac:dyDescent="0.25">
      <c r="A4908" s="989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idden="1" x14ac:dyDescent="0.25">
      <c r="A4909" s="99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idden="1" x14ac:dyDescent="0.25">
      <c r="A4911" s="995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idden="1" x14ac:dyDescent="0.25">
      <c r="A4912" s="100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9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idden="1" x14ac:dyDescent="0.25">
      <c r="A4917" s="995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9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idden="1" x14ac:dyDescent="0.25">
      <c r="A4924" s="995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9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idden="1" x14ac:dyDescent="0.25">
      <c r="A4926" s="989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idden="1" x14ac:dyDescent="0.25">
      <c r="A4927" s="99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idden="1" x14ac:dyDescent="0.25">
      <c r="A4928" s="99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idden="1" x14ac:dyDescent="0.25">
      <c r="A4930" s="995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81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9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82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idden="1" x14ac:dyDescent="0.25">
      <c r="A4933" s="995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9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89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09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08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idden="1" x14ac:dyDescent="0.25">
      <c r="A4939" s="995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idden="1" x14ac:dyDescent="0.25">
      <c r="A4940" s="100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0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idden="1" x14ac:dyDescent="0.25">
      <c r="A4942" s="989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idden="1" x14ac:dyDescent="0.25">
      <c r="A4946" s="995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9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idden="1" x14ac:dyDescent="0.25">
      <c r="A4948" s="989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95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8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9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82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idden="1" x14ac:dyDescent="0.25">
      <c r="A4954" s="989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idden="1" x14ac:dyDescent="0.25">
      <c r="A4956" s="995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9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idden="1" x14ac:dyDescent="0.25">
      <c r="A4960" s="989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09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08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idden="1" x14ac:dyDescent="0.25">
      <c r="A4964" s="995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9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idden="1" x14ac:dyDescent="0.25">
      <c r="A4966" s="989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idden="1" x14ac:dyDescent="0.25">
      <c r="A4967" s="99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idden="1" x14ac:dyDescent="0.25">
      <c r="A4969" s="995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9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idden="1" x14ac:dyDescent="0.25">
      <c r="A4971" s="989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idden="1" x14ac:dyDescent="0.25">
      <c r="A4972" s="99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idden="1" x14ac:dyDescent="0.25">
      <c r="A4977" s="989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09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08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idden="1" x14ac:dyDescent="0.25">
      <c r="A4979" s="995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0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idden="1" x14ac:dyDescent="0.25">
      <c r="A4983" s="989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idden="1" x14ac:dyDescent="0.25">
      <c r="A4984" s="99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9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idden="1" x14ac:dyDescent="0.25">
      <c r="A4986" s="995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9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idden="1" x14ac:dyDescent="0.25">
      <c r="A4989" s="995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idden="1" x14ac:dyDescent="0.25">
      <c r="A4990" s="100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9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idden="1" x14ac:dyDescent="0.25">
      <c r="A4992" s="989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idden="1" x14ac:dyDescent="0.25">
      <c r="A4993" s="99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89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09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08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idden="1" x14ac:dyDescent="0.25">
      <c r="A4999" s="989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09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08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idden="1" x14ac:dyDescent="0.25">
      <c r="A5001" s="995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0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idden="1" x14ac:dyDescent="0.25">
      <c r="A5006" s="995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idden="1" x14ac:dyDescent="0.25">
      <c r="A5007" s="100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9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idden="1" x14ac:dyDescent="0.25">
      <c r="A5009" s="989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idden="1" x14ac:dyDescent="0.25">
      <c r="A5010" s="99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idden="1" x14ac:dyDescent="0.25">
      <c r="A5012" s="995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9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idden="1" x14ac:dyDescent="0.25">
      <c r="A5014" s="989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89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09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08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idden="1" x14ac:dyDescent="0.25">
      <c r="A5026" s="989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idden="1" x14ac:dyDescent="0.25">
      <c r="A5027" s="99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9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idden="1" x14ac:dyDescent="0.25">
      <c r="A5029" s="995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9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89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09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08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idden="1" x14ac:dyDescent="0.25">
      <c r="A5037" s="995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9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idden="1" x14ac:dyDescent="0.25">
      <c r="A5039" s="989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idden="1" x14ac:dyDescent="0.25">
      <c r="A5040" s="99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idden="1" x14ac:dyDescent="0.25">
      <c r="A5042" s="995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81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idden="1" x14ac:dyDescent="0.25">
      <c r="A5043" s="100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04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0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04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idden="1" x14ac:dyDescent="0.25">
      <c r="A5047" s="989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09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08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idden="1" x14ac:dyDescent="0.25">
      <c r="A5049" s="1000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idden="1" x14ac:dyDescent="0.25">
      <c r="A5050" s="100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idden="1" x14ac:dyDescent="0.25">
      <c r="A5051" s="100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0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idden="1" x14ac:dyDescent="0.25">
      <c r="A5054" s="1000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0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idden="1" x14ac:dyDescent="0.25">
      <c r="A5059" s="995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0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idden="1" x14ac:dyDescent="0.25">
      <c r="A5063" s="989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idden="1" x14ac:dyDescent="0.25">
      <c r="A5065" s="995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81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idden="1" x14ac:dyDescent="0.25">
      <c r="A5066" s="100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63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idden="1" x14ac:dyDescent="0.25">
      <c r="A5067" s="100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idden="1" x14ac:dyDescent="0.25">
      <c r="A5068" s="100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0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7.5" hidden="1" x14ac:dyDescent="0.25">
      <c r="A5070" s="989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idden="1" x14ac:dyDescent="0.25">
      <c r="A5074" s="995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idden="1" x14ac:dyDescent="0.25">
      <c r="A5075" s="100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9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idden="1" x14ac:dyDescent="0.25">
      <c r="A5077" s="989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idden="1" x14ac:dyDescent="0.25">
      <c r="A5079" s="995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9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6.25" hidden="1" x14ac:dyDescent="0.25">
      <c r="A5082" s="995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9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idden="1" x14ac:dyDescent="0.25">
      <c r="A5084" s="989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09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idden="1" x14ac:dyDescent="0.25">
      <c r="A5085" s="99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0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08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idden="1" x14ac:dyDescent="0.25">
      <c r="A5087" s="995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0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idden="1" x14ac:dyDescent="0.25">
      <c r="A5091" s="989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09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08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idden="1" x14ac:dyDescent="0.25">
      <c r="A5094" s="989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idden="1" x14ac:dyDescent="0.25">
      <c r="A5095" s="99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idden="1" x14ac:dyDescent="0.25">
      <c r="A5096" s="99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idden="1" x14ac:dyDescent="0.25">
      <c r="A5099" s="989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idden="1" x14ac:dyDescent="0.25">
      <c r="A5100" s="99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idden="1" x14ac:dyDescent="0.25">
      <c r="A5102" s="995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idden="1" x14ac:dyDescent="0.25">
      <c r="A5103" s="100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9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idden="1" x14ac:dyDescent="0.25">
      <c r="A5110" s="995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81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idden="1" x14ac:dyDescent="0.25">
      <c r="A5111" s="100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04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idden="1" x14ac:dyDescent="0.25">
      <c r="A5112" s="100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04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0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04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idden="1" x14ac:dyDescent="0.25">
      <c r="A5114" s="989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idden="1" x14ac:dyDescent="0.25">
      <c r="A5116" s="995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81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9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82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idden="1" x14ac:dyDescent="0.25">
      <c r="A5121" s="995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9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idden="1" x14ac:dyDescent="0.25">
      <c r="A5123" s="989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idden="1" x14ac:dyDescent="0.25">
      <c r="A5124" s="99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idden="1" x14ac:dyDescent="0.25">
      <c r="A5126" s="995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81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9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82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idden="1" x14ac:dyDescent="0.25">
      <c r="A5128" s="989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9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idden="1" x14ac:dyDescent="0.25">
      <c r="A5134" s="995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idden="1" x14ac:dyDescent="0.25">
      <c r="A5135" s="100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idden="1" x14ac:dyDescent="0.25">
      <c r="A5136" s="100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9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idden="1" x14ac:dyDescent="0.25">
      <c r="A5138" s="989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95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81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9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82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idden="1" x14ac:dyDescent="0.25">
      <c r="A5142" s="989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idden="1" x14ac:dyDescent="0.25">
      <c r="A5143" s="99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idden="1" x14ac:dyDescent="0.25">
      <c r="A5146" s="989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9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idden="1" x14ac:dyDescent="0.25">
      <c r="A5150" s="995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idden="1" x14ac:dyDescent="0.25">
      <c r="A5151" s="100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0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idden="1" x14ac:dyDescent="0.25">
      <c r="A5153" s="989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idden="1" x14ac:dyDescent="0.25">
      <c r="A5156" s="989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idden="1" x14ac:dyDescent="0.25">
      <c r="A5157" s="99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idden="1" x14ac:dyDescent="0.25">
      <c r="A5158" s="99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idden="1" x14ac:dyDescent="0.25">
      <c r="A5161" s="989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idden="1" x14ac:dyDescent="0.25">
      <c r="A5164" s="989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9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idden="1" x14ac:dyDescent="0.25">
      <c r="A5172" s="995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idden="1" x14ac:dyDescent="0.25">
      <c r="A5173" s="100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6.25" hidden="1" x14ac:dyDescent="0.25">
      <c r="A5174" s="100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9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idden="1" x14ac:dyDescent="0.25">
      <c r="A5176" s="989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idden="1" x14ac:dyDescent="0.25">
      <c r="A5177" s="99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idden="1" x14ac:dyDescent="0.25">
      <c r="A5179" s="995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9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idden="1" x14ac:dyDescent="0.25">
      <c r="A5181" s="989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idden="1" x14ac:dyDescent="0.25">
      <c r="A5183" s="995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9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idden="1" x14ac:dyDescent="0.25">
      <c r="A5188" s="995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81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0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04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idden="1" x14ac:dyDescent="0.25">
      <c r="A5192" s="989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idden="1" x14ac:dyDescent="0.25">
      <c r="A5193" s="99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idden="1" x14ac:dyDescent="0.25">
      <c r="A5194" s="99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idden="1" x14ac:dyDescent="0.25">
      <c r="A5196" s="995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81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9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82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idden="1" x14ac:dyDescent="0.25">
      <c r="A5199" s="995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9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95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81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9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82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idden="1" x14ac:dyDescent="0.25">
      <c r="A5205" s="995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idden="1" x14ac:dyDescent="0.25">
      <c r="A5206" s="100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9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idden="1" x14ac:dyDescent="0.25">
      <c r="A5210" s="989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idden="1" x14ac:dyDescent="0.25">
      <c r="A5212" s="995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9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idden="1" x14ac:dyDescent="0.25">
      <c r="A5216" s="989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09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08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idden="1" x14ac:dyDescent="0.25">
      <c r="A5219" s="989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idden="1" x14ac:dyDescent="0.25">
      <c r="A5220" s="99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idden="1" x14ac:dyDescent="0.25">
      <c r="A5222" s="995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idden="1" x14ac:dyDescent="0.25">
      <c r="A5223" s="100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idden="1" x14ac:dyDescent="0.25">
      <c r="A5224" s="100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9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idden="1" x14ac:dyDescent="0.25">
      <c r="A5226" s="989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idden="1" x14ac:dyDescent="0.25">
      <c r="A5227" s="99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idden="1" x14ac:dyDescent="0.25">
      <c r="A5229" s="995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0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idden="1" x14ac:dyDescent="0.25">
      <c r="A5232" s="995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81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9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82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idden="1" x14ac:dyDescent="0.25">
      <c r="A5234" s="989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9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idden="1" x14ac:dyDescent="0.25">
      <c r="A5240" s="995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idden="1" x14ac:dyDescent="0.25">
      <c r="A5241" s="100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0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idden="1" x14ac:dyDescent="0.25">
      <c r="A5243" s="989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idden="1" x14ac:dyDescent="0.25">
      <c r="A5247" s="995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idden="1" x14ac:dyDescent="0.25">
      <c r="A5248" s="100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9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idden="1" x14ac:dyDescent="0.25">
      <c r="A5250" s="989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idden="1" x14ac:dyDescent="0.25">
      <c r="A5254" s="995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9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idden="1" x14ac:dyDescent="0.25">
      <c r="A5260" s="989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idden="1" x14ac:dyDescent="0.25">
      <c r="A5262" s="995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9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idden="1" x14ac:dyDescent="0.25">
      <c r="A5265" s="995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9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idden="1" x14ac:dyDescent="0.25">
      <c r="A5267" s="989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idden="1" x14ac:dyDescent="0.25">
      <c r="A5268" s="99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idden="1" x14ac:dyDescent="0.25">
      <c r="A5270" s="995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9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idden="1" x14ac:dyDescent="0.25">
      <c r="A5272" s="989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idden="1" x14ac:dyDescent="0.25">
      <c r="A5275" s="989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09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9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0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idden="1" x14ac:dyDescent="0.25">
      <c r="A5279" s="995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idden="1" x14ac:dyDescent="0.25">
      <c r="A5280" s="100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0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idden="1" x14ac:dyDescent="0.25">
      <c r="A5282" s="989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idden="1" x14ac:dyDescent="0.25">
      <c r="A5286" s="995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idden="1" x14ac:dyDescent="0.25">
      <c r="A5287" s="100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idden="1" x14ac:dyDescent="0.25">
      <c r="A5288" s="100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9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idden="1" x14ac:dyDescent="0.25">
      <c r="A5290" s="989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idden="1" x14ac:dyDescent="0.25">
      <c r="A5291" s="99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idden="1" x14ac:dyDescent="0.25">
      <c r="A5296" s="98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9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idden="1" x14ac:dyDescent="0.25">
      <c r="A5298" s="99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9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idden="1" x14ac:dyDescent="0.25">
      <c r="A5302" s="989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idden="1" x14ac:dyDescent="0.25">
      <c r="A5303" s="99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idden="1" x14ac:dyDescent="0.25">
      <c r="A5305" s="995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idden="1" x14ac:dyDescent="0.25">
      <c r="A5306" s="100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idden="1" x14ac:dyDescent="0.25">
      <c r="A5307" s="100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9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idden="1" x14ac:dyDescent="0.25">
      <c r="A5309" s="989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idden="1" x14ac:dyDescent="0.25">
      <c r="A5311" s="995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9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idden="1" x14ac:dyDescent="0.25">
      <c r="A5316" s="995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0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idden="1" x14ac:dyDescent="0.25">
      <c r="A5321" s="995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81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idden="1" x14ac:dyDescent="0.25">
      <c r="A5322" s="100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04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idden="1" x14ac:dyDescent="0.25">
      <c r="A5323" s="100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04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idden="1" x14ac:dyDescent="0.25">
      <c r="A5324" s="100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04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0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04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idden="1" x14ac:dyDescent="0.25">
      <c r="A5326" s="989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0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idden="1" x14ac:dyDescent="0.25">
      <c r="A5331" s="989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idden="1" x14ac:dyDescent="0.25">
      <c r="A5332" s="991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idden="1" x14ac:dyDescent="0.25">
      <c r="A5333" s="991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0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idden="1" x14ac:dyDescent="0.25">
      <c r="A5338" s="989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6.25" hidden="1" x14ac:dyDescent="0.25">
      <c r="A5339" s="991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idden="1" x14ac:dyDescent="0.25">
      <c r="A5340" s="991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0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idden="1" x14ac:dyDescent="0.25">
      <c r="A5342" s="995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9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idden="1" x14ac:dyDescent="0.25">
      <c r="A5348" s="989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idden="1" x14ac:dyDescent="0.25">
      <c r="A5349" s="991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0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idden="1" x14ac:dyDescent="0.25">
      <c r="A5351" s="995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idden="1" x14ac:dyDescent="0.25">
      <c r="A5352" s="100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9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idden="1" x14ac:dyDescent="0.25">
      <c r="A5355" s="995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idden="1" x14ac:dyDescent="0.25">
      <c r="A5356" s="100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9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idden="1" x14ac:dyDescent="0.25">
      <c r="A5358" s="989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0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idden="1" x14ac:dyDescent="0.25">
      <c r="A5363" s="989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09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0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08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idden="1" x14ac:dyDescent="0.25">
      <c r="A5370" s="989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09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idden="1" x14ac:dyDescent="0.25">
      <c r="A5371" s="991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0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idden="1" x14ac:dyDescent="0.25">
      <c r="A5372" s="991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0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91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0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idden="1" x14ac:dyDescent="0.25">
      <c r="A5374" s="995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9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idden="1" x14ac:dyDescent="0.25">
      <c r="A5378" s="989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0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idden="1" x14ac:dyDescent="0.25">
      <c r="A5380" s="995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9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idden="1" x14ac:dyDescent="0.25">
      <c r="A5385" s="995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9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idden="1" x14ac:dyDescent="0.25">
      <c r="A5387" s="989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0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idden="1" x14ac:dyDescent="0.25">
      <c r="A5394" s="989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idden="1" x14ac:dyDescent="0.25">
      <c r="A5395" s="991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idden="1" x14ac:dyDescent="0.25">
      <c r="A5396" s="991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0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idden="1" x14ac:dyDescent="0.25">
      <c r="A5398" s="1000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0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idden="1" x14ac:dyDescent="0.25">
      <c r="A5400" s="989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0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00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04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0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04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idden="1" x14ac:dyDescent="0.25">
      <c r="A5406" s="989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91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idden="1" x14ac:dyDescent="0.25">
      <c r="A5408" s="995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81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9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82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idden="1" x14ac:dyDescent="0.25">
      <c r="A5412" s="989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91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idden="1" x14ac:dyDescent="0.25">
      <c r="A5416" s="995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81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0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04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idden="1" x14ac:dyDescent="0.25">
      <c r="A5418" s="989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0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idden="1" x14ac:dyDescent="0.25">
      <c r="A5420" s="995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9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idden="1" x14ac:dyDescent="0.25">
      <c r="A5428" s="989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0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idden="1" x14ac:dyDescent="0.25">
      <c r="A5430" s="995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9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idden="1" x14ac:dyDescent="0.25">
      <c r="A5432" s="989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0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idden="1" x14ac:dyDescent="0.25">
      <c r="A5436" s="995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81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9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82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idden="1" x14ac:dyDescent="0.25">
      <c r="A5439" s="995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9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idden="1" x14ac:dyDescent="0.25">
      <c r="A5441" s="989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0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idden="1" x14ac:dyDescent="0.25">
      <c r="A5443" s="995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9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idden="1" x14ac:dyDescent="0.25">
      <c r="A5445" s="989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0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idden="1" x14ac:dyDescent="0.25">
      <c r="A5449" s="995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idden="1" x14ac:dyDescent="0.25">
      <c r="A5450" s="100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9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idden="1" x14ac:dyDescent="0.25">
      <c r="A5452" s="989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0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idden="1" x14ac:dyDescent="0.25">
      <c r="A5455" s="989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0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idden="1" x14ac:dyDescent="0.25">
      <c r="A5464" s="989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idden="1" x14ac:dyDescent="0.25">
      <c r="A5465" s="991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91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idden="1" x14ac:dyDescent="0.25">
      <c r="A5467" s="995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9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idden="1" x14ac:dyDescent="0.25">
      <c r="A5470" s="995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9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idden="1" x14ac:dyDescent="0.25">
      <c r="A5472" s="989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6.25" hidden="1" x14ac:dyDescent="0.25">
      <c r="A5473" s="991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0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idden="1" x14ac:dyDescent="0.25">
      <c r="A5476" s="989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idden="1" x14ac:dyDescent="0.25">
      <c r="A5477" s="991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0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idden="1" x14ac:dyDescent="0.25">
      <c r="A5479" s="995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idden="1" x14ac:dyDescent="0.25">
      <c r="A5480" s="100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9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idden="1" x14ac:dyDescent="0.25">
      <c r="A5482" s="989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idden="1" x14ac:dyDescent="0.25">
      <c r="A5483" s="991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0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idden="1" x14ac:dyDescent="0.25">
      <c r="A5485" s="995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0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idden="1" x14ac:dyDescent="0.25">
      <c r="A5489" s="989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09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0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08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idden="1" x14ac:dyDescent="0.25">
      <c r="A5493" s="995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idden="1" x14ac:dyDescent="0.25">
      <c r="A5494" s="100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9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idden="1" x14ac:dyDescent="0.25">
      <c r="A5497" s="995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9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idden="1" x14ac:dyDescent="0.25">
      <c r="A5499" s="989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0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idden="1" x14ac:dyDescent="0.25">
      <c r="A5501" s="995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9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idden="1" x14ac:dyDescent="0.25">
      <c r="A5504" s="995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81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9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82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idden="1" x14ac:dyDescent="0.25">
      <c r="A5507" s="995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9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idden="1" x14ac:dyDescent="0.25">
      <c r="A5511" s="989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0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idden="1" x14ac:dyDescent="0.25">
      <c r="A5513" s="995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9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idden="1" x14ac:dyDescent="0.25">
      <c r="A5515" s="989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09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0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08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idden="1" x14ac:dyDescent="0.25">
      <c r="A5518" s="989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idden="1" x14ac:dyDescent="0.25">
      <c r="A5519" s="991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6.25" hidden="1" x14ac:dyDescent="0.25">
      <c r="A5520" s="991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idden="1" x14ac:dyDescent="0.25">
      <c r="A5521" s="991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0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idden="1" x14ac:dyDescent="0.25">
      <c r="A5523" s="995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idden="1" x14ac:dyDescent="0.25">
      <c r="A5524" s="100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9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idden="1" x14ac:dyDescent="0.25">
      <c r="A5527" s="995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0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idden="1" x14ac:dyDescent="0.25">
      <c r="A5531" s="989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09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0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08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idden="1" x14ac:dyDescent="0.25">
      <c r="A5534" s="989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09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idden="1" x14ac:dyDescent="0.25">
      <c r="A5535" s="991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0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idden="1" x14ac:dyDescent="0.25">
      <c r="A5536" s="991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0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idden="1" x14ac:dyDescent="0.25">
      <c r="A5537" s="991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0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0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08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idden="1" x14ac:dyDescent="0.25">
      <c r="A5539" s="995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idden="1" x14ac:dyDescent="0.25">
      <c r="A5540" s="100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9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idden="1" x14ac:dyDescent="0.25">
      <c r="A5542" s="989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idden="1" x14ac:dyDescent="0.25">
      <c r="A5543" s="991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idden="1" x14ac:dyDescent="0.25">
      <c r="A5544" s="991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idden="1" x14ac:dyDescent="0.25">
      <c r="A5545" s="991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0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95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81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9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82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idden="1" x14ac:dyDescent="0.25">
      <c r="A5551" s="989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0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idden="1" x14ac:dyDescent="0.25">
      <c r="A5553" s="995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idden="1" x14ac:dyDescent="0.25">
      <c r="A5554" s="100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9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idden="1" x14ac:dyDescent="0.25">
      <c r="A5561" s="995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9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idden="1" x14ac:dyDescent="0.25">
      <c r="A5564" s="995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9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idden="1" x14ac:dyDescent="0.25">
      <c r="A5570" s="989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idden="1" x14ac:dyDescent="0.25">
      <c r="A5571" s="991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0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idden="1" x14ac:dyDescent="0.25">
      <c r="A5573" s="995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9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idden="1" x14ac:dyDescent="0.25">
      <c r="A5575" s="989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0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idden="1" x14ac:dyDescent="0.25">
      <c r="A5577" s="995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0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idden="1" x14ac:dyDescent="0.25">
      <c r="A5584" s="995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idden="1" x14ac:dyDescent="0.25">
      <c r="A5585" s="100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idden="1" x14ac:dyDescent="0.25">
      <c r="A5586" s="100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9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idden="1" x14ac:dyDescent="0.25">
      <c r="A5588" s="989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0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idden="1" x14ac:dyDescent="0.25">
      <c r="A5590" s="995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idden="1" x14ac:dyDescent="0.25">
      <c r="A5591" s="100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9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idden="1" x14ac:dyDescent="0.25">
      <c r="A5593" s="989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0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idden="1" x14ac:dyDescent="0.25">
      <c r="A5595" s="995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9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idden="1" x14ac:dyDescent="0.25">
      <c r="A5599" s="989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09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0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08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idden="1" x14ac:dyDescent="0.25">
      <c r="A5602" s="989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91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idden="1" x14ac:dyDescent="0.25">
      <c r="A5606" s="995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9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idden="1" x14ac:dyDescent="0.25">
      <c r="A5609" s="995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9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idden="1" x14ac:dyDescent="0.25">
      <c r="A5612" s="995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6.25" hidden="1" x14ac:dyDescent="0.25">
      <c r="A5613" s="100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idden="1" x14ac:dyDescent="0.25">
      <c r="A5614" s="100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9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idden="1" x14ac:dyDescent="0.25">
      <c r="A5617" s="995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9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idden="1" x14ac:dyDescent="0.25">
      <c r="A5619" s="989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0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idden="1" x14ac:dyDescent="0.25">
      <c r="A5621" s="995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9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89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0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0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08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idden="1" x14ac:dyDescent="0.25">
      <c r="A5625" s="995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9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idden="1" x14ac:dyDescent="0.25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idden="1" x14ac:dyDescent="0.25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idden="1" x14ac:dyDescent="0.25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idden="1" x14ac:dyDescent="0.25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idden="1" x14ac:dyDescent="0.25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idden="1" x14ac:dyDescent="0.25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idden="1" x14ac:dyDescent="0.25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idden="1" x14ac:dyDescent="0.25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idden="1" x14ac:dyDescent="0.25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idden="1" x14ac:dyDescent="0.25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idden="1" x14ac:dyDescent="0.25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idden="1" x14ac:dyDescent="0.25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idden="1" x14ac:dyDescent="0.25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idden="1" x14ac:dyDescent="0.25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idden="1" x14ac:dyDescent="0.25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idden="1" x14ac:dyDescent="0.25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idden="1" x14ac:dyDescent="0.25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idden="1" x14ac:dyDescent="0.25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7.5" hidden="1" x14ac:dyDescent="0.25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idden="1" x14ac:dyDescent="0.25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idden="1" x14ac:dyDescent="0.25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idden="1" x14ac:dyDescent="0.25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idden="1" x14ac:dyDescent="0.25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idden="1" x14ac:dyDescent="0.25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idden="1" x14ac:dyDescent="0.25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idden="1" x14ac:dyDescent="0.25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idden="1" x14ac:dyDescent="0.25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idden="1" x14ac:dyDescent="0.25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idden="1" x14ac:dyDescent="0.25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idden="1" x14ac:dyDescent="0.25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idden="1" x14ac:dyDescent="0.25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idden="1" x14ac:dyDescent="0.25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idden="1" x14ac:dyDescent="0.25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idden="1" x14ac:dyDescent="0.25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3.75" hidden="1" x14ac:dyDescent="0.25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idden="1" x14ac:dyDescent="0.25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idden="1" x14ac:dyDescent="0.25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idden="1" x14ac:dyDescent="0.25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idden="1" x14ac:dyDescent="0.25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6.25" hidden="1" x14ac:dyDescent="0.25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idden="1" x14ac:dyDescent="0.25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idden="1" x14ac:dyDescent="0.25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idden="1" x14ac:dyDescent="0.25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idden="1" x14ac:dyDescent="0.25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idden="1" x14ac:dyDescent="0.25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idden="1" x14ac:dyDescent="0.25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7.5" hidden="1" x14ac:dyDescent="0.25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idden="1" x14ac:dyDescent="0.25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idden="1" x14ac:dyDescent="0.25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idden="1" x14ac:dyDescent="0.25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idden="1" x14ac:dyDescent="0.25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idden="1" x14ac:dyDescent="0.25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idden="1" x14ac:dyDescent="0.25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idden="1" x14ac:dyDescent="0.25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idden="1" x14ac:dyDescent="0.25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idden="1" x14ac:dyDescent="0.25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idden="1" x14ac:dyDescent="0.25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idden="1" x14ac:dyDescent="0.25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idden="1" x14ac:dyDescent="0.25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idden="1" x14ac:dyDescent="0.25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idden="1" x14ac:dyDescent="0.25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idden="1" x14ac:dyDescent="0.25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idden="1" x14ac:dyDescent="0.25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idden="1" x14ac:dyDescent="0.25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idden="1" x14ac:dyDescent="0.25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idden="1" x14ac:dyDescent="0.25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idden="1" x14ac:dyDescent="0.25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idden="1" x14ac:dyDescent="0.25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idden="1" x14ac:dyDescent="0.25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idden="1" x14ac:dyDescent="0.25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idden="1" x14ac:dyDescent="0.25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idden="1" x14ac:dyDescent="0.25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idden="1" x14ac:dyDescent="0.25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idden="1" x14ac:dyDescent="0.25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idden="1" x14ac:dyDescent="0.25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idden="1" x14ac:dyDescent="0.25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idden="1" x14ac:dyDescent="0.25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6.25" hidden="1" x14ac:dyDescent="0.25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idden="1" x14ac:dyDescent="0.25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idden="1" x14ac:dyDescent="0.25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idden="1" x14ac:dyDescent="0.25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idden="1" x14ac:dyDescent="0.25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idden="1" x14ac:dyDescent="0.25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idden="1" x14ac:dyDescent="0.25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7.5" hidden="1" x14ac:dyDescent="0.25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idden="1" x14ac:dyDescent="0.25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idden="1" x14ac:dyDescent="0.25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idden="1" x14ac:dyDescent="0.25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idden="1" x14ac:dyDescent="0.25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idden="1" x14ac:dyDescent="0.25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idden="1" x14ac:dyDescent="0.25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idden="1" x14ac:dyDescent="0.25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idden="1" x14ac:dyDescent="0.25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idden="1" x14ac:dyDescent="0.25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idden="1" x14ac:dyDescent="0.25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idden="1" x14ac:dyDescent="0.25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idden="1" x14ac:dyDescent="0.25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idden="1" x14ac:dyDescent="0.25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idden="1" x14ac:dyDescent="0.25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idden="1" x14ac:dyDescent="0.25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idden="1" x14ac:dyDescent="0.25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idden="1" x14ac:dyDescent="0.25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idden="1" x14ac:dyDescent="0.25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idden="1" x14ac:dyDescent="0.25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idden="1" x14ac:dyDescent="0.25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idden="1" x14ac:dyDescent="0.25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idden="1" x14ac:dyDescent="0.25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idden="1" x14ac:dyDescent="0.25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idden="1" x14ac:dyDescent="0.25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idden="1" x14ac:dyDescent="0.25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idden="1" x14ac:dyDescent="0.25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idden="1" x14ac:dyDescent="0.25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idden="1" x14ac:dyDescent="0.25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idden="1" x14ac:dyDescent="0.25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6.25" hidden="1" x14ac:dyDescent="0.25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idden="1" x14ac:dyDescent="0.25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idden="1" x14ac:dyDescent="0.25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idden="1" x14ac:dyDescent="0.25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idden="1" x14ac:dyDescent="0.25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idden="1" x14ac:dyDescent="0.25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idden="1" x14ac:dyDescent="0.25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idden="1" x14ac:dyDescent="0.25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idden="1" x14ac:dyDescent="0.25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idden="1" x14ac:dyDescent="0.25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idden="1" x14ac:dyDescent="0.25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idden="1" x14ac:dyDescent="0.25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7.5" hidden="1" x14ac:dyDescent="0.25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idden="1" x14ac:dyDescent="0.25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idden="1" x14ac:dyDescent="0.25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idden="1" x14ac:dyDescent="0.25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idden="1" x14ac:dyDescent="0.25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idden="1" x14ac:dyDescent="0.25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idden="1" x14ac:dyDescent="0.25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idden="1" x14ac:dyDescent="0.25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idden="1" x14ac:dyDescent="0.25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idden="1" x14ac:dyDescent="0.25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idden="1" x14ac:dyDescent="0.25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7.5" hidden="1" x14ac:dyDescent="0.25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idden="1" x14ac:dyDescent="0.25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idden="1" x14ac:dyDescent="0.25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idden="1" x14ac:dyDescent="0.25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idden="1" x14ac:dyDescent="0.25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idden="1" x14ac:dyDescent="0.25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idden="1" x14ac:dyDescent="0.25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idden="1" x14ac:dyDescent="0.25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idden="1" x14ac:dyDescent="0.25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idden="1" x14ac:dyDescent="0.25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idden="1" x14ac:dyDescent="0.25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idden="1" x14ac:dyDescent="0.25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idden="1" x14ac:dyDescent="0.25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idden="1" x14ac:dyDescent="0.25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idden="1" x14ac:dyDescent="0.25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idden="1" x14ac:dyDescent="0.25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idden="1" x14ac:dyDescent="0.25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idden="1" x14ac:dyDescent="0.25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7.5" hidden="1" x14ac:dyDescent="0.25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idden="1" x14ac:dyDescent="0.25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idden="1" x14ac:dyDescent="0.25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idden="1" x14ac:dyDescent="0.25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idden="1" x14ac:dyDescent="0.25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idden="1" x14ac:dyDescent="0.25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idden="1" x14ac:dyDescent="0.25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idden="1" x14ac:dyDescent="0.25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idden="1" x14ac:dyDescent="0.25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idden="1" x14ac:dyDescent="0.25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idden="1" x14ac:dyDescent="0.25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idden="1" x14ac:dyDescent="0.25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idden="1" x14ac:dyDescent="0.25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idden="1" x14ac:dyDescent="0.25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idden="1" x14ac:dyDescent="0.25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idden="1" x14ac:dyDescent="0.25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idden="1" x14ac:dyDescent="0.25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7.5" hidden="1" x14ac:dyDescent="0.25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idden="1" x14ac:dyDescent="0.25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idden="1" x14ac:dyDescent="0.25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idden="1" x14ac:dyDescent="0.25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idden="1" x14ac:dyDescent="0.25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idden="1" x14ac:dyDescent="0.25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idden="1" x14ac:dyDescent="0.25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idden="1" x14ac:dyDescent="0.25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idden="1" x14ac:dyDescent="0.25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idden="1" x14ac:dyDescent="0.25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idden="1" x14ac:dyDescent="0.25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idden="1" x14ac:dyDescent="0.25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idden="1" x14ac:dyDescent="0.25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idden="1" x14ac:dyDescent="0.25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idden="1" x14ac:dyDescent="0.25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idden="1" x14ac:dyDescent="0.25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idden="1" x14ac:dyDescent="0.25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idden="1" x14ac:dyDescent="0.25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idden="1" x14ac:dyDescent="0.25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idden="1" x14ac:dyDescent="0.25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idden="1" x14ac:dyDescent="0.25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idden="1" x14ac:dyDescent="0.25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7.5" hidden="1" x14ac:dyDescent="0.25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idden="1" x14ac:dyDescent="0.25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idden="1" x14ac:dyDescent="0.25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idden="1" x14ac:dyDescent="0.25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idden="1" x14ac:dyDescent="0.25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idden="1" x14ac:dyDescent="0.25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idden="1" x14ac:dyDescent="0.25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idden="1" x14ac:dyDescent="0.25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idden="1" x14ac:dyDescent="0.25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idden="1" x14ac:dyDescent="0.25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idden="1" x14ac:dyDescent="0.25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idden="1" x14ac:dyDescent="0.25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idden="1" x14ac:dyDescent="0.25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6.25" hidden="1" x14ac:dyDescent="0.25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idden="1" x14ac:dyDescent="0.25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7.5" hidden="1" x14ac:dyDescent="0.25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idden="1" x14ac:dyDescent="0.25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idden="1" x14ac:dyDescent="0.25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idden="1" x14ac:dyDescent="0.25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idden="1" x14ac:dyDescent="0.25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idden="1" x14ac:dyDescent="0.25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idden="1" x14ac:dyDescent="0.25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idden="1" x14ac:dyDescent="0.25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idden="1" x14ac:dyDescent="0.25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idden="1" x14ac:dyDescent="0.25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idden="1" x14ac:dyDescent="0.25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idden="1" x14ac:dyDescent="0.25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idden="1" x14ac:dyDescent="0.25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idden="1" x14ac:dyDescent="0.25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idden="1" x14ac:dyDescent="0.25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idden="1" x14ac:dyDescent="0.25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idden="1" x14ac:dyDescent="0.25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idden="1" x14ac:dyDescent="0.25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idden="1" x14ac:dyDescent="0.25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idden="1" x14ac:dyDescent="0.25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idden="1" x14ac:dyDescent="0.25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idden="1" x14ac:dyDescent="0.25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idden="1" x14ac:dyDescent="0.25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idden="1" x14ac:dyDescent="0.25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idden="1" x14ac:dyDescent="0.25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idden="1" x14ac:dyDescent="0.25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idden="1" x14ac:dyDescent="0.25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idden="1" x14ac:dyDescent="0.25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idden="1" x14ac:dyDescent="0.25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idden="1" x14ac:dyDescent="0.25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idden="1" x14ac:dyDescent="0.25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idden="1" x14ac:dyDescent="0.25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idden="1" x14ac:dyDescent="0.25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idden="1" x14ac:dyDescent="0.25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idden="1" x14ac:dyDescent="0.25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6.25" hidden="1" x14ac:dyDescent="0.25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idden="1" x14ac:dyDescent="0.25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idden="1" x14ac:dyDescent="0.25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idden="1" x14ac:dyDescent="0.25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idden="1" x14ac:dyDescent="0.25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idden="1" x14ac:dyDescent="0.25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" hidden="1" x14ac:dyDescent="0.25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idden="1" x14ac:dyDescent="0.25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idden="1" x14ac:dyDescent="0.25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idden="1" x14ac:dyDescent="0.25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idden="1" x14ac:dyDescent="0.25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idden="1" x14ac:dyDescent="0.25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idden="1" x14ac:dyDescent="0.25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idden="1" x14ac:dyDescent="0.25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idden="1" x14ac:dyDescent="0.25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idden="1" x14ac:dyDescent="0.25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idden="1" x14ac:dyDescent="0.25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idden="1" x14ac:dyDescent="0.25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idden="1" x14ac:dyDescent="0.25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idden="1" x14ac:dyDescent="0.25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idden="1" x14ac:dyDescent="0.25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idden="1" x14ac:dyDescent="0.25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idden="1" x14ac:dyDescent="0.25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idden="1" x14ac:dyDescent="0.25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idden="1" x14ac:dyDescent="0.25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idden="1" x14ac:dyDescent="0.25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idden="1" x14ac:dyDescent="0.25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idden="1" x14ac:dyDescent="0.25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idden="1" x14ac:dyDescent="0.25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idden="1" x14ac:dyDescent="0.25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idden="1" x14ac:dyDescent="0.25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idden="1" x14ac:dyDescent="0.25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idden="1" x14ac:dyDescent="0.25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idden="1" x14ac:dyDescent="0.25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idden="1" x14ac:dyDescent="0.25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idden="1" x14ac:dyDescent="0.25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idden="1" x14ac:dyDescent="0.25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idden="1" x14ac:dyDescent="0.25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7.5" hidden="1" x14ac:dyDescent="0.25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" hidden="1" x14ac:dyDescent="0.25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idden="1" x14ac:dyDescent="0.25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idden="1" x14ac:dyDescent="0.25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idden="1" x14ac:dyDescent="0.25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idden="1" x14ac:dyDescent="0.25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idden="1" x14ac:dyDescent="0.25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idden="1" x14ac:dyDescent="0.25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idden="1" x14ac:dyDescent="0.25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idden="1" x14ac:dyDescent="0.25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idden="1" x14ac:dyDescent="0.25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idden="1" x14ac:dyDescent="0.25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idden="1" x14ac:dyDescent="0.25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idden="1" x14ac:dyDescent="0.25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idden="1" x14ac:dyDescent="0.25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idden="1" x14ac:dyDescent="0.25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idden="1" x14ac:dyDescent="0.25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idden="1" x14ac:dyDescent="0.25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idden="1" x14ac:dyDescent="0.25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idden="1" x14ac:dyDescent="0.25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idden="1" x14ac:dyDescent="0.25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idden="1" x14ac:dyDescent="0.25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idden="1" x14ac:dyDescent="0.25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idden="1" x14ac:dyDescent="0.25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idden="1" x14ac:dyDescent="0.25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idden="1" x14ac:dyDescent="0.25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idden="1" x14ac:dyDescent="0.25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idden="1" x14ac:dyDescent="0.25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idden="1" x14ac:dyDescent="0.25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idden="1" x14ac:dyDescent="0.25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idden="1" x14ac:dyDescent="0.25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idden="1" x14ac:dyDescent="0.25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idden="1" x14ac:dyDescent="0.25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idden="1" x14ac:dyDescent="0.25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idden="1" x14ac:dyDescent="0.25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idden="1" x14ac:dyDescent="0.25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6.25" hidden="1" x14ac:dyDescent="0.25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idden="1" x14ac:dyDescent="0.25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idden="1" x14ac:dyDescent="0.25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idden="1" x14ac:dyDescent="0.25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idden="1" x14ac:dyDescent="0.25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idden="1" x14ac:dyDescent="0.25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idden="1" x14ac:dyDescent="0.25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idden="1" x14ac:dyDescent="0.25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idden="1" x14ac:dyDescent="0.25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idden="1" x14ac:dyDescent="0.25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idden="1" x14ac:dyDescent="0.25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idden="1" x14ac:dyDescent="0.25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7.5" hidden="1" x14ac:dyDescent="0.25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idden="1" x14ac:dyDescent="0.25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idden="1" x14ac:dyDescent="0.25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idden="1" x14ac:dyDescent="0.25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idden="1" x14ac:dyDescent="0.25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idden="1" x14ac:dyDescent="0.25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idden="1" x14ac:dyDescent="0.25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idden="1" x14ac:dyDescent="0.25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idden="1" x14ac:dyDescent="0.25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idden="1" x14ac:dyDescent="0.25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idden="1" x14ac:dyDescent="0.25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idden="1" x14ac:dyDescent="0.25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idden="1" x14ac:dyDescent="0.25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idden="1" x14ac:dyDescent="0.25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idden="1" x14ac:dyDescent="0.25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idden="1" x14ac:dyDescent="0.25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idden="1" x14ac:dyDescent="0.25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idden="1" x14ac:dyDescent="0.25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idden="1" x14ac:dyDescent="0.25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idden="1" x14ac:dyDescent="0.25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idden="1" x14ac:dyDescent="0.25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idden="1" x14ac:dyDescent="0.25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idden="1" x14ac:dyDescent="0.25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idden="1" x14ac:dyDescent="0.25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idden="1" x14ac:dyDescent="0.25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idden="1" x14ac:dyDescent="0.25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idden="1" x14ac:dyDescent="0.25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idden="1" x14ac:dyDescent="0.25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idden="1" x14ac:dyDescent="0.25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idden="1" x14ac:dyDescent="0.25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idden="1" x14ac:dyDescent="0.25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6.25" hidden="1" x14ac:dyDescent="0.25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idden="1" x14ac:dyDescent="0.25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idden="1" x14ac:dyDescent="0.25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idden="1" x14ac:dyDescent="0.25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idden="1" x14ac:dyDescent="0.25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7.5" hidden="1" x14ac:dyDescent="0.25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idden="1" x14ac:dyDescent="0.25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idden="1" x14ac:dyDescent="0.25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idden="1" x14ac:dyDescent="0.25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idden="1" x14ac:dyDescent="0.25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idden="1" x14ac:dyDescent="0.25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idden="1" x14ac:dyDescent="0.25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idden="1" x14ac:dyDescent="0.25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" hidden="1" x14ac:dyDescent="0.25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idden="1" x14ac:dyDescent="0.25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idden="1" x14ac:dyDescent="0.25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idden="1" x14ac:dyDescent="0.25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idden="1" x14ac:dyDescent="0.25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idden="1" x14ac:dyDescent="0.25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idden="1" x14ac:dyDescent="0.25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idden="1" x14ac:dyDescent="0.25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idden="1" x14ac:dyDescent="0.25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idden="1" x14ac:dyDescent="0.25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idden="1" x14ac:dyDescent="0.25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idden="1" x14ac:dyDescent="0.25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idden="1" x14ac:dyDescent="0.25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idden="1" x14ac:dyDescent="0.25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idden="1" x14ac:dyDescent="0.25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idden="1" x14ac:dyDescent="0.25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idden="1" x14ac:dyDescent="0.25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idden="1" x14ac:dyDescent="0.25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idden="1" x14ac:dyDescent="0.25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idden="1" x14ac:dyDescent="0.25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idden="1" x14ac:dyDescent="0.25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idden="1" x14ac:dyDescent="0.25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idden="1" x14ac:dyDescent="0.25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idden="1" x14ac:dyDescent="0.25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idden="1" x14ac:dyDescent="0.25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idden="1" x14ac:dyDescent="0.25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idden="1" x14ac:dyDescent="0.25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idden="1" x14ac:dyDescent="0.25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idden="1" x14ac:dyDescent="0.25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idden="1" x14ac:dyDescent="0.25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idden="1" x14ac:dyDescent="0.25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6.25" hidden="1" x14ac:dyDescent="0.25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idden="1" x14ac:dyDescent="0.25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idden="1" x14ac:dyDescent="0.25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idden="1" x14ac:dyDescent="0.25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idden="1" x14ac:dyDescent="0.25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idden="1" x14ac:dyDescent="0.25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idden="1" x14ac:dyDescent="0.25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idden="1" x14ac:dyDescent="0.25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idden="1" x14ac:dyDescent="0.25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idden="1" x14ac:dyDescent="0.25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idden="1" x14ac:dyDescent="0.25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idden="1" x14ac:dyDescent="0.25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idden="1" x14ac:dyDescent="0.25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idden="1" x14ac:dyDescent="0.25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idden="1" x14ac:dyDescent="0.25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idden="1" x14ac:dyDescent="0.25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idden="1" x14ac:dyDescent="0.25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idden="1" x14ac:dyDescent="0.25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idden="1" x14ac:dyDescent="0.25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idden="1" x14ac:dyDescent="0.25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idden="1" x14ac:dyDescent="0.25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idden="1" x14ac:dyDescent="0.25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idden="1" x14ac:dyDescent="0.25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idden="1" x14ac:dyDescent="0.25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idden="1" x14ac:dyDescent="0.25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idden="1" x14ac:dyDescent="0.25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idden="1" x14ac:dyDescent="0.25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idden="1" x14ac:dyDescent="0.25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idden="1" x14ac:dyDescent="0.25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idden="1" x14ac:dyDescent="0.25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idden="1" x14ac:dyDescent="0.25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idden="1" x14ac:dyDescent="0.25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idden="1" x14ac:dyDescent="0.25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6.25" hidden="1" x14ac:dyDescent="0.25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idden="1" x14ac:dyDescent="0.25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idden="1" x14ac:dyDescent="0.25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idden="1" x14ac:dyDescent="0.25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idden="1" x14ac:dyDescent="0.25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idden="1" x14ac:dyDescent="0.25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idden="1" x14ac:dyDescent="0.25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idden="1" x14ac:dyDescent="0.25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idden="1" x14ac:dyDescent="0.25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idden="1" x14ac:dyDescent="0.25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idden="1" x14ac:dyDescent="0.25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idden="1" x14ac:dyDescent="0.25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idden="1" x14ac:dyDescent="0.25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1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idden="1" x14ac:dyDescent="0.25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1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idden="1" x14ac:dyDescent="0.25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idden="1" x14ac:dyDescent="0.25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idden="1" x14ac:dyDescent="0.25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idden="1" x14ac:dyDescent="0.25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idden="1" x14ac:dyDescent="0.25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idden="1" x14ac:dyDescent="0.25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idden="1" x14ac:dyDescent="0.25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idden="1" x14ac:dyDescent="0.25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idden="1" x14ac:dyDescent="0.25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idden="1" x14ac:dyDescent="0.25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idden="1" x14ac:dyDescent="0.25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idden="1" x14ac:dyDescent="0.25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idden="1" x14ac:dyDescent="0.25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idden="1" x14ac:dyDescent="0.25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idden="1" x14ac:dyDescent="0.25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idden="1" x14ac:dyDescent="0.25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idden="1" x14ac:dyDescent="0.25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idden="1" x14ac:dyDescent="0.25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idden="1" x14ac:dyDescent="0.25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idden="1" x14ac:dyDescent="0.25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idden="1" x14ac:dyDescent="0.25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idden="1" x14ac:dyDescent="0.25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idden="1" x14ac:dyDescent="0.25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6.25" hidden="1" x14ac:dyDescent="0.25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idden="1" x14ac:dyDescent="0.25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idden="1" x14ac:dyDescent="0.25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idden="1" x14ac:dyDescent="0.25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idden="1" x14ac:dyDescent="0.25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idden="1" x14ac:dyDescent="0.25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idden="1" x14ac:dyDescent="0.25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idden="1" x14ac:dyDescent="0.25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idden="1" x14ac:dyDescent="0.25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idden="1" x14ac:dyDescent="0.25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idden="1" x14ac:dyDescent="0.25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idden="1" x14ac:dyDescent="0.25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idden="1" x14ac:dyDescent="0.25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idden="1" x14ac:dyDescent="0.25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idden="1" x14ac:dyDescent="0.25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" hidden="1" x14ac:dyDescent="0.25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idden="1" x14ac:dyDescent="0.25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idden="1" x14ac:dyDescent="0.25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idden="1" x14ac:dyDescent="0.25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idden="1" x14ac:dyDescent="0.25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idden="1" x14ac:dyDescent="0.25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idden="1" x14ac:dyDescent="0.25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idden="1" x14ac:dyDescent="0.25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idden="1" x14ac:dyDescent="0.25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idden="1" x14ac:dyDescent="0.25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idden="1" x14ac:dyDescent="0.25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idden="1" x14ac:dyDescent="0.25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idden="1" x14ac:dyDescent="0.25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idden="1" x14ac:dyDescent="0.25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idden="1" x14ac:dyDescent="0.25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idden="1" x14ac:dyDescent="0.25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idden="1" x14ac:dyDescent="0.25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idden="1" x14ac:dyDescent="0.25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idden="1" x14ac:dyDescent="0.25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idden="1" x14ac:dyDescent="0.25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idden="1" x14ac:dyDescent="0.25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idden="1" x14ac:dyDescent="0.25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idden="1" x14ac:dyDescent="0.25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idden="1" x14ac:dyDescent="0.25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idden="1" x14ac:dyDescent="0.25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idden="1" x14ac:dyDescent="0.25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idden="1" x14ac:dyDescent="0.25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idden="1" x14ac:dyDescent="0.25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idden="1" x14ac:dyDescent="0.25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6.25" hidden="1" x14ac:dyDescent="0.25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idden="1" x14ac:dyDescent="0.25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idden="1" x14ac:dyDescent="0.25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idden="1" x14ac:dyDescent="0.25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idden="1" x14ac:dyDescent="0.25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idden="1" x14ac:dyDescent="0.25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idden="1" x14ac:dyDescent="0.25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idden="1" x14ac:dyDescent="0.25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idden="1" x14ac:dyDescent="0.25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idden="1" x14ac:dyDescent="0.25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idden="1" x14ac:dyDescent="0.25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idden="1" x14ac:dyDescent="0.25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idden="1" x14ac:dyDescent="0.25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" hidden="1" x14ac:dyDescent="0.25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idden="1" x14ac:dyDescent="0.25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idden="1" x14ac:dyDescent="0.25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idden="1" x14ac:dyDescent="0.25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idden="1" x14ac:dyDescent="0.25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idden="1" x14ac:dyDescent="0.25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idden="1" x14ac:dyDescent="0.25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idden="1" x14ac:dyDescent="0.25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idden="1" x14ac:dyDescent="0.25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idden="1" x14ac:dyDescent="0.25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idden="1" x14ac:dyDescent="0.25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idden="1" x14ac:dyDescent="0.25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idden="1" x14ac:dyDescent="0.25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idden="1" x14ac:dyDescent="0.25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idden="1" x14ac:dyDescent="0.25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idden="1" x14ac:dyDescent="0.25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idden="1" x14ac:dyDescent="0.25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idden="1" x14ac:dyDescent="0.25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idden="1" x14ac:dyDescent="0.25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idden="1" x14ac:dyDescent="0.25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idden="1" x14ac:dyDescent="0.25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idden="1" x14ac:dyDescent="0.25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idden="1" x14ac:dyDescent="0.25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idden="1" x14ac:dyDescent="0.25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idden="1" x14ac:dyDescent="0.25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idden="1" x14ac:dyDescent="0.25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idden="1" x14ac:dyDescent="0.25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idden="1" x14ac:dyDescent="0.25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idden="1" x14ac:dyDescent="0.25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idden="1" x14ac:dyDescent="0.25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idden="1" x14ac:dyDescent="0.25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6.25" hidden="1" x14ac:dyDescent="0.25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idden="1" x14ac:dyDescent="0.25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idden="1" x14ac:dyDescent="0.25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idden="1" x14ac:dyDescent="0.25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idden="1" x14ac:dyDescent="0.25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idden="1" x14ac:dyDescent="0.25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idden="1" x14ac:dyDescent="0.25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idden="1" x14ac:dyDescent="0.25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idden="1" x14ac:dyDescent="0.25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" hidden="1" x14ac:dyDescent="0.25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idden="1" x14ac:dyDescent="0.25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idden="1" x14ac:dyDescent="0.25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idden="1" x14ac:dyDescent="0.25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idden="1" x14ac:dyDescent="0.25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idden="1" x14ac:dyDescent="0.25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idden="1" x14ac:dyDescent="0.25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idden="1" x14ac:dyDescent="0.25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idden="1" x14ac:dyDescent="0.25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idden="1" x14ac:dyDescent="0.25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idden="1" x14ac:dyDescent="0.25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idden="1" x14ac:dyDescent="0.25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idden="1" x14ac:dyDescent="0.25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idden="1" x14ac:dyDescent="0.25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idden="1" x14ac:dyDescent="0.25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idden="1" x14ac:dyDescent="0.25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idden="1" x14ac:dyDescent="0.25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idden="1" x14ac:dyDescent="0.25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idden="1" x14ac:dyDescent="0.25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idden="1" x14ac:dyDescent="0.25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idden="1" x14ac:dyDescent="0.25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idden="1" x14ac:dyDescent="0.25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idden="1" x14ac:dyDescent="0.25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idden="1" x14ac:dyDescent="0.25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idden="1" x14ac:dyDescent="0.25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idden="1" x14ac:dyDescent="0.25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idden="1" x14ac:dyDescent="0.25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idden="1" x14ac:dyDescent="0.25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idden="1" x14ac:dyDescent="0.25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idden="1" x14ac:dyDescent="0.25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idden="1" x14ac:dyDescent="0.25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idden="1" x14ac:dyDescent="0.25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idden="1" x14ac:dyDescent="0.25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idden="1" x14ac:dyDescent="0.25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idden="1" x14ac:dyDescent="0.25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idden="1" x14ac:dyDescent="0.25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idden="1" x14ac:dyDescent="0.25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idden="1" x14ac:dyDescent="0.25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idden="1" x14ac:dyDescent="0.25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idden="1" x14ac:dyDescent="0.25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" hidden="1" x14ac:dyDescent="0.25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idden="1" x14ac:dyDescent="0.25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idden="1" x14ac:dyDescent="0.25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idden="1" x14ac:dyDescent="0.25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idden="1" x14ac:dyDescent="0.25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idden="1" x14ac:dyDescent="0.25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idden="1" x14ac:dyDescent="0.25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idden="1" x14ac:dyDescent="0.25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idden="1" x14ac:dyDescent="0.25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idden="1" x14ac:dyDescent="0.25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idden="1" x14ac:dyDescent="0.25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idden="1" x14ac:dyDescent="0.25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idden="1" x14ac:dyDescent="0.25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idden="1" x14ac:dyDescent="0.25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idden="1" x14ac:dyDescent="0.25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idden="1" x14ac:dyDescent="0.25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idden="1" x14ac:dyDescent="0.25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idden="1" x14ac:dyDescent="0.25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idden="1" x14ac:dyDescent="0.25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idden="1" x14ac:dyDescent="0.25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idden="1" x14ac:dyDescent="0.25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idden="1" x14ac:dyDescent="0.25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idden="1" x14ac:dyDescent="0.25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idden="1" x14ac:dyDescent="0.25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idden="1" x14ac:dyDescent="0.25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idden="1" x14ac:dyDescent="0.25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idden="1" x14ac:dyDescent="0.25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idden="1" x14ac:dyDescent="0.25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idden="1" x14ac:dyDescent="0.25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idden="1" x14ac:dyDescent="0.25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idden="1" x14ac:dyDescent="0.25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idden="1" x14ac:dyDescent="0.25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idden="1" x14ac:dyDescent="0.25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idden="1" x14ac:dyDescent="0.25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idden="1" x14ac:dyDescent="0.25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6.25" hidden="1" x14ac:dyDescent="0.25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idden="1" x14ac:dyDescent="0.25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idden="1" x14ac:dyDescent="0.25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idden="1" x14ac:dyDescent="0.25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idden="1" x14ac:dyDescent="0.25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idden="1" x14ac:dyDescent="0.25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idden="1" x14ac:dyDescent="0.25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idden="1" x14ac:dyDescent="0.25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idden="1" x14ac:dyDescent="0.25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idden="1" x14ac:dyDescent="0.25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7.5" hidden="1" x14ac:dyDescent="0.25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idden="1" x14ac:dyDescent="0.25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idden="1" x14ac:dyDescent="0.25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idden="1" x14ac:dyDescent="0.25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idden="1" x14ac:dyDescent="0.25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idden="1" x14ac:dyDescent="0.25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idden="1" x14ac:dyDescent="0.25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idden="1" x14ac:dyDescent="0.25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idden="1" x14ac:dyDescent="0.25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idden="1" x14ac:dyDescent="0.25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idden="1" x14ac:dyDescent="0.25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idden="1" x14ac:dyDescent="0.25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idden="1" x14ac:dyDescent="0.25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idden="1" x14ac:dyDescent="0.25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idden="1" x14ac:dyDescent="0.25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idden="1" x14ac:dyDescent="0.25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idden="1" x14ac:dyDescent="0.25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idden="1" x14ac:dyDescent="0.25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idden="1" x14ac:dyDescent="0.25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idden="1" x14ac:dyDescent="0.25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idden="1" x14ac:dyDescent="0.25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idden="1" x14ac:dyDescent="0.25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idden="1" x14ac:dyDescent="0.25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idden="1" x14ac:dyDescent="0.25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idden="1" x14ac:dyDescent="0.25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idden="1" x14ac:dyDescent="0.25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idden="1" x14ac:dyDescent="0.25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idden="1" x14ac:dyDescent="0.25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idden="1" x14ac:dyDescent="0.25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idden="1" x14ac:dyDescent="0.25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idden="1" x14ac:dyDescent="0.25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idden="1" x14ac:dyDescent="0.25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idden="1" x14ac:dyDescent="0.25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idden="1" x14ac:dyDescent="0.25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idden="1" x14ac:dyDescent="0.25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6.25" hidden="1" x14ac:dyDescent="0.25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idden="1" x14ac:dyDescent="0.25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idden="1" x14ac:dyDescent="0.25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idden="1" x14ac:dyDescent="0.25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idden="1" x14ac:dyDescent="0.25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idden="1" x14ac:dyDescent="0.25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idden="1" x14ac:dyDescent="0.25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idden="1" x14ac:dyDescent="0.25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idden="1" x14ac:dyDescent="0.25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idden="1" x14ac:dyDescent="0.25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idden="1" x14ac:dyDescent="0.25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7.5" hidden="1" x14ac:dyDescent="0.25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idden="1" x14ac:dyDescent="0.25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idden="1" x14ac:dyDescent="0.25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idden="1" x14ac:dyDescent="0.25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idden="1" x14ac:dyDescent="0.25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idden="1" x14ac:dyDescent="0.25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idden="1" x14ac:dyDescent="0.25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idden="1" x14ac:dyDescent="0.25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idden="1" x14ac:dyDescent="0.25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idden="1" x14ac:dyDescent="0.25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idden="1" x14ac:dyDescent="0.25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idden="1" x14ac:dyDescent="0.25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idden="1" x14ac:dyDescent="0.25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idden="1" x14ac:dyDescent="0.25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idden="1" x14ac:dyDescent="0.25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idden="1" x14ac:dyDescent="0.25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idden="1" x14ac:dyDescent="0.25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idden="1" x14ac:dyDescent="0.25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idden="1" x14ac:dyDescent="0.25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idden="1" x14ac:dyDescent="0.25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idden="1" x14ac:dyDescent="0.25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idden="1" x14ac:dyDescent="0.25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idden="1" x14ac:dyDescent="0.25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idden="1" x14ac:dyDescent="0.25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idden="1" x14ac:dyDescent="0.25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idden="1" x14ac:dyDescent="0.25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idden="1" x14ac:dyDescent="0.25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idden="1" x14ac:dyDescent="0.25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idden="1" x14ac:dyDescent="0.25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idden="1" x14ac:dyDescent="0.25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idden="1" x14ac:dyDescent="0.25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idden="1" x14ac:dyDescent="0.25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6.25" hidden="1" x14ac:dyDescent="0.25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idden="1" x14ac:dyDescent="0.25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idden="1" x14ac:dyDescent="0.25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idden="1" x14ac:dyDescent="0.25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idden="1" x14ac:dyDescent="0.25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idden="1" x14ac:dyDescent="0.25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idden="1" x14ac:dyDescent="0.25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idden="1" x14ac:dyDescent="0.25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idden="1" x14ac:dyDescent="0.25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idden="1" x14ac:dyDescent="0.25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idden="1" x14ac:dyDescent="0.25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idden="1" x14ac:dyDescent="0.25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idden="1" x14ac:dyDescent="0.25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7.5" hidden="1" x14ac:dyDescent="0.25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7.5" hidden="1" x14ac:dyDescent="0.25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6.25" hidden="1" x14ac:dyDescent="0.25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idden="1" x14ac:dyDescent="0.25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idden="1" x14ac:dyDescent="0.25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idden="1" x14ac:dyDescent="0.25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idden="1" x14ac:dyDescent="0.25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idden="1" x14ac:dyDescent="0.25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idden="1" x14ac:dyDescent="0.25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idden="1" x14ac:dyDescent="0.25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idden="1" x14ac:dyDescent="0.25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idden="1" x14ac:dyDescent="0.25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idden="1" x14ac:dyDescent="0.25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idden="1" x14ac:dyDescent="0.25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idden="1" x14ac:dyDescent="0.25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idden="1" x14ac:dyDescent="0.25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idden="1" x14ac:dyDescent="0.25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idden="1" x14ac:dyDescent="0.25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idden="1" x14ac:dyDescent="0.25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idden="1" x14ac:dyDescent="0.25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idden="1" x14ac:dyDescent="0.25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idden="1" x14ac:dyDescent="0.25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idden="1" x14ac:dyDescent="0.25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idden="1" x14ac:dyDescent="0.25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idden="1" x14ac:dyDescent="0.25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7.5" hidden="1" x14ac:dyDescent="0.25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7.5" hidden="1" x14ac:dyDescent="0.25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idden="1" x14ac:dyDescent="0.25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idden="1" x14ac:dyDescent="0.25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idden="1" x14ac:dyDescent="0.25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idden="1" x14ac:dyDescent="0.25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idden="1" x14ac:dyDescent="0.25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idden="1" x14ac:dyDescent="0.25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idden="1" x14ac:dyDescent="0.25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idden="1" x14ac:dyDescent="0.25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idden="1" x14ac:dyDescent="0.25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idden="1" x14ac:dyDescent="0.25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idden="1" x14ac:dyDescent="0.25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idden="1" x14ac:dyDescent="0.25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idden="1" x14ac:dyDescent="0.25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idden="1" x14ac:dyDescent="0.25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idden="1" x14ac:dyDescent="0.25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idden="1" x14ac:dyDescent="0.25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idden="1" x14ac:dyDescent="0.25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idden="1" x14ac:dyDescent="0.25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idden="1" x14ac:dyDescent="0.25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idden="1" x14ac:dyDescent="0.25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idden="1" x14ac:dyDescent="0.25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idden="1" x14ac:dyDescent="0.25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6.25" hidden="1" x14ac:dyDescent="0.25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idden="1" x14ac:dyDescent="0.25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idden="1" x14ac:dyDescent="0.25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idden="1" x14ac:dyDescent="0.25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idden="1" x14ac:dyDescent="0.25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idden="1" x14ac:dyDescent="0.25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idden="1" x14ac:dyDescent="0.25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idden="1" x14ac:dyDescent="0.25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7.5" hidden="1" x14ac:dyDescent="0.25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idden="1" x14ac:dyDescent="0.25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idden="1" x14ac:dyDescent="0.25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idden="1" x14ac:dyDescent="0.25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idden="1" x14ac:dyDescent="0.25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idden="1" x14ac:dyDescent="0.25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7.5" hidden="1" x14ac:dyDescent="0.25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idden="1" x14ac:dyDescent="0.25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idden="1" x14ac:dyDescent="0.25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idden="1" x14ac:dyDescent="0.25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7.5" hidden="1" x14ac:dyDescent="0.25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idden="1" x14ac:dyDescent="0.25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idden="1" x14ac:dyDescent="0.25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idden="1" x14ac:dyDescent="0.25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idden="1" x14ac:dyDescent="0.25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idden="1" x14ac:dyDescent="0.25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idden="1" x14ac:dyDescent="0.25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idden="1" x14ac:dyDescent="0.25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idden="1" x14ac:dyDescent="0.25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idden="1" x14ac:dyDescent="0.25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idden="1" x14ac:dyDescent="0.25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idden="1" x14ac:dyDescent="0.25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idden="1" x14ac:dyDescent="0.25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idden="1" x14ac:dyDescent="0.25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idden="1" x14ac:dyDescent="0.25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idden="1" x14ac:dyDescent="0.25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idden="1" x14ac:dyDescent="0.25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idden="1" x14ac:dyDescent="0.25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idden="1" x14ac:dyDescent="0.25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idden="1" x14ac:dyDescent="0.25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idden="1" x14ac:dyDescent="0.25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idden="1" x14ac:dyDescent="0.25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idden="1" x14ac:dyDescent="0.25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idden="1" x14ac:dyDescent="0.25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idden="1" x14ac:dyDescent="0.25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idden="1" x14ac:dyDescent="0.25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idden="1" x14ac:dyDescent="0.25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idden="1" x14ac:dyDescent="0.25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idden="1" x14ac:dyDescent="0.25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idden="1" x14ac:dyDescent="0.25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idden="1" x14ac:dyDescent="0.25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idden="1" x14ac:dyDescent="0.25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idden="1" x14ac:dyDescent="0.25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idden="1" x14ac:dyDescent="0.25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idden="1" x14ac:dyDescent="0.25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idden="1" x14ac:dyDescent="0.25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idden="1" x14ac:dyDescent="0.25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6.25" hidden="1" x14ac:dyDescent="0.25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idden="1" x14ac:dyDescent="0.25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idden="1" x14ac:dyDescent="0.25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idden="1" x14ac:dyDescent="0.25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idden="1" x14ac:dyDescent="0.25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idden="1" x14ac:dyDescent="0.25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idden="1" x14ac:dyDescent="0.25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idden="1" x14ac:dyDescent="0.25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idden="1" x14ac:dyDescent="0.25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idden="1" x14ac:dyDescent="0.25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idden="1" x14ac:dyDescent="0.25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idden="1" x14ac:dyDescent="0.25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idden="1" x14ac:dyDescent="0.25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idden="1" x14ac:dyDescent="0.25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idden="1" x14ac:dyDescent="0.25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idden="1" x14ac:dyDescent="0.25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idden="1" x14ac:dyDescent="0.25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idden="1" x14ac:dyDescent="0.25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idden="1" x14ac:dyDescent="0.25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idden="1" x14ac:dyDescent="0.25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idden="1" x14ac:dyDescent="0.25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idden="1" x14ac:dyDescent="0.25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idden="1" x14ac:dyDescent="0.25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7.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7.5" hidden="1" x14ac:dyDescent="0.25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7.5" hidden="1" x14ac:dyDescent="0.25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idden="1" x14ac:dyDescent="0.25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idden="1" x14ac:dyDescent="0.25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idden="1" x14ac:dyDescent="0.25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idden="1" x14ac:dyDescent="0.25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idden="1" x14ac:dyDescent="0.25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idden="1" x14ac:dyDescent="0.25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idden="1" x14ac:dyDescent="0.25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idden="1" x14ac:dyDescent="0.25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idden="1" x14ac:dyDescent="0.25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idden="1" x14ac:dyDescent="0.25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idden="1" x14ac:dyDescent="0.25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idden="1" x14ac:dyDescent="0.25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idden="1" x14ac:dyDescent="0.25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idden="1" x14ac:dyDescent="0.25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idden="1" x14ac:dyDescent="0.25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idden="1" x14ac:dyDescent="0.25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idden="1" x14ac:dyDescent="0.25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idden="1" x14ac:dyDescent="0.25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idden="1" x14ac:dyDescent="0.25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idden="1" x14ac:dyDescent="0.25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idden="1" x14ac:dyDescent="0.25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idden="1" x14ac:dyDescent="0.25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idden="1" x14ac:dyDescent="0.25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idden="1" x14ac:dyDescent="0.25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idden="1" x14ac:dyDescent="0.25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idden="1" x14ac:dyDescent="0.25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idden="1" x14ac:dyDescent="0.25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idden="1" x14ac:dyDescent="0.25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idden="1" x14ac:dyDescent="0.25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idden="1" x14ac:dyDescent="0.25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idden="1" x14ac:dyDescent="0.25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idden="1" x14ac:dyDescent="0.25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6.25" hidden="1" x14ac:dyDescent="0.25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idden="1" x14ac:dyDescent="0.25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idden="1" x14ac:dyDescent="0.25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idden="1" x14ac:dyDescent="0.25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idden="1" x14ac:dyDescent="0.25">
      <c r="A6552" s="101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idden="1" x14ac:dyDescent="0.25">
      <c r="A6553" s="101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2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idden="1" x14ac:dyDescent="0.25">
      <c r="A6555" s="989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0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7.5" hidden="1" x14ac:dyDescent="0.25">
      <c r="A6559" s="101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1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66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2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67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idden="1" x14ac:dyDescent="0.25">
      <c r="A6567" s="101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2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idden="1" x14ac:dyDescent="0.25">
      <c r="A6571" s="989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91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idden="1" x14ac:dyDescent="0.25">
      <c r="A6578" s="101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idden="1" x14ac:dyDescent="0.25">
      <c r="A6579" s="991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1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idden="1" x14ac:dyDescent="0.25">
      <c r="A6581" s="106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idden="1" x14ac:dyDescent="0.25">
      <c r="A6582" s="99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65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idden="1" x14ac:dyDescent="0.25">
      <c r="A6585" s="102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4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idden="1" x14ac:dyDescent="0.25">
      <c r="A6589" s="101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1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idden="1" x14ac:dyDescent="0.25">
      <c r="A6592" s="989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0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idden="1" x14ac:dyDescent="0.25">
      <c r="A6595" s="989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idden="1" x14ac:dyDescent="0.25">
      <c r="A6596" s="991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idden="1" x14ac:dyDescent="0.25">
      <c r="A6597" s="991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idden="1" x14ac:dyDescent="0.25">
      <c r="A6598" s="991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91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idden="1" x14ac:dyDescent="0.25">
      <c r="A6601" s="989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0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idden="1" x14ac:dyDescent="0.25">
      <c r="A6604" s="989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97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0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99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idden="1" x14ac:dyDescent="0.25">
      <c r="A6608" s="995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9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idden="1" x14ac:dyDescent="0.25">
      <c r="A6611" s="995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9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idden="1" x14ac:dyDescent="0.25">
      <c r="A6614" s="995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idden="1" x14ac:dyDescent="0.25">
      <c r="A6615" s="1000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9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idden="1" x14ac:dyDescent="0.25">
      <c r="A6617" s="989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0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idden="1" x14ac:dyDescent="0.25">
      <c r="A6624" s="989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0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idden="1" x14ac:dyDescent="0.25">
      <c r="A6629" s="989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idden="1" x14ac:dyDescent="0.25">
      <c r="A6630" s="991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0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idden="1" x14ac:dyDescent="0.25">
      <c r="A6632" s="995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6.25" hidden="1" x14ac:dyDescent="0.25">
      <c r="A6633" s="1000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9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idden="1" x14ac:dyDescent="0.25">
      <c r="A6635" s="989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idden="1" x14ac:dyDescent="0.25">
      <c r="A6636" s="991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91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idden="1" x14ac:dyDescent="0.25">
      <c r="A6638" s="995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9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idden="1" x14ac:dyDescent="0.25">
      <c r="A6640" s="989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idden="1" x14ac:dyDescent="0.25">
      <c r="A6641" s="991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0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idden="1" x14ac:dyDescent="0.25">
      <c r="A6644" s="989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idden="1" x14ac:dyDescent="0.25">
      <c r="A6645" s="991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idden="1" x14ac:dyDescent="0.25">
      <c r="A6646" s="991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0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idden="1" x14ac:dyDescent="0.25">
      <c r="A6649" s="989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1.5" hidden="1" x14ac:dyDescent="0.25">
      <c r="A6650" s="991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0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idden="1" x14ac:dyDescent="0.25">
      <c r="A6654" s="995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9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idden="1" x14ac:dyDescent="0.25">
      <c r="A6660" s="989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09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0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08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idden="1" x14ac:dyDescent="0.25">
      <c r="A6663" s="989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91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idden="1" x14ac:dyDescent="0.25">
      <c r="A6668" s="101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16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idden="1" x14ac:dyDescent="0.25">
      <c r="A6670" s="99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idden="1" x14ac:dyDescent="0.25">
      <c r="A6671" s="99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94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idden="1" x14ac:dyDescent="0.25">
      <c r="A6673" s="986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88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idden="1" x14ac:dyDescent="0.25">
      <c r="A6675" s="995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9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idden="1" x14ac:dyDescent="0.25">
      <c r="A6678" s="995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00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idden="1" x14ac:dyDescent="0.25">
      <c r="A6680" s="986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88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idden="1" x14ac:dyDescent="0.25">
      <c r="A6682" s="99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94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idden="1" x14ac:dyDescent="0.25">
      <c r="A6684" s="986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idden="1" x14ac:dyDescent="0.25">
      <c r="A6685" s="987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idden="1" x14ac:dyDescent="0.25">
      <c r="A6686" s="987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88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idden="1" x14ac:dyDescent="0.25">
      <c r="A6688" s="99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idden="1" x14ac:dyDescent="0.25">
      <c r="A6689" s="99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94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idden="1" x14ac:dyDescent="0.25">
      <c r="A6691" s="986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88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idden="1" x14ac:dyDescent="0.25">
      <c r="A6693" s="99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94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idden="1" x14ac:dyDescent="0.25">
      <c r="A6695" s="986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idden="1" x14ac:dyDescent="0.25">
      <c r="A6696" s="987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88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idden="1" x14ac:dyDescent="0.25">
      <c r="A6698" s="99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94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idden="1" x14ac:dyDescent="0.25">
      <c r="A6700" s="986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idden="1" x14ac:dyDescent="0.25">
      <c r="A6701" s="987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88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6.25" hidden="1" x14ac:dyDescent="0.25">
      <c r="A6703" s="995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idden="1" x14ac:dyDescent="0.25">
      <c r="A6704" s="1000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idden="1" x14ac:dyDescent="0.25">
      <c r="A6705" s="1000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00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idden="1" x14ac:dyDescent="0.25">
      <c r="A6709" s="989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idden="1" x14ac:dyDescent="0.25">
      <c r="A6710" s="991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idden="1" x14ac:dyDescent="0.25">
      <c r="A6711" s="991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0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idden="1" x14ac:dyDescent="0.25">
      <c r="A6713" s="99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94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idden="1" x14ac:dyDescent="0.25">
      <c r="A6718" s="99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83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idden="1" x14ac:dyDescent="0.25">
      <c r="A6719" s="99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84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94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85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idden="1" x14ac:dyDescent="0.25">
      <c r="A6721" s="989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07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0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07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idden="1" x14ac:dyDescent="0.25">
      <c r="A6723" s="99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81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94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04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idden="1" x14ac:dyDescent="0.25">
      <c r="A6725" s="986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88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idden="1" x14ac:dyDescent="0.25">
      <c r="A6727" s="995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9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idden="1" x14ac:dyDescent="0.25">
      <c r="A6729" s="989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0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idden="1" x14ac:dyDescent="0.25">
      <c r="A6731" s="995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00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idden="1" x14ac:dyDescent="0.25">
      <c r="A6733" s="101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17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idden="1" x14ac:dyDescent="0.25">
      <c r="A6735" s="99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94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idden="1" x14ac:dyDescent="0.25">
      <c r="A6738" s="99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94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idden="1" x14ac:dyDescent="0.25">
      <c r="A6741" s="99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idden="1" x14ac:dyDescent="0.25">
      <c r="A6742" s="99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94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idden="1" x14ac:dyDescent="0.25">
      <c r="A6744" s="989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idden="1" x14ac:dyDescent="0.25">
      <c r="A6745" s="991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0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idden="1" x14ac:dyDescent="0.25">
      <c r="A6747" s="995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idden="1" x14ac:dyDescent="0.25">
      <c r="A6748" s="1000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96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idden="1" x14ac:dyDescent="0.25">
      <c r="A6750" s="989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idden="1" x14ac:dyDescent="0.25">
      <c r="A6751" s="991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0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idden="1" x14ac:dyDescent="0.25">
      <c r="A6754" s="989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0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idden="1" x14ac:dyDescent="0.25">
      <c r="A6756" s="99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idden="1" x14ac:dyDescent="0.25">
      <c r="A6757" s="99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94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idden="1" x14ac:dyDescent="0.25">
      <c r="A6759" s="986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idden="1" x14ac:dyDescent="0.25">
      <c r="A6760" s="987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idden="1" x14ac:dyDescent="0.25">
      <c r="A6761" s="987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88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idden="1" x14ac:dyDescent="0.25">
      <c r="A6763" s="99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idden="1" x14ac:dyDescent="0.25">
      <c r="A6764" s="99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9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idden="1" x14ac:dyDescent="0.25">
      <c r="A6766" s="989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91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idden="1" x14ac:dyDescent="0.25">
      <c r="A6769" s="989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0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idden="1" x14ac:dyDescent="0.25">
      <c r="A6771" s="99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idden="1" x14ac:dyDescent="0.25">
      <c r="A6772" s="99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idden="1" x14ac:dyDescent="0.25">
      <c r="A6773" s="99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94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idden="1" x14ac:dyDescent="0.25">
      <c r="A6775" s="986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idden="1" x14ac:dyDescent="0.25">
      <c r="A6776" s="987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87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idden="1" x14ac:dyDescent="0.25">
      <c r="A6780" s="99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94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idden="1" x14ac:dyDescent="0.25">
      <c r="A6782" s="986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idden="1" x14ac:dyDescent="0.25">
      <c r="A6783" s="987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87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9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81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94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82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89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09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91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08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idden="1" x14ac:dyDescent="0.25">
      <c r="A6789" s="995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96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idden="1" x14ac:dyDescent="0.25">
      <c r="A6791" s="989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idden="1" x14ac:dyDescent="0.25">
      <c r="A6792" s="991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91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idden="1" x14ac:dyDescent="0.25">
      <c r="A6797" s="986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idden="1" x14ac:dyDescent="0.25">
      <c r="A6798" s="987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idden="1" x14ac:dyDescent="0.25">
      <c r="A6799" s="987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87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idden="1" x14ac:dyDescent="0.25">
      <c r="A6801" s="995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00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6.25" hidden="1" x14ac:dyDescent="0.25">
      <c r="A6808" s="995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idden="1" x14ac:dyDescent="0.25">
      <c r="A6809" s="1000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idden="1" x14ac:dyDescent="0.25">
      <c r="A6810" s="1000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96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idden="1" x14ac:dyDescent="0.25">
      <c r="A6812" s="989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idden="1" x14ac:dyDescent="0.25">
      <c r="A6813" s="991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idden="1" x14ac:dyDescent="0.25">
      <c r="A6814" s="991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0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idden="1" x14ac:dyDescent="0.25">
      <c r="A6817" s="989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idden="1" x14ac:dyDescent="0.25">
      <c r="A6818" s="991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idden="1" x14ac:dyDescent="0.25">
      <c r="A6819" s="991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idden="1" x14ac:dyDescent="0.25">
      <c r="A6820" s="991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0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idden="1" x14ac:dyDescent="0.25">
      <c r="A6822" s="995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idden="1" x14ac:dyDescent="0.25">
      <c r="A6823" s="1000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idden="1" x14ac:dyDescent="0.25">
      <c r="A6824" s="1000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idden="1" x14ac:dyDescent="0.25">
      <c r="A6825" s="1000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idden="1" x14ac:dyDescent="0.25">
      <c r="A6826" s="1000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idden="1" x14ac:dyDescent="0.25">
      <c r="A6827" s="1000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96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7.5" hidden="1" x14ac:dyDescent="0.25">
      <c r="A6829" s="986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idden="1" x14ac:dyDescent="0.25">
      <c r="A6830" s="987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7.5" hidden="1" x14ac:dyDescent="0.25">
      <c r="A6831" s="987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88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idden="1" x14ac:dyDescent="0.25">
      <c r="A6833" s="995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idden="1" x14ac:dyDescent="0.25">
      <c r="A6834" s="1000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96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idden="1" x14ac:dyDescent="0.25">
      <c r="A6836" s="986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idden="1" x14ac:dyDescent="0.25">
      <c r="A6837" s="987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88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idden="1" x14ac:dyDescent="0.25">
      <c r="A6840" s="986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idden="1" x14ac:dyDescent="0.25">
      <c r="A6841" s="987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idden="1" x14ac:dyDescent="0.25">
      <c r="A6842" s="987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87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idden="1" x14ac:dyDescent="0.25">
      <c r="A6844" s="995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idden="1" x14ac:dyDescent="0.25">
      <c r="A6845" s="1000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96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idden="1" x14ac:dyDescent="0.25">
      <c r="A6847" s="987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idden="1" x14ac:dyDescent="0.25">
      <c r="A6848" s="987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idden="1" x14ac:dyDescent="0.25">
      <c r="A6849" s="987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idden="1" x14ac:dyDescent="0.25">
      <c r="A6850" s="987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88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idden="1" x14ac:dyDescent="0.25">
      <c r="A6852" s="99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94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idden="1" x14ac:dyDescent="0.25">
      <c r="A6854" s="986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88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idden="1" x14ac:dyDescent="0.25">
      <c r="A6856" s="99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idden="1" x14ac:dyDescent="0.25">
      <c r="A6857" s="993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idden="1" x14ac:dyDescent="0.25">
      <c r="A6858" s="993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94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idden="1" x14ac:dyDescent="0.25">
      <c r="A6861" s="99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83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idden="1" x14ac:dyDescent="0.25">
      <c r="A6862" s="993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84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94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85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idden="1" x14ac:dyDescent="0.25">
      <c r="A6864" s="989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0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idden="1" x14ac:dyDescent="0.25">
      <c r="A6866" s="995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96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idden="1" x14ac:dyDescent="0.25">
      <c r="A6870" s="986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87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88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idden="1" x14ac:dyDescent="0.25">
      <c r="A6873" s="99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93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94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idden="1" x14ac:dyDescent="0.25">
      <c r="A6876" s="986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07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88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07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idden="1" x14ac:dyDescent="0.25">
      <c r="A6878" s="995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81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96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82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idden="1" x14ac:dyDescent="0.25">
      <c r="A6881" s="995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96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idden="1" x14ac:dyDescent="0.25">
      <c r="A6887" s="986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88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idden="1" x14ac:dyDescent="0.25">
      <c r="A6889" s="995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96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idden="1" x14ac:dyDescent="0.25">
      <c r="A6891" s="989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0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idden="1" x14ac:dyDescent="0.25">
      <c r="A6893" s="995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idden="1" x14ac:dyDescent="0.25">
      <c r="A6894" s="1000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96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idden="1" x14ac:dyDescent="0.25">
      <c r="A6896" s="986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idden="1" x14ac:dyDescent="0.25">
      <c r="A6897" s="987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88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idden="1" x14ac:dyDescent="0.25">
      <c r="A6899" s="99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idden="1" x14ac:dyDescent="0.25">
      <c r="A6900" s="993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94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6.25" hidden="1" x14ac:dyDescent="0.25">
      <c r="A6902" s="989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idden="1" x14ac:dyDescent="0.25">
      <c r="A6903" s="991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idden="1" x14ac:dyDescent="0.25">
      <c r="A6904" s="991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91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idden="1" x14ac:dyDescent="0.25">
      <c r="A6908" s="995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idden="1" x14ac:dyDescent="0.25">
      <c r="A6909" s="1000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idden="1" x14ac:dyDescent="0.25">
      <c r="A6910" s="1000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96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7.5" hidden="1" x14ac:dyDescent="0.25">
      <c r="A6912" s="1011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12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idden="1" x14ac:dyDescent="0.25">
      <c r="A6915" s="989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idden="1" x14ac:dyDescent="0.25">
      <c r="A6916" s="991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idden="1" x14ac:dyDescent="0.25">
      <c r="A6917" s="991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idden="1" x14ac:dyDescent="0.25">
      <c r="A6918" s="991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0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idden="1" x14ac:dyDescent="0.25">
      <c r="A6920" s="995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idden="1" x14ac:dyDescent="0.25">
      <c r="A6921" s="1000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96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idden="1" x14ac:dyDescent="0.25">
      <c r="A6924" s="995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96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idden="1" x14ac:dyDescent="0.25">
      <c r="A6926" s="986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88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idden="1" x14ac:dyDescent="0.25">
      <c r="A6928" s="995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idden="1" x14ac:dyDescent="0.25">
      <c r="A6929" s="1000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idden="1" x14ac:dyDescent="0.25">
      <c r="A6930" s="1000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96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idden="1" x14ac:dyDescent="0.25">
      <c r="A6932" s="986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09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idden="1" x14ac:dyDescent="0.25">
      <c r="A6933" s="987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07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idden="1" x14ac:dyDescent="0.25">
      <c r="A6934" s="987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07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88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08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idden="1" x14ac:dyDescent="0.25">
      <c r="A6936" s="995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96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idden="1" x14ac:dyDescent="0.25">
      <c r="A6939" s="995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96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idden="1" x14ac:dyDescent="0.25">
      <c r="A6941" s="986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88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idden="1" x14ac:dyDescent="0.25">
      <c r="A6943" s="99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83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idden="1" x14ac:dyDescent="0.25">
      <c r="A6944" s="993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84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idden="1" x14ac:dyDescent="0.25">
      <c r="A6945" s="993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10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idden="1" x14ac:dyDescent="0.25">
      <c r="A6946" s="993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10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94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85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idden="1" x14ac:dyDescent="0.25">
      <c r="A6948" s="986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07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idden="1" x14ac:dyDescent="0.25">
      <c r="A6949" s="987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07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88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08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idden="1" x14ac:dyDescent="0.25">
      <c r="A6951" s="995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96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idden="1" x14ac:dyDescent="0.25">
      <c r="A6958" s="995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idden="1" x14ac:dyDescent="0.25">
      <c r="A6959" s="1000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96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idden="1" x14ac:dyDescent="0.25">
      <c r="A6961" s="986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88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idden="1" x14ac:dyDescent="0.25">
      <c r="A6963" s="995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idden="1" x14ac:dyDescent="0.25">
      <c r="A6964" s="1000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idden="1" x14ac:dyDescent="0.25">
      <c r="A6965" s="1000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idden="1" x14ac:dyDescent="0.25">
      <c r="A6966" s="1000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96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idden="1" x14ac:dyDescent="0.25">
      <c r="A6968" s="986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88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idden="1" x14ac:dyDescent="0.25">
      <c r="A6970" s="995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idden="1" x14ac:dyDescent="0.25">
      <c r="A6971" s="1000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idden="1" x14ac:dyDescent="0.25">
      <c r="A6972" s="1000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idden="1" x14ac:dyDescent="0.25">
      <c r="A6973" s="1000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96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hidden="1" x14ac:dyDescent="0.25">
      <c r="A6975" s="989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idden="1" x14ac:dyDescent="0.25">
      <c r="A6976" s="991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idden="1" x14ac:dyDescent="0.25">
      <c r="A6977" s="991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91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idden="1" x14ac:dyDescent="0.25">
      <c r="A6981" s="995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idden="1" x14ac:dyDescent="0.25">
      <c r="A6982" s="1000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idden="1" x14ac:dyDescent="0.25">
      <c r="A6983" s="1000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96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idden="1" x14ac:dyDescent="0.25">
      <c r="A6985" s="986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88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idden="1" x14ac:dyDescent="0.25">
      <c r="A6987" s="995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96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idden="1" x14ac:dyDescent="0.25">
      <c r="A6989" s="989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idden="1" x14ac:dyDescent="0.25">
      <c r="A6990" s="991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0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idden="1" x14ac:dyDescent="0.25">
      <c r="A6992" s="995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idden="1" x14ac:dyDescent="0.25">
      <c r="A6993" s="1000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idden="1" x14ac:dyDescent="0.25">
      <c r="A6994" s="1000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96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idden="1" x14ac:dyDescent="0.25">
      <c r="A6996" s="986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idden="1" x14ac:dyDescent="0.25">
      <c r="A6997" s="987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88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992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81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idden="1" x14ac:dyDescent="0.25">
      <c r="A7000" s="993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04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993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04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993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04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994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82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idden="1" x14ac:dyDescent="0.25">
      <c r="A7004" s="986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88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idden="1" x14ac:dyDescent="0.25">
      <c r="A7006" s="995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96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idden="1" x14ac:dyDescent="0.25">
      <c r="A7011" s="995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idden="1" x14ac:dyDescent="0.25">
      <c r="A7012" s="1000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96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idden="1" x14ac:dyDescent="0.25">
      <c r="A7014" s="986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09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88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08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idden="1" x14ac:dyDescent="0.25">
      <c r="A7017" s="986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idden="1" x14ac:dyDescent="0.25">
      <c r="A7018" s="987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88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idden="1" x14ac:dyDescent="0.25">
      <c r="A7026" s="995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96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idden="1" x14ac:dyDescent="0.25">
      <c r="A7028" s="989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idden="1" x14ac:dyDescent="0.25">
      <c r="A7029" s="991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0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idden="1" x14ac:dyDescent="0.25">
      <c r="A7032" s="989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idden="1" x14ac:dyDescent="0.25">
      <c r="A7033" s="991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0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idden="1" x14ac:dyDescent="0.25">
      <c r="A7035" s="995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96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idden="1" x14ac:dyDescent="0.25">
      <c r="A7037" s="986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88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idden="1" x14ac:dyDescent="0.25">
      <c r="A7039" s="995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96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idden="1" x14ac:dyDescent="0.25">
      <c r="A7042" s="995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7.5" hidden="1" x14ac:dyDescent="0.25">
      <c r="A7043" s="1000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idden="1" x14ac:dyDescent="0.25">
      <c r="A7044" s="1000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idden="1" x14ac:dyDescent="0.25">
      <c r="A7045" s="1000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96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idden="1" x14ac:dyDescent="0.25">
      <c r="A7047" s="986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idden="1" x14ac:dyDescent="0.25">
      <c r="A7048" s="987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88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6.25" hidden="1" x14ac:dyDescent="0.25">
      <c r="A7050" s="995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idden="1" x14ac:dyDescent="0.25">
      <c r="A7051" s="1000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idden="1" x14ac:dyDescent="0.25">
      <c r="A7052" s="1000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96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idden="1" x14ac:dyDescent="0.25">
      <c r="A7054" s="986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88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x14ac:dyDescent="0.25">
      <c r="A7056" s="995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79"/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20" ht="19.5" thickBot="1" x14ac:dyDescent="0.3">
      <c r="A7057" s="996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87"/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20" x14ac:dyDescent="0.25">
      <c r="A7058" s="989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1"/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20" x14ac:dyDescent="0.25">
      <c r="A7059" s="991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3"/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20" x14ac:dyDescent="0.25">
      <c r="A7060" s="991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3"/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20" ht="38.25" thickBot="1" x14ac:dyDescent="0.3">
      <c r="A7061" s="990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32"/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20" ht="19.5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3"/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20" x14ac:dyDescent="0.25">
      <c r="A7063" s="986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997" t="s">
        <v>1724</v>
      </c>
      <c r="H7063" s="535" t="s">
        <v>2199</v>
      </c>
      <c r="I7063" s="537" t="s">
        <v>2261</v>
      </c>
      <c r="J7063" s="538"/>
      <c r="K7063" s="531"/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20" x14ac:dyDescent="0.25">
      <c r="A7064" s="987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998"/>
      <c r="H7064" s="819" t="s">
        <v>2199</v>
      </c>
      <c r="I7064" s="782" t="s">
        <v>2261</v>
      </c>
      <c r="J7064" s="825"/>
      <c r="K7064" s="849"/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20" x14ac:dyDescent="0.25">
      <c r="A7065" s="987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998"/>
      <c r="H7065" s="816" t="s">
        <v>2199</v>
      </c>
      <c r="I7065" s="816" t="s">
        <v>2261</v>
      </c>
      <c r="J7065" s="818"/>
      <c r="K7065" s="973"/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20" ht="19.5" thickBot="1" x14ac:dyDescent="0.3">
      <c r="A7066" s="988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999"/>
      <c r="H7066" s="788" t="s">
        <v>2199</v>
      </c>
      <c r="I7066" s="788" t="s">
        <v>2261</v>
      </c>
      <c r="J7066" s="790"/>
      <c r="K7066" s="877"/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20" x14ac:dyDescent="0.25">
      <c r="A7067" s="995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81" t="s">
        <v>1634</v>
      </c>
      <c r="H7067" s="483" t="s">
        <v>2199</v>
      </c>
      <c r="I7067" s="484" t="s">
        <v>2208</v>
      </c>
      <c r="J7067" s="485"/>
      <c r="K7067" s="479"/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20" ht="19.5" thickBot="1" x14ac:dyDescent="0.3">
      <c r="A7068" s="996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82"/>
      <c r="H7068" s="808" t="s">
        <v>2199</v>
      </c>
      <c r="I7068" s="808" t="s">
        <v>2208</v>
      </c>
      <c r="J7068" s="810"/>
      <c r="K7068" s="887"/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20" x14ac:dyDescent="0.25">
      <c r="A7069" s="989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/>
      <c r="F7069" s="535" t="s">
        <v>16</v>
      </c>
      <c r="G7069" s="536"/>
      <c r="H7069" s="535" t="s">
        <v>2199</v>
      </c>
      <c r="I7069" s="537"/>
      <c r="J7069" s="538" t="s">
        <v>2267</v>
      </c>
      <c r="K7069" s="531"/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>
        <v>6298236</v>
      </c>
      <c r="Q7069" s="847">
        <v>-360</v>
      </c>
      <c r="R7069" s="943"/>
      <c r="T7069" s="974">
        <v>1318</v>
      </c>
    </row>
    <row r="7070" spans="1:20" x14ac:dyDescent="0.25">
      <c r="A7070" s="991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3"/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20" x14ac:dyDescent="0.25">
      <c r="A7071" s="991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3"/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20" ht="19.5" thickBot="1" x14ac:dyDescent="0.3">
      <c r="A7072" s="990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36"/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4"/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x14ac:dyDescent="0.25">
      <c r="A7074" s="989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1"/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thickBot="1" x14ac:dyDescent="0.3">
      <c r="A7075" s="990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36"/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x14ac:dyDescent="0.25">
      <c r="A7076" s="995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79"/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thickBot="1" x14ac:dyDescent="0.3">
      <c r="A7077" s="996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87"/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x14ac:dyDescent="0.25">
      <c r="A7078" s="986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63"/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thickBot="1" x14ac:dyDescent="0.3">
      <c r="A7079" s="988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48"/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x14ac:dyDescent="0.25">
      <c r="A7080" s="995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05" t="s">
        <v>1634</v>
      </c>
      <c r="H7080" s="483" t="s">
        <v>2208</v>
      </c>
      <c r="I7080" s="484" t="s">
        <v>2261</v>
      </c>
      <c r="J7080" s="485"/>
      <c r="K7080" s="479"/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thickBot="1" x14ac:dyDescent="0.3">
      <c r="A7081" s="996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06"/>
      <c r="H7081" s="808" t="s">
        <v>2208</v>
      </c>
      <c r="I7081" s="808" t="s">
        <v>2261</v>
      </c>
      <c r="J7081" s="810"/>
      <c r="K7081" s="887"/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x14ac:dyDescent="0.25">
      <c r="A7082" s="989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1"/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thickBot="1" x14ac:dyDescent="0.3">
      <c r="A7083" s="990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36"/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x14ac:dyDescent="0.25">
      <c r="A7084" s="995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79"/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thickBot="1" x14ac:dyDescent="0.3">
      <c r="A7085" s="996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5"/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x14ac:dyDescent="0.25">
      <c r="A7086" s="989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1"/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thickBot="1" x14ac:dyDescent="0.3">
      <c r="A7087" s="990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36"/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thickBot="1" x14ac:dyDescent="0.3">
      <c r="A7088" s="572">
        <f t="shared" ref="A7088:A7093" si="214">MAX(A6957:A7087)+1</f>
        <v>4380</v>
      </c>
      <c r="B7088" s="573" t="s">
        <v>2199</v>
      </c>
      <c r="C7088" s="574" t="s">
        <v>32</v>
      </c>
      <c r="D7088" s="575">
        <v>17.5</v>
      </c>
      <c r="E7088" s="576"/>
      <c r="F7088" s="577" t="s">
        <v>16</v>
      </c>
      <c r="G7088" s="578" t="s">
        <v>1900</v>
      </c>
      <c r="H7088" s="577" t="s">
        <v>2261</v>
      </c>
      <c r="I7088" s="579"/>
      <c r="J7088" s="580"/>
      <c r="K7088" s="573"/>
      <c r="L7088" s="577" t="s">
        <v>266</v>
      </c>
      <c r="M7088" s="577">
        <v>17503.2</v>
      </c>
      <c r="N7088" s="581">
        <v>0.54166666666666663</v>
      </c>
      <c r="O7088" s="897" t="s">
        <v>2263</v>
      </c>
    </row>
    <row r="7089" spans="1:18" ht="19.5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4"/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4"/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4"/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975"/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x14ac:dyDescent="0.25">
      <c r="A7093" s="986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63"/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thickBot="1" x14ac:dyDescent="0.3">
      <c r="A7094" s="988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48"/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x14ac:dyDescent="0.25">
      <c r="A7095" s="995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79"/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thickBot="1" x14ac:dyDescent="0.3">
      <c r="A7096" s="996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87"/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customHeight="1" x14ac:dyDescent="0.25">
      <c r="A7097" s="989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/>
      <c r="J7097" s="538"/>
      <c r="K7097" s="531"/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x14ac:dyDescent="0.25">
      <c r="A7098" s="991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1"/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x14ac:dyDescent="0.25">
      <c r="A7099" s="991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/>
      <c r="J7099" s="570"/>
      <c r="K7099" s="563"/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x14ac:dyDescent="0.25">
      <c r="A7100" s="991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1"/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x14ac:dyDescent="0.25">
      <c r="A7101" s="991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/>
      <c r="J7101" s="570"/>
      <c r="K7101" s="563"/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thickBot="1" x14ac:dyDescent="0.3">
      <c r="A7102" s="990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1"/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4"/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x14ac:dyDescent="0.25">
      <c r="A7104" s="986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63"/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7" ht="19.5" thickBot="1" x14ac:dyDescent="0.3">
      <c r="A7105" s="988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48"/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7" x14ac:dyDescent="0.25">
      <c r="A7106" s="992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79"/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7" x14ac:dyDescent="0.25">
      <c r="A7107" s="993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91"/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7" x14ac:dyDescent="0.25">
      <c r="A7108" s="993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979"/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7" ht="19.5" thickBot="1" x14ac:dyDescent="0.3">
      <c r="A7109" s="994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87"/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7" x14ac:dyDescent="0.25">
      <c r="A7110" s="986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63"/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7" ht="19.5" thickBot="1" x14ac:dyDescent="0.3">
      <c r="A7111" s="988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48"/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7" x14ac:dyDescent="0.25">
      <c r="A7112" s="995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79"/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7" x14ac:dyDescent="0.25">
      <c r="A7113" s="1000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91"/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7" ht="19.5" thickBot="1" x14ac:dyDescent="0.3">
      <c r="A7114" s="996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9"/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7" x14ac:dyDescent="0.25">
      <c r="A7115" s="989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/>
      <c r="F7115" s="535" t="s">
        <v>16</v>
      </c>
      <c r="G7115" s="1009" t="s">
        <v>2386</v>
      </c>
      <c r="H7115" s="535" t="s">
        <v>2329</v>
      </c>
      <c r="I7115" s="537"/>
      <c r="J7115" s="538"/>
      <c r="K7115" s="531"/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>
        <v>6303090</v>
      </c>
      <c r="Q7115" s="980">
        <v>2811</v>
      </c>
    </row>
    <row r="7116" spans="1:17" x14ac:dyDescent="0.25">
      <c r="A7116" s="991"/>
      <c r="B7116" s="563" t="s">
        <v>2279</v>
      </c>
      <c r="C7116" s="564" t="s">
        <v>839</v>
      </c>
      <c r="D7116" s="565">
        <v>1.52</v>
      </c>
      <c r="E7116" s="566"/>
      <c r="F7116" s="567" t="s">
        <v>16</v>
      </c>
      <c r="G7116" s="1007"/>
      <c r="H7116" s="567" t="s">
        <v>2329</v>
      </c>
      <c r="I7116" s="569"/>
      <c r="J7116" s="570"/>
      <c r="K7116" s="563"/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>
        <v>6302683</v>
      </c>
      <c r="Q7116" s="980">
        <v>1538</v>
      </c>
    </row>
    <row r="7117" spans="1:17" x14ac:dyDescent="0.25">
      <c r="A7117" s="991"/>
      <c r="B7117" s="563" t="s">
        <v>2279</v>
      </c>
      <c r="C7117" s="564" t="s">
        <v>840</v>
      </c>
      <c r="D7117" s="565">
        <v>10.016999999999999</v>
      </c>
      <c r="E7117" s="566"/>
      <c r="F7117" s="567" t="s">
        <v>16</v>
      </c>
      <c r="G7117" s="1007"/>
      <c r="H7117" s="567" t="s">
        <v>2329</v>
      </c>
      <c r="I7117" s="569"/>
      <c r="J7117" s="570"/>
      <c r="K7117" s="563"/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>
        <v>6301828</v>
      </c>
    </row>
    <row r="7118" spans="1:17" ht="19.5" thickBot="1" x14ac:dyDescent="0.3">
      <c r="A7118" s="990"/>
      <c r="B7118" s="832" t="s">
        <v>2329</v>
      </c>
      <c r="C7118" s="827" t="s">
        <v>23</v>
      </c>
      <c r="D7118" s="828">
        <v>0.95399999999999996</v>
      </c>
      <c r="E7118" s="828"/>
      <c r="F7118" s="829" t="s">
        <v>16</v>
      </c>
      <c r="G7118" s="1008"/>
      <c r="H7118" s="829" t="s">
        <v>2329</v>
      </c>
      <c r="I7118" s="829"/>
      <c r="J7118" s="831"/>
      <c r="K7118" s="832"/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>
        <v>6303275</v>
      </c>
      <c r="Q7118" s="980">
        <v>954</v>
      </c>
    </row>
    <row r="7119" spans="1:17" ht="19.5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/>
      <c r="F7119" s="518" t="s">
        <v>16</v>
      </c>
      <c r="G7119" s="519" t="s">
        <v>2299</v>
      </c>
      <c r="H7119" s="518" t="s">
        <v>2329</v>
      </c>
      <c r="I7119" s="520"/>
      <c r="J7119" s="521"/>
      <c r="K7119" s="514"/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>
        <v>6303198</v>
      </c>
    </row>
    <row r="7120" spans="1:17" ht="56.25" x14ac:dyDescent="0.25">
      <c r="A7120" s="989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/>
      <c r="F7120" s="535" t="s">
        <v>16</v>
      </c>
      <c r="G7120" s="536" t="s">
        <v>794</v>
      </c>
      <c r="H7120" s="535" t="s">
        <v>2329</v>
      </c>
      <c r="I7120" s="537"/>
      <c r="J7120" s="538"/>
      <c r="K7120" s="531"/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  <c r="Q7120" s="847">
        <v>883</v>
      </c>
    </row>
    <row r="7121" spans="1:18" x14ac:dyDescent="0.25">
      <c r="A7121" s="991"/>
      <c r="B7121" s="563" t="s">
        <v>2279</v>
      </c>
      <c r="C7121" s="564" t="s">
        <v>587</v>
      </c>
      <c r="D7121" s="565">
        <v>6.3150000000000004</v>
      </c>
      <c r="E7121" s="566"/>
      <c r="F7121" s="567" t="s">
        <v>16</v>
      </c>
      <c r="G7121" s="568" t="s">
        <v>47</v>
      </c>
      <c r="H7121" s="567" t="s">
        <v>2329</v>
      </c>
      <c r="I7121" s="569"/>
      <c r="J7121" s="570"/>
      <c r="K7121" s="563"/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  <c r="Q7121" s="847">
        <v>5286</v>
      </c>
    </row>
    <row r="7122" spans="1:18" x14ac:dyDescent="0.25">
      <c r="A7122" s="991"/>
      <c r="B7122" s="563" t="s">
        <v>2279</v>
      </c>
      <c r="C7122" s="564" t="s">
        <v>47</v>
      </c>
      <c r="D7122" s="565">
        <v>10.348000000000001</v>
      </c>
      <c r="E7122" s="566"/>
      <c r="F7122" s="567" t="s">
        <v>16</v>
      </c>
      <c r="G7122" s="568"/>
      <c r="H7122" s="567" t="s">
        <v>2329</v>
      </c>
      <c r="I7122" s="569"/>
      <c r="J7122" s="570"/>
      <c r="K7122" s="563"/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921">
        <v>6303104</v>
      </c>
      <c r="Q7122" s="847">
        <v>8432</v>
      </c>
    </row>
    <row r="7123" spans="1:18" ht="19.5" thickBot="1" x14ac:dyDescent="0.3">
      <c r="A7123" s="991"/>
      <c r="B7123" s="836" t="s">
        <v>2329</v>
      </c>
      <c r="C7123" s="837" t="s">
        <v>47</v>
      </c>
      <c r="D7123" s="838">
        <v>2.8</v>
      </c>
      <c r="E7123" s="838"/>
      <c r="F7123" s="839" t="s">
        <v>16</v>
      </c>
      <c r="G7123" s="850"/>
      <c r="H7123" s="839" t="s">
        <v>2329</v>
      </c>
      <c r="I7123" s="839"/>
      <c r="J7123" s="840"/>
      <c r="K7123" s="836"/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2405</v>
      </c>
      <c r="Q7123" s="847">
        <v>2813</v>
      </c>
    </row>
    <row r="7124" spans="1:18" ht="19.5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4"/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/>
      <c r="F7125" s="508" t="s">
        <v>16</v>
      </c>
      <c r="G7125" s="509"/>
      <c r="H7125" s="508" t="s">
        <v>2344</v>
      </c>
      <c r="I7125" s="510"/>
      <c r="J7125" s="511"/>
      <c r="K7125" s="504"/>
      <c r="L7125" s="508" t="s">
        <v>265</v>
      </c>
      <c r="M7125" s="508">
        <v>17578.12</v>
      </c>
      <c r="N7125" s="512">
        <v>0.375</v>
      </c>
      <c r="O7125" s="897" t="s">
        <v>2356</v>
      </c>
    </row>
    <row r="7126" spans="1:18" ht="19.5" thickBot="1" x14ac:dyDescent="0.3">
      <c r="A7126" s="513">
        <f>MAX(A6986:A7125)+1</f>
        <v>4398</v>
      </c>
      <c r="B7126" s="514" t="s">
        <v>2294</v>
      </c>
      <c r="C7126" s="515" t="s">
        <v>26</v>
      </c>
      <c r="D7126" s="516">
        <v>17.45</v>
      </c>
      <c r="E7126" s="517"/>
      <c r="F7126" s="518" t="s">
        <v>16</v>
      </c>
      <c r="G7126" s="519"/>
      <c r="H7126" s="518" t="s">
        <v>2344</v>
      </c>
      <c r="I7126" s="520"/>
      <c r="J7126" s="521"/>
      <c r="K7126" s="514"/>
      <c r="L7126" s="518" t="s">
        <v>265</v>
      </c>
      <c r="M7126" s="518">
        <v>17583.800000000003</v>
      </c>
      <c r="N7126" s="522">
        <v>0.41666666666666669</v>
      </c>
      <c r="O7126" s="897" t="s">
        <v>2361</v>
      </c>
    </row>
    <row r="7127" spans="1:18" ht="38.25" thickBot="1" x14ac:dyDescent="0.3">
      <c r="A7127" s="503">
        <f>MAX(A6987:A7126)+1</f>
        <v>4399</v>
      </c>
      <c r="B7127" s="504" t="s">
        <v>2294</v>
      </c>
      <c r="C7127" s="505" t="s">
        <v>23</v>
      </c>
      <c r="D7127" s="506">
        <v>17.201000000000001</v>
      </c>
      <c r="E7127" s="507"/>
      <c r="F7127" s="508" t="s">
        <v>16</v>
      </c>
      <c r="G7127" s="509" t="s">
        <v>1634</v>
      </c>
      <c r="H7127" s="508" t="s">
        <v>2344</v>
      </c>
      <c r="I7127" s="510"/>
      <c r="J7127" s="511"/>
      <c r="K7127" s="504"/>
      <c r="L7127" s="508" t="s">
        <v>28</v>
      </c>
      <c r="M7127" s="508">
        <v>17377.23</v>
      </c>
      <c r="N7127" s="512">
        <v>0.45833333333333331</v>
      </c>
      <c r="O7127" s="897" t="s">
        <v>2350</v>
      </c>
      <c r="P7127" s="867">
        <v>6303103</v>
      </c>
      <c r="Q7127" s="980">
        <v>15583</v>
      </c>
      <c r="R7127" s="833">
        <v>-443</v>
      </c>
    </row>
    <row r="7128" spans="1:18" ht="38.25" thickBot="1" x14ac:dyDescent="0.3">
      <c r="A7128" s="513">
        <f>MAX(A6988:A7127)+1</f>
        <v>4400</v>
      </c>
      <c r="B7128" s="514" t="s">
        <v>2294</v>
      </c>
      <c r="C7128" s="515" t="s">
        <v>47</v>
      </c>
      <c r="D7128" s="516">
        <v>17.001999999999999</v>
      </c>
      <c r="E7128" s="517"/>
      <c r="F7128" s="518" t="s">
        <v>16</v>
      </c>
      <c r="G7128" s="519" t="s">
        <v>1634</v>
      </c>
      <c r="H7128" s="518" t="s">
        <v>2344</v>
      </c>
      <c r="I7128" s="520"/>
      <c r="J7128" s="521"/>
      <c r="K7128" s="514"/>
      <c r="L7128" s="518" t="s">
        <v>28</v>
      </c>
      <c r="M7128" s="518">
        <v>17213.829999999998</v>
      </c>
      <c r="N7128" s="522">
        <v>0.5</v>
      </c>
      <c r="O7128" s="897" t="s">
        <v>2352</v>
      </c>
      <c r="P7128" s="867">
        <v>6303097</v>
      </c>
      <c r="Q7128" s="980">
        <v>13259</v>
      </c>
      <c r="R7128" s="833">
        <v>-3955</v>
      </c>
    </row>
    <row r="7129" spans="1:18" x14ac:dyDescent="0.25">
      <c r="A7129" s="989">
        <f>MAX(A6987:A7128)+1</f>
        <v>4401</v>
      </c>
      <c r="B7129" s="531" t="s">
        <v>2294</v>
      </c>
      <c r="C7129" s="532" t="s">
        <v>15</v>
      </c>
      <c r="D7129" s="533">
        <v>8.5050000000000008</v>
      </c>
      <c r="E7129" s="534"/>
      <c r="F7129" s="535" t="s">
        <v>16</v>
      </c>
      <c r="G7129" s="536"/>
      <c r="H7129" s="535" t="s">
        <v>2344</v>
      </c>
      <c r="I7129" s="537"/>
      <c r="J7129" s="538"/>
      <c r="K7129" s="531"/>
      <c r="L7129" s="535" t="s">
        <v>28</v>
      </c>
      <c r="M7129" s="535">
        <v>8707.6400000000012</v>
      </c>
      <c r="N7129" s="539">
        <v>0.54166666666666663</v>
      </c>
      <c r="O7129" s="897" t="s">
        <v>2351</v>
      </c>
      <c r="P7129" s="867">
        <v>6302589</v>
      </c>
      <c r="Q7129" s="980">
        <v>6896</v>
      </c>
      <c r="R7129" s="833">
        <v>-1812</v>
      </c>
    </row>
    <row r="7130" spans="1:18" ht="19.5" thickBot="1" x14ac:dyDescent="0.3">
      <c r="A7130" s="990"/>
      <c r="B7130" s="636" t="s">
        <v>2294</v>
      </c>
      <c r="C7130" s="637" t="s">
        <v>24</v>
      </c>
      <c r="D7130" s="638">
        <v>9.032</v>
      </c>
      <c r="E7130" s="639"/>
      <c r="F7130" s="640" t="s">
        <v>16</v>
      </c>
      <c r="G7130" s="641"/>
      <c r="H7130" s="640" t="s">
        <v>2344</v>
      </c>
      <c r="I7130" s="642"/>
      <c r="J7130" s="643"/>
      <c r="K7130" s="636"/>
      <c r="L7130" s="640" t="s">
        <v>28</v>
      </c>
      <c r="M7130" s="640">
        <v>9237.6900000000023</v>
      </c>
      <c r="N7130" s="644">
        <v>0.54166666666666663</v>
      </c>
      <c r="O7130" s="897" t="s">
        <v>2353</v>
      </c>
      <c r="P7130" s="867">
        <v>6303106</v>
      </c>
      <c r="Q7130" s="980">
        <v>7742</v>
      </c>
      <c r="R7130" s="833">
        <v>-1496</v>
      </c>
    </row>
    <row r="7131" spans="1:18" x14ac:dyDescent="0.25">
      <c r="A7131" s="995">
        <f t="shared" ref="A7131" si="215">MAX(A6989:A7130)+1</f>
        <v>4402</v>
      </c>
      <c r="B7131" s="479" t="s">
        <v>2294</v>
      </c>
      <c r="C7131" s="480" t="s">
        <v>1358</v>
      </c>
      <c r="D7131" s="481">
        <v>2.5390000000000001</v>
      </c>
      <c r="E7131" s="482"/>
      <c r="F7131" s="483" t="s">
        <v>16</v>
      </c>
      <c r="G7131" s="1001" t="s">
        <v>2346</v>
      </c>
      <c r="H7131" s="483" t="s">
        <v>2344</v>
      </c>
      <c r="I7131" s="484"/>
      <c r="J7131" s="485"/>
      <c r="K7131" s="479"/>
      <c r="L7131" s="483" t="s">
        <v>265</v>
      </c>
      <c r="M7131" s="483">
        <v>2653.8800000000006</v>
      </c>
      <c r="N7131" s="486">
        <v>0.58333333333333337</v>
      </c>
      <c r="O7131" s="897" t="s">
        <v>2362</v>
      </c>
    </row>
    <row r="7132" spans="1:18" x14ac:dyDescent="0.25">
      <c r="A7132" s="1000"/>
      <c r="B7132" s="769" t="s">
        <v>2294</v>
      </c>
      <c r="C7132" s="764" t="s">
        <v>1358</v>
      </c>
      <c r="D7132" s="765">
        <v>8.4090000000000007</v>
      </c>
      <c r="E7132" s="766"/>
      <c r="F7132" s="763" t="s">
        <v>16</v>
      </c>
      <c r="G7132" s="1002"/>
      <c r="H7132" s="763" t="s">
        <v>2344</v>
      </c>
      <c r="I7132" s="768"/>
      <c r="J7132" s="779"/>
      <c r="K7132" s="791"/>
      <c r="L7132" s="763" t="s">
        <v>265</v>
      </c>
      <c r="M7132" s="763">
        <v>8545.6</v>
      </c>
      <c r="N7132" s="770">
        <v>0.58333333333333337</v>
      </c>
      <c r="O7132" s="897" t="s">
        <v>2363</v>
      </c>
    </row>
    <row r="7133" spans="1:18" ht="19.5" thickBot="1" x14ac:dyDescent="0.3">
      <c r="A7133" s="996"/>
      <c r="B7133" s="859" t="s">
        <v>2329</v>
      </c>
      <c r="C7133" s="854" t="s">
        <v>1358</v>
      </c>
      <c r="D7133" s="855">
        <v>1.6</v>
      </c>
      <c r="E7133" s="855"/>
      <c r="F7133" s="856" t="s">
        <v>16</v>
      </c>
      <c r="G7133" s="1003"/>
      <c r="H7133" s="856" t="s">
        <v>2344</v>
      </c>
      <c r="I7133" s="856"/>
      <c r="J7133" s="858"/>
      <c r="K7133" s="859"/>
      <c r="L7133" s="856" t="s">
        <v>265</v>
      </c>
      <c r="M7133" s="856">
        <v>1605</v>
      </c>
      <c r="N7133" s="653">
        <v>0.58333333333333337</v>
      </c>
      <c r="O7133" s="897" t="s">
        <v>2389</v>
      </c>
    </row>
    <row r="7134" spans="1:18" x14ac:dyDescent="0.25">
      <c r="A7134" s="989">
        <f>MAX(A6988:A7133)+1</f>
        <v>4403</v>
      </c>
      <c r="B7134" s="531" t="s">
        <v>2294</v>
      </c>
      <c r="C7134" s="532" t="s">
        <v>587</v>
      </c>
      <c r="D7134" s="533">
        <v>8.1219999999999999</v>
      </c>
      <c r="E7134" s="534"/>
      <c r="F7134" s="535" t="s">
        <v>30</v>
      </c>
      <c r="G7134" s="977" t="s">
        <v>23</v>
      </c>
      <c r="H7134" s="535" t="s">
        <v>2344</v>
      </c>
      <c r="I7134" s="537"/>
      <c r="J7134" s="538"/>
      <c r="K7134" s="531"/>
      <c r="L7134" s="535" t="s">
        <v>28</v>
      </c>
      <c r="M7134" s="535">
        <v>8122.92</v>
      </c>
      <c r="N7134" s="539">
        <v>0.41666666666666669</v>
      </c>
      <c r="O7134" s="897" t="s">
        <v>2358</v>
      </c>
    </row>
    <row r="7135" spans="1:18" ht="19.5" thickBot="1" x14ac:dyDescent="0.3">
      <c r="A7135" s="990"/>
      <c r="B7135" s="636" t="s">
        <v>2294</v>
      </c>
      <c r="C7135" s="637" t="s">
        <v>23</v>
      </c>
      <c r="D7135" s="638">
        <v>4.9219999999999997</v>
      </c>
      <c r="E7135" s="639"/>
      <c r="F7135" s="640" t="s">
        <v>30</v>
      </c>
      <c r="G7135" s="978"/>
      <c r="H7135" s="640" t="s">
        <v>2344</v>
      </c>
      <c r="I7135" s="642"/>
      <c r="J7135" s="643"/>
      <c r="K7135" s="636"/>
      <c r="L7135" s="640" t="s">
        <v>28</v>
      </c>
      <c r="M7135" s="640">
        <v>4922.3999999999996</v>
      </c>
      <c r="N7135" s="644">
        <v>0.41666666666666669</v>
      </c>
      <c r="O7135" s="897" t="s">
        <v>2357</v>
      </c>
    </row>
    <row r="7136" spans="1:18" ht="19.5" thickBot="1" x14ac:dyDescent="0.3">
      <c r="A7136" s="513">
        <f>MAX(A6990:A7135)+1</f>
        <v>4404</v>
      </c>
      <c r="B7136" s="514" t="s">
        <v>2294</v>
      </c>
      <c r="C7136" s="515" t="s">
        <v>47</v>
      </c>
      <c r="D7136" s="516">
        <v>13.061999999999999</v>
      </c>
      <c r="E7136" s="517"/>
      <c r="F7136" s="518" t="s">
        <v>30</v>
      </c>
      <c r="G7136" s="976"/>
      <c r="H7136" s="518" t="s">
        <v>2344</v>
      </c>
      <c r="I7136" s="520"/>
      <c r="J7136" s="521"/>
      <c r="K7136" s="514"/>
      <c r="L7136" s="518" t="s">
        <v>28</v>
      </c>
      <c r="M7136" s="518">
        <v>13062.08</v>
      </c>
      <c r="N7136" s="522">
        <v>0.45833333333333331</v>
      </c>
      <c r="O7136" s="897" t="s">
        <v>2359</v>
      </c>
    </row>
    <row r="7137" spans="1:15" ht="19.5" thickBot="1" x14ac:dyDescent="0.3">
      <c r="A7137" s="503">
        <f>MAX(A6991:A7136)+1</f>
        <v>4405</v>
      </c>
      <c r="B7137" s="504" t="s">
        <v>2294</v>
      </c>
      <c r="C7137" s="505" t="s">
        <v>26</v>
      </c>
      <c r="D7137" s="506">
        <v>15.789</v>
      </c>
      <c r="E7137" s="507"/>
      <c r="F7137" s="508" t="s">
        <v>30</v>
      </c>
      <c r="G7137" s="509"/>
      <c r="H7137" s="508" t="s">
        <v>2347</v>
      </c>
      <c r="I7137" s="510"/>
      <c r="J7137" s="511"/>
      <c r="K7137" s="504"/>
      <c r="L7137" s="508" t="s">
        <v>265</v>
      </c>
      <c r="M7137" s="508">
        <v>15789.479999999998</v>
      </c>
      <c r="N7137" s="512">
        <v>0.375</v>
      </c>
      <c r="O7137" s="897" t="s">
        <v>2349</v>
      </c>
    </row>
    <row r="7138" spans="1:15" ht="19.5" thickBot="1" x14ac:dyDescent="0.3">
      <c r="A7138" s="513">
        <f>MAX(A6992:A7137)+1</f>
        <v>4406</v>
      </c>
      <c r="B7138" s="514" t="s">
        <v>2294</v>
      </c>
      <c r="C7138" s="515" t="s">
        <v>26</v>
      </c>
      <c r="D7138" s="516">
        <v>19.164000000000001</v>
      </c>
      <c r="E7138" s="517"/>
      <c r="F7138" s="518" t="s">
        <v>16</v>
      </c>
      <c r="G7138" s="519"/>
      <c r="H7138" s="518" t="s">
        <v>2347</v>
      </c>
      <c r="I7138" s="520"/>
      <c r="J7138" s="521"/>
      <c r="K7138" s="514"/>
      <c r="L7138" s="518" t="s">
        <v>265</v>
      </c>
      <c r="M7138" s="518">
        <v>19337.64</v>
      </c>
      <c r="N7138" s="522">
        <v>0.375</v>
      </c>
      <c r="O7138" s="897" t="s">
        <v>2364</v>
      </c>
    </row>
    <row r="7139" spans="1:15" x14ac:dyDescent="0.25">
      <c r="A7139" s="989">
        <f>MAX(A6993:A7138)+1</f>
        <v>4407</v>
      </c>
      <c r="B7139" s="531" t="s">
        <v>2294</v>
      </c>
      <c r="C7139" s="532" t="s">
        <v>480</v>
      </c>
      <c r="D7139" s="533">
        <v>8.08</v>
      </c>
      <c r="E7139" s="534"/>
      <c r="F7139" s="535" t="s">
        <v>16</v>
      </c>
      <c r="G7139" s="536"/>
      <c r="H7139" s="535" t="s">
        <v>2347</v>
      </c>
      <c r="I7139" s="537"/>
      <c r="J7139" s="538"/>
      <c r="K7139" s="531"/>
      <c r="L7139" s="535" t="s">
        <v>266</v>
      </c>
      <c r="M7139" s="535">
        <v>8170.920000000001</v>
      </c>
      <c r="N7139" s="539">
        <v>0.41666666666666669</v>
      </c>
      <c r="O7139" s="897" t="s">
        <v>2367</v>
      </c>
    </row>
    <row r="7140" spans="1:15" x14ac:dyDescent="0.25">
      <c r="A7140" s="991"/>
      <c r="B7140" s="563" t="s">
        <v>2294</v>
      </c>
      <c r="C7140" s="564" t="s">
        <v>913</v>
      </c>
      <c r="D7140" s="565">
        <v>1.552</v>
      </c>
      <c r="E7140" s="566"/>
      <c r="F7140" s="567" t="s">
        <v>16</v>
      </c>
      <c r="G7140" s="568"/>
      <c r="H7140" s="567" t="s">
        <v>2347</v>
      </c>
      <c r="I7140" s="569"/>
      <c r="J7140" s="570"/>
      <c r="K7140" s="563"/>
      <c r="L7140" s="567" t="s">
        <v>266</v>
      </c>
      <c r="M7140" s="567">
        <v>1564.1</v>
      </c>
      <c r="N7140" s="571">
        <v>0.41666666666666669</v>
      </c>
      <c r="O7140" s="897" t="s">
        <v>2365</v>
      </c>
    </row>
    <row r="7141" spans="1:15" ht="19.5" thickBot="1" x14ac:dyDescent="0.3">
      <c r="A7141" s="990"/>
      <c r="B7141" s="636" t="s">
        <v>2294</v>
      </c>
      <c r="C7141" s="637" t="s">
        <v>23</v>
      </c>
      <c r="D7141" s="638">
        <v>7.7270000000000003</v>
      </c>
      <c r="E7141" s="639"/>
      <c r="F7141" s="640" t="s">
        <v>16</v>
      </c>
      <c r="G7141" s="641"/>
      <c r="H7141" s="640" t="s">
        <v>2347</v>
      </c>
      <c r="I7141" s="642"/>
      <c r="J7141" s="643"/>
      <c r="K7141" s="636"/>
      <c r="L7141" s="640" t="s">
        <v>28</v>
      </c>
      <c r="M7141" s="640">
        <v>7791.96</v>
      </c>
      <c r="N7141" s="644">
        <v>0.41666666666666669</v>
      </c>
      <c r="O7141" s="897" t="s">
        <v>2366</v>
      </c>
    </row>
    <row r="7142" spans="1:15" x14ac:dyDescent="0.25">
      <c r="A7142" s="995">
        <f>MAX(A6996:A7141)+1</f>
        <v>4408</v>
      </c>
      <c r="B7142" s="479" t="s">
        <v>2294</v>
      </c>
      <c r="C7142" s="480" t="s">
        <v>15</v>
      </c>
      <c r="D7142" s="481">
        <v>3.5640000000000001</v>
      </c>
      <c r="E7142" s="482"/>
      <c r="F7142" s="483" t="s">
        <v>16</v>
      </c>
      <c r="G7142" s="1005" t="s">
        <v>1633</v>
      </c>
      <c r="H7142" s="483" t="s">
        <v>2347</v>
      </c>
      <c r="I7142" s="484"/>
      <c r="J7142" s="485"/>
      <c r="K7142" s="479"/>
      <c r="L7142" s="483" t="s">
        <v>28</v>
      </c>
      <c r="M7142" s="483">
        <v>3623.4400000000005</v>
      </c>
      <c r="N7142" s="486">
        <v>0.45833333333333331</v>
      </c>
      <c r="O7142" s="897" t="s">
        <v>2368</v>
      </c>
    </row>
    <row r="7143" spans="1:15" x14ac:dyDescent="0.25">
      <c r="A7143" s="1000"/>
      <c r="B7143" s="523" t="s">
        <v>2294</v>
      </c>
      <c r="C7143" s="524" t="s">
        <v>24</v>
      </c>
      <c r="D7143" s="525">
        <v>4.7569999999999997</v>
      </c>
      <c r="E7143" s="526"/>
      <c r="F7143" s="527" t="s">
        <v>16</v>
      </c>
      <c r="G7143" s="1068"/>
      <c r="H7143" s="527" t="s">
        <v>2347</v>
      </c>
      <c r="I7143" s="528"/>
      <c r="J7143" s="529"/>
      <c r="K7143" s="523"/>
      <c r="L7143" s="527" t="s">
        <v>28</v>
      </c>
      <c r="M7143" s="527">
        <v>4839.5399999999981</v>
      </c>
      <c r="N7143" s="530">
        <v>0.45833333333333331</v>
      </c>
      <c r="O7143" s="897" t="s">
        <v>2369</v>
      </c>
    </row>
    <row r="7144" spans="1:15" ht="19.5" thickBot="1" x14ac:dyDescent="0.3">
      <c r="A7144" s="996"/>
      <c r="B7144" s="645" t="s">
        <v>2294</v>
      </c>
      <c r="C7144" s="646" t="s">
        <v>764</v>
      </c>
      <c r="D7144" s="647">
        <v>8.1</v>
      </c>
      <c r="E7144" s="648"/>
      <c r="F7144" s="649" t="s">
        <v>16</v>
      </c>
      <c r="G7144" s="1006"/>
      <c r="H7144" s="649" t="s">
        <v>2347</v>
      </c>
      <c r="I7144" s="651"/>
      <c r="J7144" s="652"/>
      <c r="K7144" s="645"/>
      <c r="L7144" s="649" t="s">
        <v>28</v>
      </c>
      <c r="M7144" s="649">
        <v>8110.2</v>
      </c>
      <c r="N7144" s="653">
        <v>0.45833333333333331</v>
      </c>
      <c r="O7144" s="897" t="s">
        <v>2370</v>
      </c>
    </row>
    <row r="7145" spans="1:15" x14ac:dyDescent="0.25">
      <c r="A7145" s="989">
        <f>MAX(A6999:A7144)+1</f>
        <v>4409</v>
      </c>
      <c r="B7145" s="531" t="s">
        <v>2294</v>
      </c>
      <c r="C7145" s="532" t="s">
        <v>1382</v>
      </c>
      <c r="D7145" s="533">
        <v>8.7739999999999991</v>
      </c>
      <c r="E7145" s="534"/>
      <c r="F7145" s="535" t="s">
        <v>16</v>
      </c>
      <c r="G7145" s="536"/>
      <c r="H7145" s="535" t="s">
        <v>2347</v>
      </c>
      <c r="I7145" s="537"/>
      <c r="J7145" s="538"/>
      <c r="K7145" s="531"/>
      <c r="L7145" s="535" t="s">
        <v>266</v>
      </c>
      <c r="M7145" s="535">
        <v>8835.18</v>
      </c>
      <c r="N7145" s="539">
        <v>0.5</v>
      </c>
      <c r="O7145" s="897" t="s">
        <v>2372</v>
      </c>
    </row>
    <row r="7146" spans="1:15" ht="19.5" thickBot="1" x14ac:dyDescent="0.3">
      <c r="A7146" s="990"/>
      <c r="B7146" s="636" t="s">
        <v>2294</v>
      </c>
      <c r="C7146" s="637" t="s">
        <v>23</v>
      </c>
      <c r="D7146" s="638">
        <v>8.6920000000000002</v>
      </c>
      <c r="E7146" s="639"/>
      <c r="F7146" s="640" t="s">
        <v>16</v>
      </c>
      <c r="G7146" s="641"/>
      <c r="H7146" s="640" t="s">
        <v>2347</v>
      </c>
      <c r="I7146" s="642"/>
      <c r="J7146" s="643"/>
      <c r="K7146" s="636"/>
      <c r="L7146" s="640" t="s">
        <v>28</v>
      </c>
      <c r="M7146" s="640">
        <v>8805.5400000000009</v>
      </c>
      <c r="N7146" s="644">
        <v>0.5</v>
      </c>
      <c r="O7146" s="897" t="s">
        <v>2371</v>
      </c>
    </row>
    <row r="7147" spans="1:15" ht="19.5" thickBot="1" x14ac:dyDescent="0.3">
      <c r="A7147" s="513">
        <f t="shared" ref="A7147:A7158" si="216">MAX(A7001:A7146)+1</f>
        <v>4410</v>
      </c>
      <c r="B7147" s="514" t="s">
        <v>2294</v>
      </c>
      <c r="C7147" s="515" t="s">
        <v>1382</v>
      </c>
      <c r="D7147" s="516">
        <v>8</v>
      </c>
      <c r="E7147" s="517"/>
      <c r="F7147" s="518" t="s">
        <v>16</v>
      </c>
      <c r="G7147" s="519"/>
      <c r="H7147" s="518" t="s">
        <v>2347</v>
      </c>
      <c r="I7147" s="520"/>
      <c r="J7147" s="521"/>
      <c r="K7147" s="514"/>
      <c r="L7147" s="518" t="s">
        <v>266</v>
      </c>
      <c r="M7147" s="518">
        <v>8001</v>
      </c>
      <c r="N7147" s="522">
        <v>0.54166666666666663</v>
      </c>
      <c r="O7147" s="897" t="s">
        <v>2373</v>
      </c>
    </row>
    <row r="7148" spans="1:15" ht="19.5" thickBot="1" x14ac:dyDescent="0.3">
      <c r="A7148" s="503">
        <f t="shared" si="216"/>
        <v>4411</v>
      </c>
      <c r="B7148" s="504" t="s">
        <v>2294</v>
      </c>
      <c r="C7148" s="505" t="s">
        <v>23</v>
      </c>
      <c r="D7148" s="506">
        <v>11.664999999999999</v>
      </c>
      <c r="E7148" s="507"/>
      <c r="F7148" s="508" t="s">
        <v>30</v>
      </c>
      <c r="G7148" s="509"/>
      <c r="H7148" s="508" t="s">
        <v>2347</v>
      </c>
      <c r="I7148" s="510"/>
      <c r="J7148" s="511"/>
      <c r="K7148" s="504"/>
      <c r="L7148" s="508" t="s">
        <v>28</v>
      </c>
      <c r="M7148" s="508">
        <v>11665.92</v>
      </c>
      <c r="N7148" s="512">
        <v>0.41666666666666669</v>
      </c>
      <c r="O7148" s="897" t="s">
        <v>2360</v>
      </c>
    </row>
    <row r="7149" spans="1:15" ht="19.5" thickBot="1" x14ac:dyDescent="0.3">
      <c r="A7149" s="513">
        <f t="shared" si="216"/>
        <v>4412</v>
      </c>
      <c r="B7149" s="514" t="s">
        <v>2344</v>
      </c>
      <c r="C7149" s="515" t="s">
        <v>1341</v>
      </c>
      <c r="D7149" s="516">
        <v>9.8030000000000008</v>
      </c>
      <c r="E7149" s="517"/>
      <c r="F7149" s="518" t="s">
        <v>16</v>
      </c>
      <c r="G7149" s="519"/>
      <c r="H7149" s="518" t="s">
        <v>2406</v>
      </c>
      <c r="I7149" s="520"/>
      <c r="J7149" s="521"/>
      <c r="K7149" s="514"/>
      <c r="L7149" s="518" t="s">
        <v>266</v>
      </c>
      <c r="M7149" s="518">
        <v>9803.18</v>
      </c>
      <c r="N7149" s="522">
        <v>0.41666666666666669</v>
      </c>
      <c r="O7149" s="897" t="s">
        <v>2407</v>
      </c>
    </row>
    <row r="7150" spans="1:15" x14ac:dyDescent="0.25">
      <c r="A7150" s="676">
        <f t="shared" si="216"/>
        <v>4413</v>
      </c>
      <c r="B7150" s="676"/>
      <c r="C7150" s="473"/>
      <c r="D7150" s="474"/>
      <c r="E7150" s="475"/>
      <c r="F7150" s="676"/>
      <c r="G7150" s="476"/>
      <c r="H7150" s="676"/>
      <c r="I7150" s="477"/>
      <c r="J7150" s="478"/>
      <c r="K7150" s="676"/>
      <c r="L7150" s="676"/>
      <c r="M7150" s="676"/>
      <c r="N7150" s="676"/>
    </row>
    <row r="7151" spans="1:15" x14ac:dyDescent="0.25">
      <c r="A7151" s="676">
        <f t="shared" si="216"/>
        <v>4414</v>
      </c>
      <c r="B7151" s="676"/>
      <c r="C7151" s="473"/>
      <c r="D7151" s="474"/>
      <c r="E7151" s="475"/>
      <c r="F7151" s="676"/>
      <c r="G7151" s="476"/>
      <c r="H7151" s="676"/>
      <c r="I7151" s="477"/>
      <c r="J7151" s="478"/>
      <c r="K7151" s="676"/>
      <c r="L7151" s="676"/>
      <c r="M7151" s="676"/>
      <c r="N7151" s="676"/>
    </row>
    <row r="7152" spans="1:15" x14ac:dyDescent="0.25">
      <c r="A7152" s="676">
        <f t="shared" si="216"/>
        <v>4415</v>
      </c>
      <c r="B7152" s="676"/>
      <c r="C7152" s="473"/>
      <c r="D7152" s="474"/>
      <c r="E7152" s="475"/>
      <c r="F7152" s="676"/>
      <c r="G7152" s="476"/>
      <c r="H7152" s="676"/>
      <c r="I7152" s="477"/>
      <c r="J7152" s="478"/>
      <c r="K7152" s="676"/>
      <c r="L7152" s="676"/>
      <c r="M7152" s="676"/>
      <c r="N7152" s="676"/>
    </row>
    <row r="7153" spans="1:14" x14ac:dyDescent="0.25">
      <c r="A7153" s="676">
        <f t="shared" si="216"/>
        <v>4416</v>
      </c>
      <c r="B7153" s="676"/>
      <c r="C7153" s="473"/>
      <c r="D7153" s="474"/>
      <c r="E7153" s="475"/>
      <c r="F7153" s="676"/>
      <c r="G7153" s="476"/>
      <c r="H7153" s="676"/>
      <c r="I7153" s="477"/>
      <c r="J7153" s="478"/>
      <c r="K7153" s="676"/>
      <c r="L7153" s="676"/>
      <c r="M7153" s="676"/>
      <c r="N7153" s="676"/>
    </row>
    <row r="7154" spans="1:14" x14ac:dyDescent="0.25">
      <c r="A7154" s="676">
        <f t="shared" si="216"/>
        <v>4417</v>
      </c>
      <c r="B7154" s="676"/>
      <c r="C7154" s="473"/>
      <c r="D7154" s="474"/>
      <c r="E7154" s="475"/>
      <c r="F7154" s="676"/>
      <c r="G7154" s="476"/>
      <c r="H7154" s="676"/>
      <c r="I7154" s="477"/>
      <c r="J7154" s="478"/>
      <c r="K7154" s="676"/>
      <c r="L7154" s="676"/>
      <c r="M7154" s="676"/>
      <c r="N7154" s="676"/>
    </row>
    <row r="7155" spans="1:14" x14ac:dyDescent="0.25">
      <c r="A7155" s="676">
        <f t="shared" si="216"/>
        <v>4418</v>
      </c>
      <c r="B7155" s="676"/>
      <c r="C7155" s="473"/>
      <c r="D7155" s="474"/>
      <c r="E7155" s="475"/>
      <c r="F7155" s="676"/>
      <c r="G7155" s="476"/>
      <c r="H7155" s="676"/>
      <c r="I7155" s="477"/>
      <c r="J7155" s="478"/>
      <c r="K7155" s="676"/>
      <c r="L7155" s="676"/>
      <c r="M7155" s="676"/>
      <c r="N7155" s="676"/>
    </row>
    <row r="7156" spans="1:14" x14ac:dyDescent="0.25">
      <c r="A7156" s="676">
        <f t="shared" si="216"/>
        <v>4419</v>
      </c>
      <c r="B7156" s="676"/>
      <c r="C7156" s="473"/>
      <c r="D7156" s="474"/>
      <c r="E7156" s="475"/>
      <c r="F7156" s="676"/>
      <c r="G7156" s="476"/>
      <c r="H7156" s="676"/>
      <c r="I7156" s="477"/>
      <c r="J7156" s="478"/>
      <c r="K7156" s="676"/>
      <c r="L7156" s="676"/>
      <c r="M7156" s="676"/>
      <c r="N7156" s="676"/>
    </row>
    <row r="7157" spans="1:14" x14ac:dyDescent="0.25">
      <c r="A7157" s="676">
        <f t="shared" si="216"/>
        <v>4420</v>
      </c>
      <c r="B7157" s="676"/>
      <c r="C7157" s="473"/>
      <c r="D7157" s="474"/>
      <c r="E7157" s="475"/>
      <c r="F7157" s="676"/>
      <c r="G7157" s="476"/>
      <c r="H7157" s="676"/>
      <c r="I7157" s="477"/>
      <c r="J7157" s="478"/>
      <c r="K7157" s="676"/>
      <c r="L7157" s="676"/>
      <c r="M7157" s="676"/>
      <c r="N7157" s="676"/>
    </row>
    <row r="7158" spans="1:14" x14ac:dyDescent="0.25">
      <c r="A7158" s="676">
        <f t="shared" si="216"/>
        <v>4421</v>
      </c>
      <c r="B7158" s="676"/>
      <c r="C7158" s="473"/>
      <c r="D7158" s="474"/>
      <c r="E7158" s="475"/>
      <c r="F7158" s="676"/>
      <c r="G7158" s="476"/>
      <c r="H7158" s="676"/>
      <c r="I7158" s="477"/>
      <c r="J7158" s="478"/>
      <c r="K7158" s="676"/>
      <c r="L7158" s="676"/>
      <c r="M7158" s="676"/>
      <c r="N7158" s="676"/>
    </row>
  </sheetData>
  <autoFilter ref="A2:R7138" xr:uid="{9E4C531E-AD50-422A-AC7C-8C5AF4C19268}">
    <filterColumn colId="10">
      <filters blank="1"/>
    </filterColumn>
  </autoFilter>
  <mergeCells count="1881">
    <mergeCell ref="A7110:A7111"/>
    <mergeCell ref="A7139:A7141"/>
    <mergeCell ref="A7142:A7144"/>
    <mergeCell ref="G7142:G7144"/>
    <mergeCell ref="A7145:A7146"/>
    <mergeCell ref="A7129:A7130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G5436:G5437"/>
    <mergeCell ref="G5370:G5373"/>
    <mergeCell ref="A6604:A6605"/>
    <mergeCell ref="A5342:A534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7112:A7114"/>
    <mergeCell ref="A7115:A7118"/>
    <mergeCell ref="A7120:A7123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G6560:G6561"/>
    <mergeCell ref="A6735:A6736"/>
    <mergeCell ref="A7093:A7094"/>
    <mergeCell ref="G7115:G7118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7095:A7096"/>
    <mergeCell ref="A5385:A5386"/>
    <mergeCell ref="A5387:A5388"/>
    <mergeCell ref="A6721:A6722"/>
    <mergeCell ref="A5625:A5626"/>
    <mergeCell ref="A5577:A5578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03:A4904"/>
    <mergeCell ref="A4834:A4837"/>
    <mergeCell ref="A4930:A4931"/>
    <mergeCell ref="G4729:G4732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700:G4701"/>
    <mergeCell ref="A4721:A4722"/>
    <mergeCell ref="A4774:A477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A4889:A4890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73:A6674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48:A6950"/>
    <mergeCell ref="G6948:G6950"/>
    <mergeCell ref="G6932:G6935"/>
    <mergeCell ref="G6878:G6879"/>
    <mergeCell ref="G6861:G6863"/>
    <mergeCell ref="A6870:A6872"/>
    <mergeCell ref="A7134:A7135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1:A7133"/>
    <mergeCell ref="G7131:G7133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2026-08-31T13:13:20Z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