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A74A27D-F59E-4AD9-A476-E45A2147840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Лист1!$A$2:$R$7015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6986" i="1" l="1"/>
  <c r="R6975" i="1"/>
  <c r="R6970" i="1"/>
  <c r="K6937" i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s="1"/>
  <c r="A6896" i="1" s="1"/>
  <c r="A6899" i="1" l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4" i="1" s="1"/>
  <c r="A6988" i="1" s="1"/>
  <c r="A6991" i="1" l="1"/>
  <c r="A6994" i="1" s="1"/>
  <c r="A6995" i="1" s="1"/>
  <c r="A6997" i="1" l="1"/>
  <c r="A6998" i="1" s="1"/>
  <c r="A6999" i="1" l="1"/>
  <c r="A7000" i="1" s="1"/>
  <c r="A7001" i="1" s="1"/>
  <c r="A7002" i="1" s="1"/>
  <c r="A7003" i="1" l="1"/>
  <c r="A7004" i="1" s="1"/>
  <c r="A7005" i="1" s="1"/>
  <c r="A7006" i="1" l="1"/>
  <c r="A7007" i="1" s="1"/>
  <c r="A7008" i="1" s="1"/>
  <c r="A7009" i="1" s="1"/>
  <c r="A7010" i="1" s="1"/>
  <c r="A7011" i="1" s="1"/>
  <c r="A7012" i="1" l="1"/>
  <c r="A7013" i="1" s="1"/>
  <c r="A7014" i="1" s="1"/>
  <c r="A7015" i="1" s="1"/>
</calcChain>
</file>

<file path=xl/sharedStrings.xml><?xml version="1.0" encoding="utf-8"?>
<sst xmlns="http://schemas.openxmlformats.org/spreadsheetml/2006/main" count="44548" uniqueCount="2084">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</sst>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20" fontId="15" fillId="0" borderId="16" xfId="0" applyNumberFormat="1" applyFont="1" applyBorder="1" applyAlignment="1">
      <alignment horizontal="center" vertical="center" wrapText="1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15"/>
  <sheetViews>
    <sheetView tabSelected="1" zoomScale="80" zoomScaleNormal="80" workbookViewId="0">
      <pane ySplit="2" topLeftCell="A6984" activePane="bottomLeft" state="frozen"/>
      <selection pane="bottomLeft" activeCell="P6990" sqref="P699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0" t="s">
        <v>0</v>
      </c>
      <c r="B1" s="1010"/>
      <c r="C1" s="1010"/>
      <c r="D1" s="1010"/>
      <c r="E1" s="1010"/>
      <c r="F1" s="1010"/>
      <c r="G1" s="1010"/>
      <c r="H1" s="1010"/>
      <c r="I1" s="1010"/>
      <c r="J1" s="1010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1">
        <v>1</v>
      </c>
      <c r="B3" s="10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1"/>
      <c r="B4" s="10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2">
        <v>3</v>
      </c>
      <c r="B6" s="101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2"/>
      <c r="B7" s="101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2"/>
      <c r="B8" s="101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2">
        <v>5</v>
      </c>
      <c r="B10" s="101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2"/>
      <c r="B11" s="101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3">
        <v>8</v>
      </c>
      <c r="B14" s="101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3"/>
      <c r="B15" s="101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2">
        <v>11</v>
      </c>
      <c r="B18" s="101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2"/>
      <c r="B19" s="101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2"/>
      <c r="B20" s="101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2"/>
      <c r="B21" s="101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2">
        <v>13</v>
      </c>
      <c r="B23" s="101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2"/>
      <c r="B24" s="101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3">
        <v>14</v>
      </c>
      <c r="B25" s="101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3"/>
      <c r="B26" s="101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2">
        <v>15</v>
      </c>
      <c r="B27" s="101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2"/>
      <c r="B28" s="101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2"/>
      <c r="B29" s="101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2"/>
      <c r="B30" s="101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3">
        <v>16</v>
      </c>
      <c r="B31" s="101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3"/>
      <c r="B32" s="101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3"/>
      <c r="B33" s="101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3"/>
      <c r="B34" s="101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2">
        <v>17</v>
      </c>
      <c r="B35" s="101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2"/>
      <c r="B36" s="101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2">
        <v>21</v>
      </c>
      <c r="B40" s="101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2"/>
      <c r="B41" s="101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2">
        <v>23</v>
      </c>
      <c r="B43" s="101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2"/>
      <c r="B44" s="101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2"/>
      <c r="B45" s="101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3">
        <v>24</v>
      </c>
      <c r="B46" s="101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3"/>
      <c r="B47" s="101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2">
        <v>25</v>
      </c>
      <c r="B48" s="101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2"/>
      <c r="B49" s="101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2"/>
      <c r="B50" s="101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3">
        <v>26</v>
      </c>
      <c r="B51" s="101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3"/>
      <c r="B52" s="101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2">
        <v>29</v>
      </c>
      <c r="B55" s="101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2"/>
      <c r="B56" s="101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3">
        <v>32</v>
      </c>
      <c r="B59" s="101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3"/>
      <c r="B60" s="101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3">
        <v>34</v>
      </c>
      <c r="B62" s="101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3"/>
      <c r="B63" s="101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3"/>
      <c r="B64" s="101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3"/>
      <c r="B65" s="101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3"/>
      <c r="B66" s="101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2">
        <v>35</v>
      </c>
      <c r="B67" s="101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2"/>
      <c r="B68" s="101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5">
        <v>40</v>
      </c>
      <c r="B73" s="101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5"/>
      <c r="B74" s="101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6">
        <v>41</v>
      </c>
      <c r="B75" s="101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6"/>
      <c r="B76" s="101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6"/>
      <c r="B77" s="101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5">
        <v>42</v>
      </c>
      <c r="B78" s="101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5"/>
      <c r="B79" s="101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6">
        <v>49</v>
      </c>
      <c r="B86" s="101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6"/>
      <c r="B87" s="101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6"/>
      <c r="B88" s="101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5">
        <v>50</v>
      </c>
      <c r="B89" s="101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5"/>
      <c r="B90" s="101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6">
        <v>51</v>
      </c>
      <c r="B91" s="101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6"/>
      <c r="B92" s="101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6">
        <v>53</v>
      </c>
      <c r="B94" s="101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6"/>
      <c r="B95" s="101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5">
        <v>54</v>
      </c>
      <c r="B96" s="101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5"/>
      <c r="B97" s="101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5"/>
      <c r="B98" s="101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5">
        <v>58</v>
      </c>
      <c r="B102" s="101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5"/>
      <c r="B103" s="101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5">
        <v>60</v>
      </c>
      <c r="B105" s="101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5"/>
      <c r="B106" s="101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5"/>
      <c r="B107" s="101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6">
        <v>61</v>
      </c>
      <c r="B108" s="101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6"/>
      <c r="B109" s="101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6"/>
      <c r="B110" s="101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5">
        <v>64</v>
      </c>
      <c r="B113" s="101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5"/>
      <c r="B114" s="101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5">
        <v>66</v>
      </c>
      <c r="B116" s="101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5"/>
      <c r="B117" s="101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6">
        <v>67</v>
      </c>
      <c r="B118" s="101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6"/>
      <c r="B119" s="101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6"/>
      <c r="B120" s="101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5">
        <v>68</v>
      </c>
      <c r="B121" s="101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5"/>
      <c r="B122" s="101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6">
        <v>69</v>
      </c>
      <c r="B123" s="101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6"/>
      <c r="B124" s="101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5">
        <v>72</v>
      </c>
      <c r="B127" s="1013" t="s">
        <v>65</v>
      </c>
      <c r="C127" s="119" t="s">
        <v>26</v>
      </c>
      <c r="D127" s="120">
        <v>3.3</v>
      </c>
      <c r="E127" s="121"/>
      <c r="F127" s="122" t="s">
        <v>30</v>
      </c>
      <c r="G127" s="100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5"/>
      <c r="B128" s="1013"/>
      <c r="C128" s="103" t="s">
        <v>26</v>
      </c>
      <c r="D128" s="88">
        <v>12.9</v>
      </c>
      <c r="E128" s="106"/>
      <c r="F128" s="107" t="s">
        <v>16</v>
      </c>
      <c r="G128" s="100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5">
        <v>76</v>
      </c>
      <c r="B132" s="101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5"/>
      <c r="B133" s="101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5"/>
      <c r="B134" s="101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5"/>
      <c r="B135" s="101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5">
        <v>78</v>
      </c>
      <c r="B137" s="10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5"/>
      <c r="B138" s="10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6" t="s">
        <v>133</v>
      </c>
      <c r="J420" s="10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9" t="s">
        <v>467</v>
      </c>
      <c r="H2160" s="414" t="s">
        <v>515</v>
      </c>
      <c r="I2160" s="415" t="s">
        <v>516</v>
      </c>
      <c r="J2160" s="100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9"/>
      <c r="H2161" s="421" t="s">
        <v>515</v>
      </c>
      <c r="I2161" s="422" t="s">
        <v>516</v>
      </c>
      <c r="J2161" s="100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9"/>
      <c r="H2162" s="429" t="s">
        <v>515</v>
      </c>
      <c r="I2162" s="430" t="s">
        <v>516</v>
      </c>
      <c r="J2162" s="100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9" t="s">
        <v>467</v>
      </c>
      <c r="H2165" s="414" t="s">
        <v>516</v>
      </c>
      <c r="I2165" s="415" t="s">
        <v>516</v>
      </c>
      <c r="J2165" s="100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9"/>
      <c r="H2166" s="429" t="s">
        <v>516</v>
      </c>
      <c r="I2166" s="430" t="s">
        <v>516</v>
      </c>
      <c r="J2166" s="100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5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5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5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5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5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5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5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5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5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5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5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5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5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5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5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5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5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5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5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5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5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5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5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5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5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5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5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5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5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5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5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5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5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5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5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5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5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5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5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5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5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5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5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5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5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5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5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5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5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5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5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5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5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5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5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5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5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5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5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5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5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5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5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5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5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5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5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5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5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5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5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5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5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37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5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5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5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5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1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2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2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2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4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2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4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3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6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101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6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95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5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5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557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2057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2059</v>
      </c>
    </row>
    <row r="6956" spans="1:18" ht="19.5" thickBot="1" x14ac:dyDescent="0.3">
      <c r="A6956" s="513">
        <f t="shared" si="209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2058</v>
      </c>
    </row>
    <row r="6958" spans="1:18" x14ac:dyDescent="0.25">
      <c r="A6958" s="9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/>
      <c r="F6958" s="483" t="s">
        <v>16</v>
      </c>
      <c r="G6958" s="899"/>
      <c r="H6958" s="483" t="s">
        <v>2031</v>
      </c>
      <c r="I6958" s="484"/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>
        <v>12427</v>
      </c>
    </row>
    <row r="6959" spans="1:18" x14ac:dyDescent="0.25">
      <c r="A6959" s="958"/>
      <c r="B6959" s="792" t="s">
        <v>2031</v>
      </c>
      <c r="C6959" s="793" t="s">
        <v>26</v>
      </c>
      <c r="D6959" s="794">
        <v>2.38</v>
      </c>
      <c r="E6959" s="794"/>
      <c r="F6959" s="795" t="s">
        <v>16</v>
      </c>
      <c r="G6959" s="903" t="s">
        <v>76</v>
      </c>
      <c r="H6959" s="795" t="s">
        <v>2031</v>
      </c>
      <c r="I6959" s="795"/>
      <c r="J6959" s="797"/>
      <c r="K6959" s="945"/>
      <c r="L6959" s="795" t="s">
        <v>265</v>
      </c>
      <c r="M6959" s="795">
        <v>2385</v>
      </c>
      <c r="N6959" s="502">
        <v>0.375</v>
      </c>
      <c r="O6959" s="897" t="s">
        <v>2081</v>
      </c>
      <c r="P6959" s="867">
        <v>2387</v>
      </c>
    </row>
    <row r="6960" spans="1:18" ht="19.5" thickBot="1" x14ac:dyDescent="0.3">
      <c r="A6960" s="955"/>
      <c r="B6960" s="805" t="s">
        <v>2031</v>
      </c>
      <c r="C6960" s="806" t="s">
        <v>26</v>
      </c>
      <c r="D6960" s="807">
        <v>2.4</v>
      </c>
      <c r="E6960" s="807"/>
      <c r="F6960" s="808" t="s">
        <v>16</v>
      </c>
      <c r="G6960" s="902" t="s">
        <v>76</v>
      </c>
      <c r="H6960" s="808" t="s">
        <v>2031</v>
      </c>
      <c r="I6960" s="808"/>
      <c r="J6960" s="810"/>
      <c r="K6960" s="887"/>
      <c r="L6960" s="808" t="s">
        <v>265</v>
      </c>
      <c r="M6960" s="808">
        <v>2400</v>
      </c>
      <c r="N6960" s="778">
        <v>0.375</v>
      </c>
      <c r="O6960" s="897" t="s">
        <v>2060</v>
      </c>
      <c r="P6960" s="867">
        <v>2407</v>
      </c>
    </row>
    <row r="6961" spans="1:19" x14ac:dyDescent="0.25">
      <c r="A6961" s="95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63"/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2061</v>
      </c>
    </row>
    <row r="6962" spans="1:19" ht="19.5" thickBot="1" x14ac:dyDescent="0.3">
      <c r="A6962" s="95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48"/>
      <c r="L6962" s="801" t="s">
        <v>265</v>
      </c>
      <c r="M6962" s="801">
        <v>4620</v>
      </c>
      <c r="N6962" s="804">
        <v>0.41666666666666669</v>
      </c>
      <c r="O6962" s="897" t="s">
        <v>2056</v>
      </c>
      <c r="P6962" s="867" t="s">
        <v>2062</v>
      </c>
    </row>
    <row r="6963" spans="1:19" x14ac:dyDescent="0.25">
      <c r="A6963" s="9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/>
      <c r="F6963" s="483" t="s">
        <v>16</v>
      </c>
      <c r="G6963" s="549" t="s">
        <v>844</v>
      </c>
      <c r="H6963" s="483" t="s">
        <v>2031</v>
      </c>
      <c r="I6963" s="484"/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</row>
    <row r="6964" spans="1:19" x14ac:dyDescent="0.25">
      <c r="A6964" s="958"/>
      <c r="B6964" s="523" t="s">
        <v>1984</v>
      </c>
      <c r="C6964" s="524" t="s">
        <v>981</v>
      </c>
      <c r="D6964" s="525">
        <v>2</v>
      </c>
      <c r="E6964" s="526"/>
      <c r="F6964" s="527" t="s">
        <v>16</v>
      </c>
      <c r="G6964" s="561" t="s">
        <v>845</v>
      </c>
      <c r="H6964" s="527" t="s">
        <v>2031</v>
      </c>
      <c r="I6964" s="528"/>
      <c r="J6964" s="529"/>
      <c r="K6964" s="523"/>
      <c r="L6964" s="527" t="s">
        <v>266</v>
      </c>
      <c r="M6964" s="527">
        <v>2004.6</v>
      </c>
      <c r="N6964" s="530">
        <v>0.45833333333333331</v>
      </c>
      <c r="O6964" s="897" t="s">
        <v>2035</v>
      </c>
      <c r="P6964" s="867" t="s">
        <v>2041</v>
      </c>
    </row>
    <row r="6965" spans="1:19" x14ac:dyDescent="0.25">
      <c r="A6965" s="958"/>
      <c r="B6965" s="523" t="s">
        <v>1984</v>
      </c>
      <c r="C6965" s="524" t="s">
        <v>41</v>
      </c>
      <c r="D6965" s="525">
        <v>4.5149999999999997</v>
      </c>
      <c r="E6965" s="526"/>
      <c r="F6965" s="527" t="s">
        <v>16</v>
      </c>
      <c r="G6965" s="561" t="s">
        <v>844</v>
      </c>
      <c r="H6965" s="527" t="s">
        <v>2031</v>
      </c>
      <c r="I6965" s="528"/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</row>
    <row r="6966" spans="1:19" x14ac:dyDescent="0.25">
      <c r="A6966" s="958"/>
      <c r="B6966" s="523" t="s">
        <v>1984</v>
      </c>
      <c r="C6966" s="524" t="s">
        <v>41</v>
      </c>
      <c r="D6966" s="525">
        <v>5</v>
      </c>
      <c r="E6966" s="526"/>
      <c r="F6966" s="527" t="s">
        <v>16</v>
      </c>
      <c r="G6966" s="561" t="s">
        <v>845</v>
      </c>
      <c r="H6966" s="527" t="s">
        <v>2031</v>
      </c>
      <c r="I6966" s="528"/>
      <c r="J6966" s="529"/>
      <c r="K6966" s="523"/>
      <c r="L6966" s="527" t="s">
        <v>266</v>
      </c>
      <c r="M6966" s="527">
        <v>5007.5999999999995</v>
      </c>
      <c r="N6966" s="530">
        <v>0.45833333333333331</v>
      </c>
      <c r="O6966" s="897" t="s">
        <v>2037</v>
      </c>
      <c r="P6966" s="867" t="s">
        <v>2041</v>
      </c>
    </row>
    <row r="6967" spans="1:19" ht="19.5" thickBot="1" x14ac:dyDescent="0.3">
      <c r="A6967" s="955"/>
      <c r="B6967" s="645" t="s">
        <v>1984</v>
      </c>
      <c r="C6967" s="646" t="s">
        <v>32</v>
      </c>
      <c r="D6967" s="647">
        <v>3.9649999999999999</v>
      </c>
      <c r="E6967" s="648"/>
      <c r="F6967" s="649" t="s">
        <v>16</v>
      </c>
      <c r="G6967" s="650" t="s">
        <v>1702</v>
      </c>
      <c r="H6967" s="649" t="s">
        <v>2031</v>
      </c>
      <c r="I6967" s="651"/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</row>
    <row r="6968" spans="1:19" x14ac:dyDescent="0.25">
      <c r="A6968" s="95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/>
      <c r="F6968" s="535" t="s">
        <v>16</v>
      </c>
      <c r="G6968" s="898"/>
      <c r="H6968" s="535" t="s">
        <v>2034</v>
      </c>
      <c r="I6968" s="537"/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</row>
    <row r="6969" spans="1:19" ht="19.5" thickBot="1" x14ac:dyDescent="0.3">
      <c r="A6969" s="957"/>
      <c r="B6969" s="798" t="s">
        <v>2031</v>
      </c>
      <c r="C6969" s="799" t="s">
        <v>26</v>
      </c>
      <c r="D6969" s="800">
        <v>4.4000000000000004</v>
      </c>
      <c r="E6969" s="800"/>
      <c r="F6969" s="801" t="s">
        <v>16</v>
      </c>
      <c r="G6969" s="942" t="s">
        <v>76</v>
      </c>
      <c r="H6969" s="801" t="s">
        <v>2034</v>
      </c>
      <c r="I6969" s="801"/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2082</v>
      </c>
    </row>
    <row r="6970" spans="1:19" x14ac:dyDescent="0.25">
      <c r="A6970" s="95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/>
      <c r="F6970" s="483" t="s">
        <v>16</v>
      </c>
      <c r="G6970" s="549"/>
      <c r="H6970" s="483" t="s">
        <v>2034</v>
      </c>
      <c r="I6970" s="484"/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2042</v>
      </c>
      <c r="P6970" s="867">
        <v>6292214</v>
      </c>
      <c r="Q6970" s="847">
        <v>-2328</v>
      </c>
      <c r="R6970" s="833">
        <f>-1*SUM(Q6970:Q6973)</f>
        <v>3636</v>
      </c>
    </row>
    <row r="6971" spans="1:19" x14ac:dyDescent="0.25">
      <c r="A6971" s="958"/>
      <c r="B6971" s="523" t="s">
        <v>1984</v>
      </c>
      <c r="C6971" s="524" t="s">
        <v>24</v>
      </c>
      <c r="D6971" s="525">
        <v>3.7</v>
      </c>
      <c r="E6971" s="526"/>
      <c r="F6971" s="527" t="s">
        <v>16</v>
      </c>
      <c r="G6971" s="561"/>
      <c r="H6971" s="527" t="s">
        <v>2034</v>
      </c>
      <c r="I6971" s="528"/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2044</v>
      </c>
      <c r="P6971" s="867">
        <v>6292219</v>
      </c>
      <c r="Q6971" s="847">
        <v>-1002</v>
      </c>
    </row>
    <row r="6972" spans="1:19" x14ac:dyDescent="0.25">
      <c r="A6972" s="958"/>
      <c r="B6972" s="523" t="s">
        <v>1984</v>
      </c>
      <c r="C6972" s="524" t="s">
        <v>764</v>
      </c>
      <c r="D6972" s="525">
        <v>9.1</v>
      </c>
      <c r="E6972" s="526"/>
      <c r="F6972" s="527" t="s">
        <v>16</v>
      </c>
      <c r="G6972" s="561"/>
      <c r="H6972" s="527" t="s">
        <v>2034</v>
      </c>
      <c r="I6972" s="528"/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2043</v>
      </c>
      <c r="P6972" s="867">
        <v>6292222</v>
      </c>
      <c r="Q6972" s="847">
        <v>-306</v>
      </c>
    </row>
    <row r="6973" spans="1:19" x14ac:dyDescent="0.25">
      <c r="A6973" s="958"/>
      <c r="B6973" s="946" t="s">
        <v>2034</v>
      </c>
      <c r="C6973" s="947" t="s">
        <v>15</v>
      </c>
      <c r="D6973" s="948">
        <v>1.26</v>
      </c>
      <c r="E6973" s="948"/>
      <c r="F6973" s="949" t="s">
        <v>16</v>
      </c>
      <c r="G6973" s="950" t="s">
        <v>76</v>
      </c>
      <c r="H6973" s="949" t="s">
        <v>2034</v>
      </c>
      <c r="I6973" s="949"/>
      <c r="J6973" s="951"/>
      <c r="K6973" s="946"/>
      <c r="L6973" s="949" t="s">
        <v>28</v>
      </c>
      <c r="M6973" s="949">
        <v>1292.28</v>
      </c>
      <c r="N6973" s="530">
        <v>0.41666666666666669</v>
      </c>
      <c r="O6973" s="897" t="s">
        <v>2083</v>
      </c>
      <c r="S6973" s="2">
        <v>1292</v>
      </c>
    </row>
    <row r="6974" spans="1:19" ht="19.5" thickBot="1" x14ac:dyDescent="0.3">
      <c r="A6974" s="955"/>
      <c r="B6974" s="859" t="s">
        <v>2034</v>
      </c>
      <c r="C6974" s="854" t="s">
        <v>24</v>
      </c>
      <c r="D6974" s="855">
        <v>2.34</v>
      </c>
      <c r="E6974" s="855"/>
      <c r="F6974" s="856" t="s">
        <v>16</v>
      </c>
      <c r="G6974" s="857" t="s">
        <v>76</v>
      </c>
      <c r="H6974" s="856" t="s">
        <v>2034</v>
      </c>
      <c r="I6974" s="856"/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2083</v>
      </c>
      <c r="S6974" s="2">
        <v>2369</v>
      </c>
    </row>
    <row r="6975" spans="1:19" ht="56.25" x14ac:dyDescent="0.25">
      <c r="A6975" s="96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/>
      <c r="F6975" s="535" t="s">
        <v>16</v>
      </c>
      <c r="G6975" s="536" t="s">
        <v>794</v>
      </c>
      <c r="H6975" s="535" t="s">
        <v>2034</v>
      </c>
      <c r="I6975" s="537"/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2046</v>
      </c>
      <c r="P6975" s="867">
        <v>6292232</v>
      </c>
      <c r="Q6975" s="847">
        <v>0</v>
      </c>
      <c r="R6975" s="833">
        <f>-1*SUM(Q6975:Q6977)</f>
        <v>2875</v>
      </c>
    </row>
    <row r="6976" spans="1:19" x14ac:dyDescent="0.25">
      <c r="A6976" s="962"/>
      <c r="B6976" s="563" t="s">
        <v>1984</v>
      </c>
      <c r="C6976" s="564" t="s">
        <v>587</v>
      </c>
      <c r="D6976" s="565">
        <v>8.36</v>
      </c>
      <c r="E6976" s="566"/>
      <c r="F6976" s="567" t="s">
        <v>16</v>
      </c>
      <c r="G6976" s="568" t="s">
        <v>47</v>
      </c>
      <c r="H6976" s="567" t="s">
        <v>2034</v>
      </c>
      <c r="I6976" s="569"/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2047</v>
      </c>
      <c r="P6976" s="867">
        <v>6292238</v>
      </c>
      <c r="Q6976" s="847">
        <v>-895</v>
      </c>
    </row>
    <row r="6977" spans="1:19" x14ac:dyDescent="0.25">
      <c r="A6977" s="962"/>
      <c r="B6977" s="563" t="s">
        <v>1984</v>
      </c>
      <c r="C6977" s="564" t="s">
        <v>47</v>
      </c>
      <c r="D6977" s="565">
        <v>8.7309999999999999</v>
      </c>
      <c r="E6977" s="566"/>
      <c r="F6977" s="567" t="s">
        <v>16</v>
      </c>
      <c r="G6977" s="568"/>
      <c r="H6977" s="567" t="s">
        <v>2034</v>
      </c>
      <c r="I6977" s="569"/>
      <c r="J6977" s="570"/>
      <c r="K6977" s="563"/>
      <c r="L6977" s="567" t="s">
        <v>28</v>
      </c>
      <c r="M6977" s="567">
        <v>8891.8900000000012</v>
      </c>
      <c r="N6977" s="571">
        <v>0.45833333333333331</v>
      </c>
      <c r="O6977" s="897" t="s">
        <v>2045</v>
      </c>
      <c r="P6977" s="867">
        <v>6292234</v>
      </c>
      <c r="Q6977" s="847">
        <v>-1980</v>
      </c>
    </row>
    <row r="6978" spans="1:19" ht="19.5" thickBot="1" x14ac:dyDescent="0.3">
      <c r="A6978" s="962"/>
      <c r="B6978" s="836" t="s">
        <v>2034</v>
      </c>
      <c r="C6978" s="837" t="s">
        <v>47</v>
      </c>
      <c r="D6978" s="838">
        <v>2.85</v>
      </c>
      <c r="E6978" s="838"/>
      <c r="F6978" s="839" t="s">
        <v>16</v>
      </c>
      <c r="G6978" s="850"/>
      <c r="H6978" s="839" t="s">
        <v>2034</v>
      </c>
      <c r="I6978" s="839"/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2083</v>
      </c>
      <c r="S6978" s="2">
        <v>2878</v>
      </c>
    </row>
    <row r="6979" spans="1:19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/>
      <c r="F6979" s="518" t="s">
        <v>30</v>
      </c>
      <c r="G6979" s="519"/>
      <c r="H6979" s="518" t="s">
        <v>2034</v>
      </c>
      <c r="I6979" s="520"/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2051</v>
      </c>
    </row>
    <row r="6980" spans="1:19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2053</v>
      </c>
    </row>
    <row r="6981" spans="1:19" x14ac:dyDescent="0.25">
      <c r="A6981" s="95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/>
      <c r="F6981" s="483" t="s">
        <v>16</v>
      </c>
      <c r="G6981" s="549"/>
      <c r="H6981" s="483" t="s">
        <v>2050</v>
      </c>
      <c r="I6981" s="484"/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2054</v>
      </c>
    </row>
    <row r="6982" spans="1:19" x14ac:dyDescent="0.25">
      <c r="A6982" s="958"/>
      <c r="B6982" s="523" t="s">
        <v>2006</v>
      </c>
      <c r="C6982" s="524" t="s">
        <v>952</v>
      </c>
      <c r="D6982" s="525">
        <v>1.8919999999999999</v>
      </c>
      <c r="E6982" s="526"/>
      <c r="F6982" s="527" t="s">
        <v>16</v>
      </c>
      <c r="G6982" s="561"/>
      <c r="H6982" s="527" t="s">
        <v>2050</v>
      </c>
      <c r="I6982" s="528"/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2052</v>
      </c>
    </row>
    <row r="6983" spans="1:19" ht="19.5" thickBot="1" x14ac:dyDescent="0.3">
      <c r="A6983" s="955"/>
      <c r="B6983" s="859" t="s">
        <v>2034</v>
      </c>
      <c r="C6983" s="854" t="s">
        <v>26</v>
      </c>
      <c r="D6983" s="855">
        <v>3.6</v>
      </c>
      <c r="E6983" s="855"/>
      <c r="F6983" s="856" t="s">
        <v>16</v>
      </c>
      <c r="G6983" s="857"/>
      <c r="H6983" s="856" t="s">
        <v>2050</v>
      </c>
      <c r="I6983" s="856"/>
      <c r="J6983" s="858"/>
      <c r="K6983" s="859"/>
      <c r="L6983" s="856" t="s">
        <v>265</v>
      </c>
      <c r="M6983" s="856">
        <v>3615.3</v>
      </c>
      <c r="N6983" s="653">
        <v>0.375</v>
      </c>
      <c r="O6983" s="897" t="s">
        <v>2083</v>
      </c>
    </row>
    <row r="6984" spans="1:19" x14ac:dyDescent="0.25">
      <c r="A6984" s="956">
        <f>MAX(A6889:A6983)+1</f>
        <v>4333</v>
      </c>
      <c r="B6984" s="759" t="s">
        <v>2006</v>
      </c>
      <c r="C6984" s="532" t="s">
        <v>23</v>
      </c>
      <c r="D6984" s="533">
        <v>17.716999999999999</v>
      </c>
      <c r="E6984" s="534"/>
      <c r="F6984" s="535" t="s">
        <v>16</v>
      </c>
      <c r="G6984" s="898"/>
      <c r="H6984" s="535" t="s">
        <v>2050</v>
      </c>
      <c r="I6984" s="537"/>
      <c r="J6984" s="538"/>
      <c r="K6984" s="563"/>
      <c r="L6984" s="567" t="s">
        <v>28</v>
      </c>
      <c r="M6984" s="567">
        <v>17859.079999999998</v>
      </c>
      <c r="N6984" s="571">
        <v>0.41666666666666669</v>
      </c>
      <c r="O6984" s="897" t="s">
        <v>2055</v>
      </c>
      <c r="P6984" s="867">
        <v>6292895</v>
      </c>
      <c r="Q6984" s="847">
        <v>-1489</v>
      </c>
    </row>
    <row r="6985" spans="1:19" ht="19.5" thickBot="1" x14ac:dyDescent="0.3">
      <c r="A6985" s="957"/>
      <c r="B6985" s="798" t="s">
        <v>2050</v>
      </c>
      <c r="C6985" s="799" t="s">
        <v>23</v>
      </c>
      <c r="D6985" s="800">
        <v>1.48</v>
      </c>
      <c r="E6985" s="800"/>
      <c r="F6985" s="801" t="s">
        <v>16</v>
      </c>
      <c r="G6985" s="942"/>
      <c r="H6985" s="801" t="s">
        <v>2050</v>
      </c>
      <c r="I6985" s="801"/>
      <c r="J6985" s="803"/>
      <c r="K6985" s="848"/>
      <c r="L6985" s="801" t="s">
        <v>28</v>
      </c>
      <c r="M6985" s="801">
        <v>1497.6</v>
      </c>
      <c r="N6985" s="804">
        <v>0.41666666666666669</v>
      </c>
      <c r="O6985" s="897" t="s">
        <v>2083</v>
      </c>
    </row>
    <row r="6986" spans="1:19" x14ac:dyDescent="0.25">
      <c r="A6986" s="954">
        <f>MAX(A6890:A6985)+1</f>
        <v>4334</v>
      </c>
      <c r="B6986" s="479" t="s">
        <v>2031</v>
      </c>
      <c r="C6986" s="480" t="s">
        <v>667</v>
      </c>
      <c r="D6986" s="481">
        <v>3.2759999999999998</v>
      </c>
      <c r="E6986" s="482"/>
      <c r="F6986" s="483" t="s">
        <v>30</v>
      </c>
      <c r="G6986" s="549"/>
      <c r="H6986" s="483" t="s">
        <v>2050</v>
      </c>
      <c r="I6986" s="484"/>
      <c r="J6986" s="485"/>
      <c r="K6986" s="479"/>
      <c r="L6986" s="483" t="s">
        <v>28</v>
      </c>
      <c r="M6986" s="483">
        <v>3276.3599999999997</v>
      </c>
      <c r="N6986" s="486">
        <v>0.41666666666666669</v>
      </c>
      <c r="O6986" s="897" t="s">
        <v>2064</v>
      </c>
    </row>
    <row r="6987" spans="1:19" ht="19.5" thickBot="1" x14ac:dyDescent="0.3">
      <c r="A6987" s="955"/>
      <c r="B6987" s="645" t="s">
        <v>2031</v>
      </c>
      <c r="C6987" s="646" t="s">
        <v>764</v>
      </c>
      <c r="D6987" s="647">
        <v>6.9630000000000001</v>
      </c>
      <c r="E6987" s="648"/>
      <c r="F6987" s="649" t="s">
        <v>30</v>
      </c>
      <c r="G6987" s="650"/>
      <c r="H6987" s="649" t="s">
        <v>2050</v>
      </c>
      <c r="I6987" s="651"/>
      <c r="J6987" s="652"/>
      <c r="K6987" s="645"/>
      <c r="L6987" s="649" t="s">
        <v>28</v>
      </c>
      <c r="M6987" s="649">
        <v>6962.9999999999991</v>
      </c>
      <c r="N6987" s="653">
        <v>0.41666666666666669</v>
      </c>
      <c r="O6987" s="897" t="s">
        <v>2063</v>
      </c>
    </row>
    <row r="6988" spans="1:19" x14ac:dyDescent="0.25">
      <c r="A6988" s="961">
        <f>MAX(A6892:A6987)+1</f>
        <v>4335</v>
      </c>
      <c r="B6988" s="531" t="s">
        <v>2031</v>
      </c>
      <c r="C6988" s="532" t="s">
        <v>840</v>
      </c>
      <c r="D6988" s="533">
        <v>9.0020000000000007</v>
      </c>
      <c r="E6988" s="534"/>
      <c r="F6988" s="535" t="s">
        <v>16</v>
      </c>
      <c r="G6988" s="536" t="s">
        <v>844</v>
      </c>
      <c r="H6988" s="535" t="s">
        <v>2050</v>
      </c>
      <c r="I6988" s="537"/>
      <c r="J6988" s="538"/>
      <c r="K6988" s="531"/>
      <c r="L6988" s="535" t="s">
        <v>266</v>
      </c>
      <c r="M6988" s="535">
        <v>9082.1999999999989</v>
      </c>
      <c r="N6988" s="539">
        <v>0.45833333333333331</v>
      </c>
      <c r="O6988" s="897" t="s">
        <v>2066</v>
      </c>
    </row>
    <row r="6989" spans="1:19" x14ac:dyDescent="0.25">
      <c r="A6989" s="962"/>
      <c r="B6989" s="563" t="s">
        <v>2031</v>
      </c>
      <c r="C6989" s="564" t="s">
        <v>840</v>
      </c>
      <c r="D6989" s="565">
        <v>5</v>
      </c>
      <c r="E6989" s="566"/>
      <c r="F6989" s="567" t="s">
        <v>16</v>
      </c>
      <c r="G6989" s="568" t="s">
        <v>845</v>
      </c>
      <c r="H6989" s="567" t="s">
        <v>2050</v>
      </c>
      <c r="I6989" s="569"/>
      <c r="J6989" s="570"/>
      <c r="K6989" s="563"/>
      <c r="L6989" s="567" t="s">
        <v>266</v>
      </c>
      <c r="M6989" s="567">
        <v>5004</v>
      </c>
      <c r="N6989" s="571">
        <v>0.45833333333333331</v>
      </c>
      <c r="O6989" s="897" t="s">
        <v>2067</v>
      </c>
    </row>
    <row r="6990" spans="1:19" ht="19.5" thickBot="1" x14ac:dyDescent="0.3">
      <c r="A6990" s="963"/>
      <c r="B6990" s="636" t="s">
        <v>2031</v>
      </c>
      <c r="C6990" s="637" t="s">
        <v>480</v>
      </c>
      <c r="D6990" s="638">
        <v>8.84</v>
      </c>
      <c r="E6990" s="639"/>
      <c r="F6990" s="640" t="s">
        <v>16</v>
      </c>
      <c r="G6990" s="641"/>
      <c r="H6990" s="640" t="s">
        <v>2050</v>
      </c>
      <c r="I6990" s="642"/>
      <c r="J6990" s="643"/>
      <c r="K6990" s="636"/>
      <c r="L6990" s="640" t="s">
        <v>266</v>
      </c>
      <c r="M6990" s="640">
        <v>8964.15</v>
      </c>
      <c r="N6990" s="644">
        <v>0.45833333333333331</v>
      </c>
      <c r="O6990" s="897" t="s">
        <v>2065</v>
      </c>
    </row>
    <row r="6991" spans="1:19" x14ac:dyDescent="0.25">
      <c r="A6991" s="954">
        <f>MAX(A6895:A6990)+1</f>
        <v>4336</v>
      </c>
      <c r="B6991" s="479" t="s">
        <v>2031</v>
      </c>
      <c r="C6991" s="480" t="s">
        <v>26</v>
      </c>
      <c r="D6991" s="481">
        <v>11.048999999999999</v>
      </c>
      <c r="E6991" s="482"/>
      <c r="F6991" s="483" t="s">
        <v>16</v>
      </c>
      <c r="G6991" s="549"/>
      <c r="H6991" s="483" t="s">
        <v>2068</v>
      </c>
      <c r="I6991" s="484"/>
      <c r="J6991" s="485"/>
      <c r="K6991" s="479"/>
      <c r="L6991" s="483" t="s">
        <v>265</v>
      </c>
      <c r="M6991" s="483">
        <v>11215.979999999998</v>
      </c>
      <c r="N6991" s="486">
        <v>0.375</v>
      </c>
      <c r="O6991" s="897" t="s">
        <v>2071</v>
      </c>
    </row>
    <row r="6992" spans="1:19" x14ac:dyDescent="0.25">
      <c r="A6992" s="958"/>
      <c r="B6992" s="523" t="s">
        <v>2031</v>
      </c>
      <c r="C6992" s="524" t="s">
        <v>1358</v>
      </c>
      <c r="D6992" s="525">
        <v>4.5359999999999996</v>
      </c>
      <c r="E6992" s="526"/>
      <c r="F6992" s="527" t="s">
        <v>16</v>
      </c>
      <c r="G6992" s="561" t="s">
        <v>844</v>
      </c>
      <c r="H6992" s="527" t="s">
        <v>2068</v>
      </c>
      <c r="I6992" s="528"/>
      <c r="J6992" s="529"/>
      <c r="K6992" s="523"/>
      <c r="L6992" s="527" t="s">
        <v>265</v>
      </c>
      <c r="M6992" s="527">
        <v>4649.4599999999991</v>
      </c>
      <c r="N6992" s="530">
        <v>0.375</v>
      </c>
      <c r="O6992" s="897" t="s">
        <v>2072</v>
      </c>
    </row>
    <row r="6993" spans="1:15" ht="19.5" thickBot="1" x14ac:dyDescent="0.3">
      <c r="A6993" s="955"/>
      <c r="B6993" s="645" t="s">
        <v>2031</v>
      </c>
      <c r="C6993" s="646" t="s">
        <v>1358</v>
      </c>
      <c r="D6993" s="647">
        <v>1.764</v>
      </c>
      <c r="E6993" s="648"/>
      <c r="F6993" s="649" t="s">
        <v>16</v>
      </c>
      <c r="G6993" s="650" t="s">
        <v>845</v>
      </c>
      <c r="H6993" s="649" t="s">
        <v>2068</v>
      </c>
      <c r="I6993" s="651"/>
      <c r="J6993" s="652"/>
      <c r="K6993" s="645"/>
      <c r="L6993" s="649" t="s">
        <v>265</v>
      </c>
      <c r="M6993" s="649">
        <v>1850.04</v>
      </c>
      <c r="N6993" s="653">
        <v>0.375</v>
      </c>
      <c r="O6993" s="897" t="s">
        <v>2073</v>
      </c>
    </row>
    <row r="6994" spans="1:15" ht="19.5" thickBot="1" x14ac:dyDescent="0.3">
      <c r="A6994" s="503">
        <f>MAX(A6898:A6993)+1</f>
        <v>4337</v>
      </c>
      <c r="B6994" s="504" t="s">
        <v>2031</v>
      </c>
      <c r="C6994" s="505" t="s">
        <v>26</v>
      </c>
      <c r="D6994" s="506">
        <v>17.388000000000002</v>
      </c>
      <c r="E6994" s="507"/>
      <c r="F6994" s="508" t="s">
        <v>16</v>
      </c>
      <c r="G6994" s="509"/>
      <c r="H6994" s="508" t="s">
        <v>2068</v>
      </c>
      <c r="I6994" s="510"/>
      <c r="J6994" s="511"/>
      <c r="K6994" s="504"/>
      <c r="L6994" s="508" t="s">
        <v>265</v>
      </c>
      <c r="M6994" s="508">
        <v>17547.560000000001</v>
      </c>
      <c r="N6994" s="512">
        <v>0.41666666666666669</v>
      </c>
      <c r="O6994" s="897" t="s">
        <v>2080</v>
      </c>
    </row>
    <row r="6995" spans="1:15" x14ac:dyDescent="0.25">
      <c r="A6995" s="954">
        <f>MAX(A6899:A6994)+1</f>
        <v>4338</v>
      </c>
      <c r="B6995" s="479" t="s">
        <v>2031</v>
      </c>
      <c r="C6995" s="480" t="s">
        <v>15</v>
      </c>
      <c r="D6995" s="481">
        <v>8.4060000000000006</v>
      </c>
      <c r="E6995" s="482"/>
      <c r="F6995" s="483" t="s">
        <v>16</v>
      </c>
      <c r="G6995" s="959" t="s">
        <v>1633</v>
      </c>
      <c r="H6995" s="483" t="s">
        <v>2068</v>
      </c>
      <c r="I6995" s="484"/>
      <c r="J6995" s="485"/>
      <c r="K6995" s="479"/>
      <c r="L6995" s="483" t="s">
        <v>28</v>
      </c>
      <c r="M6995" s="483">
        <v>8593.130000000001</v>
      </c>
      <c r="N6995" s="486">
        <v>0.45833333333333331</v>
      </c>
      <c r="O6995" s="897" t="s">
        <v>2074</v>
      </c>
    </row>
    <row r="6996" spans="1:15" ht="19.5" thickBot="1" x14ac:dyDescent="0.3">
      <c r="A6996" s="955"/>
      <c r="B6996" s="645" t="s">
        <v>2031</v>
      </c>
      <c r="C6996" s="646" t="s">
        <v>24</v>
      </c>
      <c r="D6996" s="647">
        <v>8.3030000000000008</v>
      </c>
      <c r="E6996" s="648"/>
      <c r="F6996" s="649" t="s">
        <v>16</v>
      </c>
      <c r="G6996" s="960"/>
      <c r="H6996" s="649" t="s">
        <v>2068</v>
      </c>
      <c r="I6996" s="651"/>
      <c r="J6996" s="652"/>
      <c r="K6996" s="645"/>
      <c r="L6996" s="649" t="s">
        <v>28</v>
      </c>
      <c r="M6996" s="649">
        <v>8484.9500000000007</v>
      </c>
      <c r="N6996" s="653">
        <v>0.45833333333333331</v>
      </c>
      <c r="O6996" s="897" t="s">
        <v>2075</v>
      </c>
    </row>
    <row r="6997" spans="1:15" ht="19.5" thickBot="1" x14ac:dyDescent="0.3">
      <c r="A6997" s="503">
        <f>MAX(A6901:A6996)+1</f>
        <v>4339</v>
      </c>
      <c r="B6997" s="504" t="s">
        <v>2031</v>
      </c>
      <c r="C6997" s="505" t="s">
        <v>47</v>
      </c>
      <c r="D6997" s="506">
        <v>17.602</v>
      </c>
      <c r="E6997" s="507"/>
      <c r="F6997" s="508" t="s">
        <v>16</v>
      </c>
      <c r="G6997" s="509"/>
      <c r="H6997" s="508" t="s">
        <v>2068</v>
      </c>
      <c r="I6997" s="510"/>
      <c r="J6997" s="511"/>
      <c r="K6997" s="504"/>
      <c r="L6997" s="508" t="s">
        <v>28</v>
      </c>
      <c r="M6997" s="508">
        <v>17819.179999999997</v>
      </c>
      <c r="N6997" s="512">
        <v>0.5</v>
      </c>
      <c r="O6997" s="897" t="s">
        <v>2076</v>
      </c>
    </row>
    <row r="6998" spans="1:15" ht="19.5" thickBot="1" x14ac:dyDescent="0.3">
      <c r="A6998" s="513">
        <f>MAX(A6902:A6997)+1</f>
        <v>4340</v>
      </c>
      <c r="B6998" s="514" t="s">
        <v>2031</v>
      </c>
      <c r="C6998" s="515" t="s">
        <v>23</v>
      </c>
      <c r="D6998" s="516">
        <v>17.59</v>
      </c>
      <c r="E6998" s="517"/>
      <c r="F6998" s="518" t="s">
        <v>16</v>
      </c>
      <c r="G6998" s="519"/>
      <c r="H6998" s="518" t="s">
        <v>2068</v>
      </c>
      <c r="I6998" s="520"/>
      <c r="J6998" s="521"/>
      <c r="K6998" s="514"/>
      <c r="L6998" s="518" t="s">
        <v>28</v>
      </c>
      <c r="M6998" s="518">
        <v>17754.54</v>
      </c>
      <c r="N6998" s="522">
        <v>0.54166666666666663</v>
      </c>
      <c r="O6998" s="897" t="s">
        <v>2077</v>
      </c>
    </row>
    <row r="6999" spans="1:15" ht="19.5" thickBot="1" x14ac:dyDescent="0.3">
      <c r="A6999" s="503">
        <f>MAX(A6903:A6998)+1</f>
        <v>4341</v>
      </c>
      <c r="B6999" s="504" t="s">
        <v>2031</v>
      </c>
      <c r="C6999" s="505" t="s">
        <v>26</v>
      </c>
      <c r="D6999" s="506">
        <v>14.385999999999999</v>
      </c>
      <c r="E6999" s="507"/>
      <c r="F6999" s="508" t="s">
        <v>30</v>
      </c>
      <c r="G6999" s="509"/>
      <c r="H6999" s="508" t="s">
        <v>2068</v>
      </c>
      <c r="I6999" s="510"/>
      <c r="J6999" s="511"/>
      <c r="K6999" s="504"/>
      <c r="L6999" s="508" t="s">
        <v>265</v>
      </c>
      <c r="M6999" s="508">
        <v>14386.36</v>
      </c>
      <c r="N6999" s="512">
        <v>0.375</v>
      </c>
      <c r="O6999" s="897" t="s">
        <v>2070</v>
      </c>
    </row>
    <row r="7000" spans="1:15" ht="19.5" thickBot="1" x14ac:dyDescent="0.3">
      <c r="A7000" s="513">
        <f>MAX(A6904:A6999)+1</f>
        <v>4342</v>
      </c>
      <c r="B7000" s="514" t="s">
        <v>2031</v>
      </c>
      <c r="C7000" s="515" t="s">
        <v>587</v>
      </c>
      <c r="D7000" s="516">
        <v>10.834</v>
      </c>
      <c r="E7000" s="517"/>
      <c r="F7000" s="518" t="s">
        <v>30</v>
      </c>
      <c r="G7000" s="519" t="s">
        <v>23</v>
      </c>
      <c r="H7000" s="518" t="s">
        <v>2068</v>
      </c>
      <c r="I7000" s="520"/>
      <c r="J7000" s="521"/>
      <c r="K7000" s="514"/>
      <c r="L7000" s="518" t="s">
        <v>28</v>
      </c>
      <c r="M7000" s="518">
        <v>10834.2</v>
      </c>
      <c r="N7000" s="522">
        <v>0.41666666666666669</v>
      </c>
    </row>
    <row r="7001" spans="1:15" ht="19.5" thickBot="1" x14ac:dyDescent="0.3">
      <c r="A7001" s="503">
        <f>MAX(A6902:A7000)+1</f>
        <v>4343</v>
      </c>
      <c r="B7001" s="504" t="s">
        <v>2034</v>
      </c>
      <c r="C7001" s="505" t="s">
        <v>1382</v>
      </c>
      <c r="D7001" s="506">
        <v>17.96</v>
      </c>
      <c r="E7001" s="507"/>
      <c r="F7001" s="508" t="s">
        <v>16</v>
      </c>
      <c r="G7001" s="509"/>
      <c r="H7001" s="508" t="s">
        <v>2068</v>
      </c>
      <c r="I7001" s="510"/>
      <c r="J7001" s="511"/>
      <c r="K7001" s="504"/>
      <c r="L7001" s="508" t="s">
        <v>266</v>
      </c>
      <c r="M7001" s="508">
        <v>18116.34</v>
      </c>
      <c r="N7001" s="512">
        <v>0.58333333333333337</v>
      </c>
    </row>
    <row r="7002" spans="1:15" ht="19.5" thickBot="1" x14ac:dyDescent="0.3">
      <c r="A7002" s="513">
        <f>MAX(A6903:A7001)+1</f>
        <v>4344</v>
      </c>
      <c r="B7002" s="514" t="s">
        <v>2031</v>
      </c>
      <c r="C7002" s="515" t="s">
        <v>26</v>
      </c>
      <c r="D7002" s="516">
        <v>17.321999999999999</v>
      </c>
      <c r="E7002" s="517"/>
      <c r="F7002" s="518" t="s">
        <v>16</v>
      </c>
      <c r="G7002" s="519"/>
      <c r="H7002" s="518" t="s">
        <v>2069</v>
      </c>
      <c r="I7002" s="520"/>
      <c r="J7002" s="521"/>
      <c r="K7002" s="514"/>
      <c r="L7002" s="518" t="s">
        <v>265</v>
      </c>
      <c r="M7002" s="518">
        <v>17508.819999999992</v>
      </c>
      <c r="N7002" s="522">
        <v>0.375</v>
      </c>
      <c r="O7002" s="897" t="s">
        <v>2078</v>
      </c>
    </row>
    <row r="7003" spans="1:15" ht="38.25" thickBot="1" x14ac:dyDescent="0.3">
      <c r="A7003" s="503">
        <f>MAX(A6904:A7002)+1</f>
        <v>4345</v>
      </c>
      <c r="B7003" s="504" t="s">
        <v>2031</v>
      </c>
      <c r="C7003" s="505" t="s">
        <v>23</v>
      </c>
      <c r="D7003" s="506">
        <v>17.219000000000001</v>
      </c>
      <c r="E7003" s="507"/>
      <c r="F7003" s="508" t="s">
        <v>16</v>
      </c>
      <c r="G7003" s="509" t="s">
        <v>1634</v>
      </c>
      <c r="H7003" s="508" t="s">
        <v>2069</v>
      </c>
      <c r="I7003" s="510"/>
      <c r="J7003" s="511"/>
      <c r="K7003" s="504"/>
      <c r="L7003" s="508" t="s">
        <v>28</v>
      </c>
      <c r="M7003" s="508">
        <v>17310.52</v>
      </c>
      <c r="N7003" s="512">
        <v>0.41666666666666669</v>
      </c>
      <c r="O7003" s="897" t="s">
        <v>2079</v>
      </c>
    </row>
    <row r="7004" spans="1:15" x14ac:dyDescent="0.25">
      <c r="A7004" s="676">
        <f>MAX(A6905:A7003)+1</f>
        <v>4346</v>
      </c>
      <c r="B7004" s="676"/>
      <c r="C7004" s="473"/>
      <c r="D7004" s="474"/>
      <c r="E7004" s="475"/>
      <c r="F7004" s="676"/>
      <c r="G7004" s="476"/>
      <c r="H7004" s="676"/>
      <c r="I7004" s="477"/>
      <c r="J7004" s="478"/>
      <c r="K7004" s="676"/>
      <c r="L7004" s="676"/>
      <c r="M7004" s="676"/>
      <c r="N7004" s="944"/>
    </row>
    <row r="7005" spans="1:15" x14ac:dyDescent="0.25">
      <c r="A7005" s="676">
        <f>MAX(A6906:A7004)+1</f>
        <v>4347</v>
      </c>
      <c r="B7005" s="676"/>
      <c r="C7005" s="473"/>
      <c r="D7005" s="474"/>
      <c r="E7005" s="475"/>
      <c r="F7005" s="676"/>
      <c r="G7005" s="476"/>
      <c r="H7005" s="676"/>
      <c r="I7005" s="477"/>
      <c r="J7005" s="478"/>
      <c r="K7005" s="676"/>
      <c r="L7005" s="676"/>
      <c r="M7005" s="676"/>
      <c r="N7005" s="676"/>
    </row>
    <row r="7006" spans="1:15" x14ac:dyDescent="0.25">
      <c r="A7006" s="676">
        <f>MAX(A6907:A7005)+1</f>
        <v>4348</v>
      </c>
      <c r="B7006" s="676"/>
      <c r="C7006" s="473"/>
      <c r="D7006" s="474"/>
      <c r="E7006" s="475"/>
      <c r="F7006" s="676"/>
      <c r="G7006" s="476"/>
      <c r="H7006" s="676"/>
      <c r="I7006" s="477"/>
      <c r="J7006" s="478"/>
      <c r="K7006" s="676"/>
      <c r="L7006" s="676"/>
      <c r="M7006" s="676"/>
      <c r="N7006" s="676"/>
    </row>
    <row r="7007" spans="1:15" x14ac:dyDescent="0.25">
      <c r="A7007" s="676">
        <f>MAX(A6908:A7006)+1</f>
        <v>4349</v>
      </c>
      <c r="B7007" s="676"/>
      <c r="C7007" s="473"/>
      <c r="D7007" s="474"/>
      <c r="E7007" s="475"/>
      <c r="F7007" s="676"/>
      <c r="G7007" s="476"/>
      <c r="H7007" s="676"/>
      <c r="I7007" s="477"/>
      <c r="J7007" s="478"/>
      <c r="K7007" s="676"/>
      <c r="L7007" s="676"/>
      <c r="M7007" s="676"/>
      <c r="N7007" s="676"/>
    </row>
    <row r="7008" spans="1:15" x14ac:dyDescent="0.25">
      <c r="A7008" s="676">
        <f>MAX(A6909:A7007)+1</f>
        <v>4350</v>
      </c>
      <c r="B7008" s="676"/>
      <c r="C7008" s="473"/>
      <c r="D7008" s="474"/>
      <c r="E7008" s="475"/>
      <c r="F7008" s="676"/>
      <c r="G7008" s="476"/>
      <c r="H7008" s="676"/>
      <c r="I7008" s="477"/>
      <c r="J7008" s="478"/>
      <c r="K7008" s="676"/>
      <c r="L7008" s="676"/>
      <c r="M7008" s="676"/>
      <c r="N7008" s="676"/>
    </row>
    <row r="7009" spans="1:14" x14ac:dyDescent="0.25">
      <c r="A7009" s="676">
        <f>MAX(A6910:A7008)+1</f>
        <v>4351</v>
      </c>
      <c r="B7009" s="676"/>
      <c r="C7009" s="473"/>
      <c r="D7009" s="474"/>
      <c r="E7009" s="475"/>
      <c r="F7009" s="676"/>
      <c r="G7009" s="476"/>
      <c r="H7009" s="676"/>
      <c r="I7009" s="477"/>
      <c r="J7009" s="478"/>
      <c r="K7009" s="676"/>
      <c r="L7009" s="676"/>
      <c r="M7009" s="676"/>
      <c r="N7009" s="676"/>
    </row>
    <row r="7010" spans="1:14" x14ac:dyDescent="0.25">
      <c r="A7010" s="676">
        <f>MAX(A6911:A7009)+1</f>
        <v>4352</v>
      </c>
      <c r="B7010" s="676"/>
      <c r="C7010" s="473"/>
      <c r="D7010" s="474"/>
      <c r="E7010" s="475"/>
      <c r="F7010" s="676"/>
      <c r="G7010" s="476"/>
      <c r="H7010" s="676"/>
      <c r="I7010" s="477"/>
      <c r="J7010" s="478"/>
      <c r="K7010" s="676"/>
      <c r="L7010" s="676"/>
      <c r="M7010" s="676"/>
      <c r="N7010" s="676"/>
    </row>
    <row r="7011" spans="1:14" x14ac:dyDescent="0.25">
      <c r="A7011" s="676">
        <f>MAX(A6912:A7010)+1</f>
        <v>4353</v>
      </c>
      <c r="B7011" s="676"/>
      <c r="C7011" s="473"/>
      <c r="D7011" s="474"/>
      <c r="E7011" s="475"/>
      <c r="F7011" s="676"/>
      <c r="G7011" s="476"/>
      <c r="H7011" s="676"/>
      <c r="I7011" s="477"/>
      <c r="J7011" s="478"/>
      <c r="K7011" s="676"/>
      <c r="L7011" s="676"/>
      <c r="M7011" s="676"/>
      <c r="N7011" s="676"/>
    </row>
    <row r="7012" spans="1:14" x14ac:dyDescent="0.25">
      <c r="A7012" s="676">
        <f>MAX(A6913:A7011)+1</f>
        <v>4354</v>
      </c>
      <c r="B7012" s="676"/>
      <c r="C7012" s="473"/>
      <c r="D7012" s="474"/>
      <c r="E7012" s="475"/>
      <c r="F7012" s="676"/>
      <c r="G7012" s="476"/>
      <c r="H7012" s="676"/>
      <c r="I7012" s="477"/>
      <c r="J7012" s="478"/>
      <c r="K7012" s="676"/>
      <c r="L7012" s="676"/>
      <c r="M7012" s="676"/>
      <c r="N7012" s="676"/>
    </row>
    <row r="7013" spans="1:14" x14ac:dyDescent="0.25">
      <c r="A7013" s="676">
        <f>MAX(A6914:A7012)+1</f>
        <v>4355</v>
      </c>
      <c r="B7013" s="676"/>
      <c r="C7013" s="473"/>
      <c r="D7013" s="474"/>
      <c r="E7013" s="475"/>
      <c r="F7013" s="676"/>
      <c r="G7013" s="476"/>
      <c r="H7013" s="676"/>
      <c r="I7013" s="477"/>
      <c r="J7013" s="478"/>
      <c r="K7013" s="676"/>
      <c r="L7013" s="676"/>
      <c r="M7013" s="676"/>
      <c r="N7013" s="676"/>
    </row>
    <row r="7014" spans="1:14" x14ac:dyDescent="0.25">
      <c r="A7014" s="676">
        <f>MAX(A6915:A7013)+1</f>
        <v>4356</v>
      </c>
      <c r="B7014" s="676"/>
      <c r="C7014" s="473"/>
      <c r="D7014" s="474"/>
      <c r="E7014" s="475"/>
      <c r="F7014" s="676"/>
      <c r="G7014" s="476"/>
      <c r="H7014" s="676"/>
      <c r="I7014" s="477"/>
      <c r="J7014" s="478"/>
      <c r="K7014" s="676"/>
      <c r="L7014" s="676"/>
      <c r="M7014" s="676"/>
      <c r="N7014" s="676"/>
    </row>
    <row r="7015" spans="1:14" x14ac:dyDescent="0.25">
      <c r="A7015" s="676">
        <f>MAX(A6916:A7014)+1</f>
        <v>4357</v>
      </c>
      <c r="B7015" s="676"/>
      <c r="C7015" s="473"/>
      <c r="D7015" s="474"/>
      <c r="E7015" s="475"/>
      <c r="F7015" s="676"/>
      <c r="G7015" s="476"/>
      <c r="H7015" s="676"/>
      <c r="I7015" s="477"/>
      <c r="J7015" s="478"/>
      <c r="K7015" s="676"/>
      <c r="L7015" s="676"/>
      <c r="M7015" s="676"/>
      <c r="N7015" s="676"/>
    </row>
  </sheetData>
  <autoFilter ref="A2:R7015" xr:uid="{9E4C531E-AD50-422A-AC7C-8C5AF4C19268}">
    <filterColumn colId="10">
      <filters blank="1"/>
    </filterColumn>
  </autoFilter>
  <mergeCells count="1831">
    <mergeCell ref="A6984:A6985"/>
    <mergeCell ref="A6986:A6987"/>
    <mergeCell ref="A6988:A6990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71:A6774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75:A6676"/>
    <mergeCell ref="A5527:A5528"/>
    <mergeCell ref="A5504:A5505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5531:G5532"/>
    <mergeCell ref="G5275:G5276"/>
    <mergeCell ref="A5338:A5341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G5408:G5409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539:A5541"/>
    <mergeCell ref="A5321:A5325"/>
    <mergeCell ref="A5286:A5289"/>
    <mergeCell ref="G5216:G5217"/>
    <mergeCell ref="A5222:A5225"/>
    <mergeCell ref="G5188:G5189"/>
    <mergeCell ref="A5275:A5276"/>
    <mergeCell ref="G5196:G5197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199:A5200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232:A5233"/>
    <mergeCell ref="A5443:A5444"/>
    <mergeCell ref="A5202:A5203"/>
    <mergeCell ref="A5507:A5508"/>
    <mergeCell ref="A5140:A5141"/>
    <mergeCell ref="G6604:G6605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326:A5327"/>
    <mergeCell ref="A5452:A5453"/>
    <mergeCell ref="A5577:A5578"/>
    <mergeCell ref="G5489:G5490"/>
    <mergeCell ref="G5534:G5538"/>
    <mergeCell ref="A5542:A5546"/>
    <mergeCell ref="A5518:A5522"/>
    <mergeCell ref="A5497:A5498"/>
    <mergeCell ref="A5499:A5500"/>
    <mergeCell ref="A5575:A5576"/>
    <mergeCell ref="G5504:G5505"/>
    <mergeCell ref="A5549:A5550"/>
    <mergeCell ref="A6968:A6969"/>
    <mergeCell ref="A6991:A6993"/>
    <mergeCell ref="A6995:A6996"/>
    <mergeCell ref="G6995:G6996"/>
    <mergeCell ref="A6961:A6962"/>
    <mergeCell ref="A6981:A6983"/>
    <mergeCell ref="A6963:A6967"/>
    <mergeCell ref="A6970:A6974"/>
    <mergeCell ref="A6975:A6978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2026-08-16T08:02:18Z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