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DFB2A24-724F-477D-BC77-7386EDA2596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Лист1!$A$2:$R$7277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145" i="1" l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7" i="1" s="1"/>
  <c r="A7219" i="1" s="1"/>
  <c r="A7220" i="1" s="1"/>
  <c r="A7221" i="1" s="1"/>
  <c r="A7222" i="1" s="1"/>
  <c r="A7223" i="1" l="1"/>
  <c r="A7224" i="1" s="1"/>
  <c r="A7225" i="1" s="1"/>
  <c r="A7227" i="1" s="1"/>
  <c r="A7237" i="1" s="1"/>
  <c r="A7230" i="1"/>
  <c r="A7232" i="1" s="1"/>
  <c r="A7245" i="1" l="1"/>
  <c r="A7246" i="1" s="1"/>
  <c r="A7247" i="1" s="1"/>
  <c r="A7238" i="1"/>
  <c r="A7240" i="1" s="1"/>
  <c r="A7243" i="1"/>
  <c r="A7248" i="1"/>
  <c r="A7251" i="1" l="1"/>
  <c r="A7253" i="1" s="1"/>
  <c r="A7254" i="1" s="1"/>
  <c r="A7255" i="1" s="1"/>
  <c r="A7257" i="1" s="1"/>
  <c r="A7258" i="1" s="1"/>
  <c r="A7259" i="1" s="1"/>
  <c r="A7260" i="1" s="1"/>
  <c r="A7261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</calcChain>
</file>

<file path=xl/sharedStrings.xml><?xml version="1.0" encoding="utf-8"?>
<sst xmlns="http://schemas.openxmlformats.org/spreadsheetml/2006/main" count="46737" uniqueCount="2626">
  <si>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</si>
  <si>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</si>
  <si>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</si>
  <si>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</si>
  <si>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</si>
  <si>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</si>
  <si>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</si>
  <si>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</si>
  <si>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</si>
  <si>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</si>
  <si>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</si>
  <si>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</si>
  <si>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</si>
  <si>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</si>
  <si>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</si>
  <si>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</si>
  <si>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</si>
  <si>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</si>
  <si>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</si>
  <si>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</si>
  <si>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</si>
  <si>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</si>
  <si>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</si>
  <si>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</si>
  <si>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</si>
  <si>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</si>
  <si>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</si>
  <si>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</si>
  <si>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</si>
  <si>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</si>
  <si>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</si>
  <si>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</si>
  <si>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</si>
  <si>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</si>
  <si>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</si>
  <si>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</si>
  <si>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</si>
  <si>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</si>
  <si>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</si>
  <si>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</si>
  <si>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</si>
  <si>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</si>
  <si>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</si>
  <si>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</si>
  <si>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</si>
  <si>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</si>
  <si>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</si>
  <si>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</si>
  <si>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</si>
  <si>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</si>
  <si>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</si>
  <si>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</si>
  <si>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</si>
  <si>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</si>
  <si>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</si>
  <si>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</si>
  <si>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</si>
  <si>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</si>
  <si>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</si>
  <si>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</si>
  <si>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</si>
  <si>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</si>
  <si>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</si>
  <si>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</si>
  <si>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</si>
  <si>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</si>
  <si>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</si>
  <si>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</si>
  <si>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</si>
  <si>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</si>
  <si>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</si>
  <si>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</si>
  <si>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</si>
  <si>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</si>
  <si>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</si>
  <si>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</si>
  <si>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</si>
  <si>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</si>
  <si>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</si>
  <si>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</si>
  <si>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</si>
  <si>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</si>
  <si>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</si>
  <si>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</si>
  <si>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</si>
  <si>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</si>
  <si>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</si>
  <si>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</si>
  <si>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</si>
  <si>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</si>
  <si>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</si>
  <si>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</si>
  <si>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</si>
  <si>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</si>
  <si>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</si>
  <si>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</si>
  <si>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</si>
  <si>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</si>
  <si>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</si>
  <si>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</si>
  <si>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</si>
  <si>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</si>
  <si>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</si>
  <si>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</si>
  <si>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</si>
  <si>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</si>
  <si>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</si>
  <si>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</si>
  <si>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</si>
  <si>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</si>
  <si>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</si>
  <si>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</si>
  <si>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</si>
  <si>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</si>
  <si>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</si>
  <si>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</si>
  <si>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</si>
  <si>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</si>
  <si>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</si>
  <si>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</si>
  <si>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</si>
  <si>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</si>
  <si>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</si>
  <si>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</si>
  <si>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</si>
  <si>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</si>
  <si>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</si>
  <si>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</si>
  <si>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</si>
  <si>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</si>
  <si>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</si>
  <si>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</si>
  <si>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</si>
  <si>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</si>
  <si>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</si>
  <si>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</si>
  <si>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</si>
  <si>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</si>
  <si>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</si>
  <si>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</si>
  <si>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</si>
  <si>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</si>
  <si>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</si>
  <si>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</si>
  <si>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</si>
  <si>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</si>
  <si>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</si>
  <si>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</si>
  <si>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</si>
  <si>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</si>
  <si>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</si>
  <si>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</si>
  <si>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</si>
  <si>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</si>
  <si>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</si>
  <si>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</si>
  <si>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</si>
  <si>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</si>
  <si>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</si>
  <si>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</si>
  <si>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</si>
  <si>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</si>
  <si>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</si>
  <si>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</si>
  <si>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</si>
  <si>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</si>
  <si>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</si>
  <si>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</si>
  <si>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</si>
  <si>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</si>
  <si>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</si>
  <si>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</si>
  <si>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</si>
  <si>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</si>
  <si>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</si>
  <si>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</si>
  <si>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</si>
  <si>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</si>
  <si>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</si>
  <si>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</si>
  <si>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</si>
  <si>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</si>
  <si>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</si>
  <si>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</si>
  <si>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</si>
  <si>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</si>
  <si>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</si>
  <si>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</si>
  <si>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</si>
  <si>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</si>
  <si>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</si>
  <si>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</si>
  <si>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</si>
  <si>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</si>
  <si>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</si>
  <si>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</si>
  <si>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</si>
  <si>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</si>
  <si>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</si>
  <si>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</si>
  <si>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</si>
  <si>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</si>
  <si>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</si>
  <si>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</si>
  <si>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</si>
  <si>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</si>
  <si>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</si>
  <si>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</si>
  <si>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</si>
  <si>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</si>
  <si>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</si>
  <si>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</si>
  <si>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</si>
  <si>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</si>
  <si>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</si>
  <si>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</si>
  <si>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</si>
  <si>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</si>
  <si>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</si>
  <si>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</si>
  <si>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</si>
  <si>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</si>
  <si>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</si>
  <si>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</si>
  <si>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</si>
  <si>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</si>
  <si>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</si>
  <si>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</si>
  <si>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</si>
  <si>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</si>
  <si>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</si>
  <si>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</si>
  <si>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</si>
  <si>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</si>
  <si>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</si>
  <si>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</si>
  <si>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</si>
  <si>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</si>
  <si>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</si>
  <si>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</si>
  <si>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</si>
  <si>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</si>
  <si>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</si>
  <si>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</si>
  <si>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</si>
  <si>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</si>
  <si>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</si>
  <si>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</si>
  <si>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</si>
  <si>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</si>
  <si>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</si>
  <si>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</si>
  <si>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</si>
  <si>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</si>
  <si>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</si>
  <si>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</si>
  <si>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</si>
  <si>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</si>
  <si>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</si>
  <si>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</si>
  <si>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</si>
  <si>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</si>
  <si>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</si>
  <si>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</si>
  <si>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</si>
  <si>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</si>
  <si>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</si>
  <si>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</si>
  <si>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</si>
  <si>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</si>
  <si>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</si>
  <si>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</si>
  <si>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</si>
  <si>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</si>
  <si>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</si>
  <si>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</si>
  <si>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</si>
  <si>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</si>
  <si>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</si>
  <si>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</si>
  <si>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</si>
  <si>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</si>
  <si>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</si>
  <si>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</si>
  <si>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</si>
  <si>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</si>
  <si>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</si>
  <si>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</si>
  <si>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</si>
  <si>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</si>
  <si>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</si>
  <si>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</si>
  <si>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</si>
  <si>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</si>
  <si>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</si>
  <si>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</si>
  <si>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</si>
  <si>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</si>
  <si>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</si>
  <si>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</si>
  <si>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</si>
  <si>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</si>
  <si>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</si>
  <si>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</si>
  <si>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</si>
  <si>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</si>
  <si>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</si>
  <si>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</si>
  <si>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</si>
  <si>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</si>
  <si>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</si>
  <si>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</si>
  <si>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</si>
  <si>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</si>
  <si>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</si>
  <si>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</si>
  <si>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</si>
  <si>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</si>
  <si>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</si>
  <si>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</si>
  <si>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</si>
  <si>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</si>
  <si>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</si>
  <si>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</si>
  <si>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</si>
  <si>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</si>
  <si>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</si>
  <si>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</si>
  <si>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</si>
  <si>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</si>
  <si>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</si>
  <si>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</si>
  <si>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</si>
  <si>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</si>
  <si>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</si>
  <si>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</si>
  <si>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</si>
  <si>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</si>
  <si>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</si>
  <si>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</si>
  <si>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</si>
  <si>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</si>
  <si>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</si>
  <si>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</si>
  <si>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</si>
  <si>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</si>
  <si>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</si>
  <si>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</si>
  <si>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</si>
  <si>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</si>
  <si>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</si>
  <si>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</si>
  <si>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</si>
  <si>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</si>
  <si>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</si>
  <si>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</si>
  <si>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</si>
  <si>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</si>
  <si>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</si>
  <si>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</si>
  <si>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</si>
  <si>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</si>
  <si>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</si>
  <si>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</si>
  <si>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</si>
  <si>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</si>
  <si>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</si>
  <si>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</si>
  <si>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</si>
  <si>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</si>
  <si>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</si>
  <si>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</si>
  <si>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</si>
  <si>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</si>
  <si>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</si>
  <si>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</si>
  <si>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</si>
  <si>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</si>
  <si>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</si>
  <si>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</si>
  <si>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</si>
  <si>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</si>
  <si>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</si>
  <si>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</si>
  <si>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</si>
  <si>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</si>
  <si>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</si>
  <si>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</si>
  <si>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</si>
  <si>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</si>
  <si>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</si>
  <si>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</si>
  <si>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</si>
  <si>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</si>
  <si>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</si>
  <si>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</si>
  <si>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</si>
  <si>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</si>
  <si>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</si>
  <si>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</si>
  <si>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</si>
  <si>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</si>
  <si>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</si>
  <si>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</si>
  <si>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</si>
  <si>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</si>
  <si>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</si>
  <si>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</si>
  <si>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</si>
  <si>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</si>
  <si>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</si>
  <si>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</si>
  <si>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</si>
  <si>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</si>
  <si>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</si>
  <si>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</si>
  <si>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</si>
  <si>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</si>
  <si>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</si>
  <si>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</si>
  <si>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</si>
  <si>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</si>
  <si>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</si>
  <si>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</si>
  <si>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</si>
  <si>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</si>
  <si>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</si>
  <si>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</si>
  <si>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</si>
  <si>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</si>
  <si>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</si>
  <si>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</si>
  <si>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</si>
  <si>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</si>
  <si>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</si>
  <si>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</si>
  <si>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</si>
  <si>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</si>
  <si>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</si>
  <si>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</si>
  <si>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</si>
  <si>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</si>
  <si>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</si>
  <si>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</si>
  <si>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</si>
  <si>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</si>
  <si>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</si>
  <si>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</si>
  <si>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</si>
  <si>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</si>
  <si>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</si>
  <si>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</si>
  <si>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</si>
  <si>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</si>
  <si>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</si>
  <si>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</si>
  <si>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</si>
  <si>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</si>
  <si>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</si>
  <si>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</si>
  <si>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</si>
  <si>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</si>
  <si>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</si>
  <si>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</si>
  <si>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</si>
  <si>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</si>
  <si>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</si>
  <si>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</si>
  <si>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</si>
  <si>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</si>
  <si>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</si>
  <si>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</si>
  <si>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</si>
  <si>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</si>
  <si>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</si>
  <si>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</si>
  <si>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</si>
  <si>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</si>
  <si>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</si>
  <si>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</si>
  <si>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</si>
  <si>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</si>
  <si>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</si>
  <si>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</si>
  <si>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</si>
  <si>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</si>
  <si>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</si>
  <si>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</si>
  <si>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</si>
  <si>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</si>
  <si>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</si>
  <si>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</si>
  <si>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</si>
  <si>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</si>
  <si>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</si>
  <si>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</si>
  <si>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</si>
  <si>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</si>
  <si>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</si>
  <si>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</si>
  <si>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</si>
  <si>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</si>
  <si>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</si>
  <si>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</si>
  <si>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</si>
  <si>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</si>
  <si>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</si>
  <si>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</si>
  <si>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</si>
  <si>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</si>
  <si>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</si>
  <si>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</si>
  <si>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</si>
  <si>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</si>
  <si>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</si>
  <si>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</si>
  <si>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</si>
  <si>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</si>
  <si>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</si>
  <si>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</si>
  <si>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</si>
  <si>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</si>
  <si>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</si>
  <si>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</si>
  <si>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</si>
  <si>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</si>
  <si>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</si>
  <si>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</si>
  <si>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</si>
  <si>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</si>
  <si>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</si>
  <si>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</si>
  <si>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</si>
  <si>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</si>
  <si>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</si>
  <si>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</si>
  <si>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</si>
  <si>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</si>
  <si>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</si>
  <si>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</si>
  <si>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</si>
  <si>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</si>
  <si>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</si>
  <si>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</si>
  <si>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</si>
  <si>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</si>
  <si>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</si>
  <si>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</si>
  <si>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</si>
  <si>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</si>
  <si>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</si>
  <si>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</si>
  <si>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</si>
  <si>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</si>
  <si>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</si>
  <si>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</si>
  <si>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</si>
  <si>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</si>
  <si>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</si>
  <si>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</si>
  <si>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</si>
  <si>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</si>
  <si>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</si>
  <si>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</si>
  <si>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</si>
  <si>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</si>
  <si>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</si>
  <si>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</si>
  <si>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</si>
  <si>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</si>
  <si>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</si>
  <si>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</si>
  <si>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</si>
  <si>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</si>
  <si>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</si>
  <si>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</si>
  <si>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</si>
  <si>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</si>
  <si>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</si>
  <si>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</si>
  <si>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</si>
  <si>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</si>
  <si>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</si>
  <si>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</si>
  <si>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</si>
  <si>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</si>
  <si>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</si>
  <si>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</si>
  <si>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</si>
  <si>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</si>
  <si>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</si>
  <si>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</si>
  <si>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</si>
  <si>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</si>
  <si>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</si>
  <si>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</si>
  <si>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</si>
  <si>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</si>
  <si>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</si>
  <si>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</si>
  <si>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</si>
  <si>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</si>
  <si>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</si>
  <si>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</si>
  <si>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</si>
  <si>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</si>
  <si>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</si>
  <si>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</si>
  <si>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</si>
  <si>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</si>
  <si>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</si>
  <si>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</si>
  <si>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</si>
  <si>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</si>
  <si>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</si>
  <si>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</si>
  <si>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</si>
  <si>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</si>
  <si>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</si>
  <si>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</si>
  <si>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</si>
  <si>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</si>
  <si>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</si>
  <si>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</si>
  <si>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</si>
  <si>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</si>
  <si>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</si>
  <si>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</si>
  <si>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</si>
  <si>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</si>
  <si>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</si>
  <si>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</si>
  <si>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</si>
  <si>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</si>
  <si>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</si>
  <si>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</si>
  <si>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</si>
  <si>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</si>
  <si>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</si>
  <si>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</si>
  <si>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</si>
  <si>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</si>
  <si>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</si>
  <si>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</si>
  <si>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</si>
  <si>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</si>
  <si>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</si>
  <si>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</si>
  <si>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</si>
  <si>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</si>
  <si>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</si>
  <si>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</si>
  <si>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</si>
  <si>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</si>
  <si>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</si>
  <si>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</si>
  <si>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</si>
  <si>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</si>
  <si>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</si>
  <si>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</si>
  <si>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</si>
  <si>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</si>
  <si>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</si>
  <si>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</si>
  <si>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</si>
  <si>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</si>
  <si>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</si>
  <si>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</si>
  <si>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</si>
  <si>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</si>
  <si>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</si>
  <si>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</si>
  <si>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</si>
  <si>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</si>
  <si>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</si>
  <si>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</si>
  <si>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</si>
  <si>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</si>
  <si>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</si>
  <si>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</si>
  <si>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</si>
  <si>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</si>
  <si>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</si>
  <si>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</si>
  <si>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</si>
  <si>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</si>
  <si>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</si>
  <si>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</si>
  <si>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</si>
  <si>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</si>
  <si>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</si>
  <si>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</si>
  <si>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</si>
  <si>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</si>
  <si>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</si>
  <si>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</si>
  <si>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</si>
  <si>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</si>
  <si>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</si>
  <si>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</si>
  <si>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</si>
  <si>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</si>
  <si>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</si>
  <si>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</si>
  <si>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</si>
  <si>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</si>
  <si>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</si>
  <si>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</si>
  <si>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</si>
  <si>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</si>
  <si>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</si>
  <si>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</si>
  <si>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</si>
  <si>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</si>
  <si>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</si>
  <si>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</si>
  <si>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</si>
  <si>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</si>
  <si>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</si>
  <si>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</si>
  <si>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</si>
  <si>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</si>
  <si>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</si>
  <si>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</si>
  <si>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</si>
  <si>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</si>
  <si>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</si>
  <si>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</si>
  <si>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</si>
  <si>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</si>
  <si>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</si>
  <si>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</si>
  <si>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</si>
  <si>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</si>
  <si>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</si>
  <si>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</si>
  <si>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</si>
  <si>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</si>
  <si>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</si>
  <si>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</si>
  <si>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</si>
  <si>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</si>
  <si>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</si>
  <si>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</si>
  <si>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</si>
  <si>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</si>
  <si>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</si>
  <si>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</si>
  <si>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</si>
  <si>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</si>
  <si>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</si>
  <si>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</si>
  <si>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</si>
  <si>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</si>
  <si>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</si>
  <si>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</si>
  <si>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</si>
  <si>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</si>
  <si>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</si>
  <si>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</si>
  <si>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</si>
  <si>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</si>
  <si>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</si>
  <si>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</si>
  <si>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</si>
  <si>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</si>
  <si>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</si>
  <si>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</si>
  <si>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</si>
  <si>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</si>
  <si>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</si>
  <si>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</si>
  <si>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</si>
  <si>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</si>
  <si>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</si>
  <si>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</si>
  <si>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</si>
  <si>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</si>
  <si>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</si>
  <si>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</si>
  <si>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</si>
  <si>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</si>
  <si>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</si>
  <si>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</si>
  <si>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</si>
  <si>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</si>
  <si>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</si>
  <si>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</si>
  <si>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</si>
  <si>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</si>
  <si>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</si>
  <si>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</si>
  <si>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</si>
  <si>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</si>
  <si>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</si>
  <si>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</si>
  <si>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</si>
  <si>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</si>
  <si>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</si>
  <si>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</si>
  <si>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</si>
  <si>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</si>
  <si>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</si>
  <si>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</si>
  <si>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</si>
  <si>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</si>
  <si>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</si>
  <si>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</si>
  <si>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</si>
  <si>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</si>
  <si>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</si>
  <si>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</si>
  <si>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</si>
  <si>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</si>
  <si>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</si>
  <si>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</si>
  <si>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</si>
  <si>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</si>
  <si>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</si>
  <si>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</si>
  <si>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</si>
  <si>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</si>
  <si>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</si>
  <si>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</si>
  <si>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</si>
  <si>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</si>
  <si>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</si>
  <si>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</si>
  <si>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</si>
  <si>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</si>
  <si>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</si>
  <si>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</si>
  <si>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</si>
  <si>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</si>
  <si>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</si>
  <si>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</si>
  <si>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</si>
  <si>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</si>
  <si>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</si>
  <si>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</si>
  <si>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</si>
  <si>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</si>
  <si>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</si>
  <si>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</si>
  <si>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</si>
  <si>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</si>
  <si>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</si>
  <si>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</si>
  <si>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</si>
  <si>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</si>
  <si>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</si>
  <si>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</si>
  <si>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</si>
  <si>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</si>
  <si>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</si>
  <si>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</si>
  <si>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</si>
  <si>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</si>
  <si>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</si>
  <si>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</si>
  <si>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</si>
  <si>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</si>
  <si>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</si>
  <si>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</si>
  <si>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</si>
  <si>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</si>
  <si>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</si>
  <si>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</si>
  <si>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</si>
  <si>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</si>
  <si>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</si>
  <si>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</si>
  <si>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</si>
  <si>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</si>
  <si>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</si>
  <si>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</si>
  <si>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</si>
  <si>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</si>
  <si>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</si>
  <si>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</si>
  <si>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</si>
  <si>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</si>
  <si>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</si>
  <si>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</si>
  <si>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</si>
  <si>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</si>
  <si>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</si>
  <si>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</si>
  <si>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</si>
  <si>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</si>
  <si>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</si>
  <si>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</si>
  <si>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</si>
  <si>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</si>
  <si>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</si>
  <si>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</si>
  <si>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</si>
  <si>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</si>
  <si>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</si>
  <si>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</si>
  <si>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</si>
  <si>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</si>
  <si>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</si>
  <si>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</si>
  <si>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</si>
  <si>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</si>
  <si>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</si>
  <si>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</si>
  <si>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</si>
  <si>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</si>
  <si>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</si>
  <si>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</si>
  <si>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</si>
  <si>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</si>
  <si>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</si>
  <si>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</si>
  <si>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</si>
  <si>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</si>
  <si>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</si>
  <si>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</si>
  <si>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</si>
  <si>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</si>
  <si>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</si>
  <si>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</si>
  <si>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</si>
  <si>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</si>
  <si>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</si>
  <si>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</si>
  <si>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</si>
  <si>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</si>
  <si>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</si>
  <si>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</si>
  <si>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</si>
  <si>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</si>
  <si>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</si>
  <si>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</si>
  <si>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</si>
  <si>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</si>
  <si>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</si>
  <si>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</si>
  <si>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</si>
  <si>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</si>
  <si>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</si>
  <si>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</si>
  <si>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</si>
  <si>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</si>
  <si>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</si>
  <si>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</si>
  <si>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</si>
  <si>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</si>
  <si>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</si>
  <si>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</si>
  <si>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</si>
  <si>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</si>
  <si>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</si>
  <si>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</si>
  <si>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</si>
  <si>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</si>
  <si>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</si>
  <si>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</si>
  <si>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</si>
  <si>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</si>
  <si>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</si>
  <si>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</si>
  <si>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</si>
  <si>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</si>
  <si>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</si>
  <si>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</si>
  <si>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</si>
  <si>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</si>
  <si>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</si>
  <si>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</si>
  <si>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</si>
  <si>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</si>
  <si>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</si>
  <si>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</si>
  <si>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</si>
  <si>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</si>
  <si>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</si>
  <si>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</si>
  <si>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</si>
  <si>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</si>
  <si>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</si>
  <si>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</si>
  <si>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</si>
  <si>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</si>
  <si>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</si>
  <si>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</si>
  <si>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</si>
  <si>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</si>
  <si>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</si>
  <si>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</si>
  <si>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</si>
  <si>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</si>
  <si>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</si>
  <si>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</si>
  <si>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</si>
  <si>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</si>
  <si>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</si>
  <si>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</si>
  <si>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</si>
  <si>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</si>
  <si>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</si>
  <si>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</si>
  <si>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</si>
  <si>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</si>
  <si>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</si>
  <si>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</si>
  <si>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</si>
  <si>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</si>
  <si>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</si>
  <si>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</si>
  <si>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</si>
  <si>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</si>
  <si>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</si>
  <si>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</si>
  <si>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</si>
  <si>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</si>
  <si>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</si>
  <si>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</si>
  <si>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</si>
  <si>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</si>
  <si>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</si>
  <si>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</si>
  <si>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</si>
  <si>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</si>
  <si>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</si>
  <si>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</si>
  <si>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</si>
  <si>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</si>
  <si>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</si>
  <si>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</si>
  <si>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</si>
  <si>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</si>
  <si>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</si>
  <si>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</si>
  <si>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</si>
  <si>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</si>
  <si>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</si>
  <si>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</si>
  <si>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</si>
  <si>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</si>
  <si>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</si>
  <si>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</si>
  <si>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</si>
  <si>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</si>
  <si>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</si>
  <si>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</si>
  <si>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</si>
  <si>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</si>
  <si>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</si>
  <si>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</si>
  <si>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</si>
  <si>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</si>
  <si>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</si>
  <si>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</si>
  <si>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</si>
  <si>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</si>
  <si>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</si>
  <si>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</si>
  <si>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</si>
  <si>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</si>
  <si>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</si>
  <si>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</si>
  <si>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</si>
  <si>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</si>
  <si>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</si>
  <si>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</si>
  <si>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</si>
  <si>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</si>
  <si>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</si>
  <si>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</si>
  <si>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</si>
  <si>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</si>
  <si>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</si>
  <si>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</si>
  <si>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</si>
  <si>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</si>
  <si>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</si>
  <si>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</si>
  <si>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</si>
  <si>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</si>
  <si>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</si>
  <si>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</si>
  <si>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</si>
  <si>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</si>
  <si>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</si>
  <si>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</si>
  <si>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</si>
  <si>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</si>
  <si>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</si>
  <si>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</si>
  <si>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</si>
  <si>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</si>
  <si>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</si>
  <si>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</si>
  <si>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</si>
  <si>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</si>
  <si>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</si>
  <si>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</si>
  <si>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</si>
  <si>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</si>
  <si>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</si>
  <si>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</si>
  <si>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</si>
  <si>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</si>
  <si>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</si>
  <si>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</si>
  <si>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</si>
  <si>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</si>
  <si>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</si>
  <si>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</si>
  <si>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</si>
  <si>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</si>
  <si>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</si>
  <si>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</si>
  <si>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</si>
  <si>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</si>
  <si>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</si>
  <si>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</si>
  <si>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</si>
  <si>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</si>
  <si>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</si>
  <si>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</si>
  <si>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</si>
  <si>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</si>
  <si>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</si>
  <si>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</si>
  <si>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</si>
  <si>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</si>
  <si>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</si>
  <si>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</si>
  <si>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</si>
  <si>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</si>
  <si>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</si>
  <si>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</si>
  <si>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</si>
  <si>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</si>
  <si>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</si>
  <si>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</si>
  <si>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</si>
  <si>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</si>
  <si>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</si>
  <si>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</si>
  <si>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</si>
  <si>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</si>
  <si>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</si>
  <si>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</si>
  <si>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</si>
  <si>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</si>
  <si>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</si>
  <si>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</si>
  <si>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</si>
  <si>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</si>
  <si>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</si>
  <si>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</si>
  <si>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</si>
  <si>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</si>
  <si>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</si>
  <si>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</si>
  <si>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</si>
  <si>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</si>
  <si>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</si>
  <si>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</si>
  <si>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</si>
  <si>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</si>
  <si>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</si>
  <si>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</si>
  <si>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</si>
  <si>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</si>
  <si>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</si>
  <si>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</si>
  <si>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</si>
  <si>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</si>
  <si>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</si>
  <si>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</si>
  <si>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</si>
  <si>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</si>
  <si>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</si>
  <si>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</si>
  <si>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</si>
  <si>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</si>
  <si>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</si>
  <si>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</si>
  <si>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</si>
  <si>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</si>
  <si>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</si>
  <si>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</si>
  <si>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</si>
  <si>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</si>
  <si>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</si>
  <si>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</si>
  <si>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</si>
  <si>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</si>
  <si>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</si>
  <si>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</si>
  <si>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</si>
  <si>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</si>
  <si>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</si>
  <si>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</si>
  <si>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</si>
  <si>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</si>
  <si>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</si>
  <si>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</si>
  <si>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</si>
  <si>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</si>
  <si>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</si>
  <si>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</si>
  <si>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</si>
  <si>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</si>
  <si>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</si>
  <si>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</si>
  <si>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</si>
  <si>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</si>
  <si>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</si>
  <si>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</si>
  <si>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</si>
  <si>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</si>
  <si>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</si>
  <si>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</si>
  <si>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</si>
  <si>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</si>
  <si>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</si>
  <si>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</si>
  <si>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</si>
  <si>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</si>
  <si>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</si>
  <si>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</si>
  <si>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</si>
  <si>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</si>
  <si>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</si>
  <si>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</si>
  <si>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</si>
  <si>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</si>
  <si>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</si>
  <si>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</si>
  <si>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</si>
  <si>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</si>
  <si>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</si>
  <si>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</si>
  <si>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</si>
  <si>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</si>
  <si>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</si>
  <si>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</si>
  <si>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</si>
  <si>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</si>
  <si>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</si>
  <si>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</si>
  <si>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</si>
  <si>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</si>
  <si>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</si>
  <si>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</si>
  <si>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</si>
  <si>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</si>
  <si>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</si>
  <si>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</si>
  <si>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</si>
  <si>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</si>
  <si>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</si>
  <si>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</si>
  <si>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</si>
  <si>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</si>
  <si>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</si>
  <si>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</si>
  <si>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</si>
  <si>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</si>
  <si>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</si>
  <si>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</si>
  <si>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</si>
  <si>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</si>
  <si>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</si>
  <si>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</si>
  <si>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</si>
  <si>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</si>
  <si>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</si>
  <si>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</si>
  <si>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</si>
  <si>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</si>
  <si>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</si>
  <si>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</si>
  <si>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</si>
  <si>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</si>
  <si>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</si>
  <si>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</si>
  <si>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</si>
  <si>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</si>
  <si>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</si>
  <si>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</si>
  <si>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</si>
  <si>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</si>
  <si>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</si>
  <si>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</si>
  <si>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</si>
  <si>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</si>
  <si>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</si>
  <si>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</si>
  <si>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</si>
  <si>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</si>
  <si>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</si>
  <si>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</si>
  <si>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</si>
  <si>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</si>
  <si>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</si>
  <si>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</si>
  <si>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</si>
  <si>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</si>
  <si>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</si>
  <si>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</si>
  <si>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</si>
  <si>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</si>
  <si>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</si>
  <si>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</si>
  <si>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</si>
  <si>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</si>
  <si>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</si>
  <si>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</si>
  <si>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</si>
  <si>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</si>
  <si>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</si>
  <si>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</si>
  <si>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</si>
  <si>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</si>
  <si>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</si>
  <si>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</si>
  <si>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</si>
  <si>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</si>
  <si>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</si>
  <si>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</si>
  <si>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</si>
  <si>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</si>
  <si>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</si>
  <si>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</si>
  <si>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</si>
  <si>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</si>
  <si>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</si>
  <si>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</si>
  <si>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</si>
  <si>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</si>
  <si>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</si>
  <si>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</si>
  <si>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</si>
  <si>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</si>
  <si>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</si>
  <si>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</si>
  <si>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</si>
  <si>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</si>
  <si>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</si>
  <si>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</si>
  <si>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</si>
  <si>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</si>
  <si>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</si>
  <si>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</si>
  <si>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</si>
  <si>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</si>
  <si>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</si>
  <si>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</si>
  <si>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</si>
  <si>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</si>
  <si>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</si>
  <si>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</si>
  <si>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</si>
  <si>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</si>
  <si>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</si>
  <si>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</si>
  <si>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</si>
  <si>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</si>
  <si>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</si>
  <si>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</si>
  <si>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</si>
  <si>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</si>
  <si>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</si>
  <si>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</si>
  <si>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</si>
  <si>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</si>
  <si>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</si>
  <si>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</si>
  <si>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</si>
  <si>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</si>
  <si>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</si>
  <si>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</si>
  <si>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</si>
  <si>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</si>
  <si>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</si>
  <si>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</si>
  <si>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</si>
  <si>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</si>
  <si>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</si>
  <si>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</si>
  <si>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</si>
  <si>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</si>
  <si>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</si>
  <si>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</si>
  <si>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</si>
  <si>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</si>
  <si>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</si>
  <si>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</si>
  <si>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</si>
  <si>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</si>
  <si>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</si>
  <si>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</si>
  <si>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</si>
  <si>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</si>
  <si>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</si>
  <si>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</si>
  <si>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</si>
  <si>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</si>
  <si>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</si>
  <si>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</si>
  <si>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</si>
  <si>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</si>
  <si>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</si>
  <si>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</si>
  <si>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</si>
  <si>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</si>
  <si>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</si>
  <si>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</si>
  <si>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</si>
  <si>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</si>
  <si>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</si>
  <si>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</si>
  <si>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</si>
  <si>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</si>
  <si>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</si>
  <si>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</si>
  <si>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</si>
  <si>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</si>
  <si>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</si>
  <si>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</si>
  <si>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</si>
  <si>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</si>
  <si>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</si>
  <si>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</si>
  <si>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</si>
  <si>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</si>
  <si>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</si>
  <si>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</si>
  <si>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</si>
  <si>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</si>
  <si>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</si>
  <si>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</si>
  <si>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</si>
  <si>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</si>
  <si>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</si>
  <si>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</si>
  <si>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</si>
  <si>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</si>
  <si>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</si>
  <si>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</si>
  <si>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</si>
  <si>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</si>
  <si>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</si>
  <si>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</si>
  <si>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</si>
  <si>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</si>
  <si>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</si>
  <si>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</si>
  <si>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</si>
  <si>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</si>
  <si>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</si>
  <si>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</si>
  <si>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</si>
  <si>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</si>
  <si>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</si>
  <si>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</si>
  <si>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</si>
  <si>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</si>
  <si>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</si>
  <si>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</si>
  <si>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</si>
  <si>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</si>
  <si>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</si>
  <si>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</si>
  <si>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</si>
  <si>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</si>
  <si>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</si>
  <si>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</si>
  <si>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</si>
  <si>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</si>
  <si>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</si>
  <si>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</si>
  <si>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</si>
  <si>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</si>
  <si>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</si>
  <si>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</si>
  <si>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</si>
  <si>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</si>
  <si>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</si>
  <si>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</si>
  <si>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</si>
  <si>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</si>
  <si>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</si>
  <si>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</si>
  <si>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</si>
  <si>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</si>
  <si>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</si>
  <si>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</si>
  <si>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</si>
  <si>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</si>
  <si>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</si>
  <si>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</si>
  <si>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</si>
  <si>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</si>
  <si>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</si>
  <si>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</si>
  <si>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</si>
  <si>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</si>
  <si>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</si>
  <si>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</si>
  <si>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</si>
  <si>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</si>
  <si>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</si>
  <si>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</si>
  <si>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</si>
  <si>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</si>
  <si>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</si>
  <si>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</si>
  <si>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</si>
  <si>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</si>
  <si>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</si>
  <si>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</si>
  <si>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</si>
  <si>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</si>
  <si>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</si>
  <si>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</si>
  <si>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</si>
  <si>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</si>
  <si>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</si>
  <si>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</si>
  <si>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</si>
  <si>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</si>
  <si>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</si>
  <si>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</si>
  <si>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</si>
  <si>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</si>
  <si>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</si>
  <si>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</si>
  <si>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</si>
  <si>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</si>
  <si>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</si>
  <si>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</si>
  <si>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</si>
  <si>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</si>
  <si>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</si>
  <si>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</si>
  <si>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</si>
  <si>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</si>
  <si>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</si>
  <si>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</si>
  <si>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</si>
  <si>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</si>
  <si>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</si>
  <si>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</si>
  <si>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</si>
  <si>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</si>
  <si>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</si>
  <si>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</si>
  <si>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</si>
  <si>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</si>
  <si>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</si>
  <si>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</si>
  <si>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</si>
  <si>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</si>
  <si>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</si>
  <si>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</si>
  <si>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</si>
  <si>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</si>
  <si>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</si>
  <si>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</si>
  <si>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</si>
  <si>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</si>
  <si>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</si>
  <si>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</si>
  <si>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</si>
  <si>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</si>
  <si>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</si>
  <si>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</si>
  <si>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</si>
  <si>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</si>
  <si>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</si>
  <si>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</si>
  <si>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</si>
  <si>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</si>
  <si>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</si>
  <si>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</si>
  <si>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</si>
  <si>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</si>
  <si>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</si>
  <si>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</si>
  <si>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</si>
  <si>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</si>
  <si>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</si>
  <si>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</si>
  <si>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</si>
  <si>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</si>
  <si>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</si>
  <si>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</si>
  <si>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</si>
  <si>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</si>
  <si>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</si>
  <si>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</si>
  <si>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</si>
  <si>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</si>
  <si>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</si>
  <si>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</si>
  <si>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</si>
  <si>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</si>
  <si>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</si>
  <si>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</si>
  <si>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</si>
  <si>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</si>
  <si>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</si>
  <si>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</si>
  <si>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</si>
  <si>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</si>
  <si>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</si>
  <si>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</si>
  <si>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</si>
  <si>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</si>
  <si>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</si>
  <si>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</si>
  <si>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</si>
  <si>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</si>
  <si>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</si>
  <si>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</si>
  <si>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</si>
  <si>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</si>
  <si>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</si>
  <si>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</si>
  <si>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</si>
  <si>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</si>
  <si>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</si>
  <si>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</si>
  <si>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</si>
  <si>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</si>
  <si>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</si>
  <si>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</si>
  <si>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</si>
  <si>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</si>
  <si>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</si>
  <si>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</si>
  <si>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</si>
  <si>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</si>
  <si>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</si>
  <si>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</si>
  <si>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</si>
  <si>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</si>
  <si>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</si>
  <si>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</si>
  <si>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</si>
  <si>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</si>
  <si>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</si>
  <si>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</si>
  <si>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</si>
  <si>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</si>
  <si>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</si>
  <si>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</si>
  <si>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</si>
  <si>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</si>
  <si>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</si>
  <si>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</si>
  <si>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</si>
  <si>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</si>
  <si>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</si>
  <si>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</si>
  <si>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</si>
  <si>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</si>
  <si>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</si>
  <si>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</si>
  <si>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</si>
  <si>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</si>
  <si>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</si>
  <si>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</si>
  <si>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</si>
  <si>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</si>
  <si>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</si>
  <si>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</si>
  <si>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</si>
  <si>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</si>
  <si>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</si>
  <si>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</si>
  <si>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</si>
  <si>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</si>
  <si>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</si>
  <si>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</si>
  <si>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</si>
  <si>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</si>
  <si>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</si>
  <si>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</si>
  <si>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</si>
  <si>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</si>
  <si>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</si>
  <si>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</si>
  <si>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</si>
  <si>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</si>
  <si>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</si>
  <si>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</si>
  <si>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</si>
  <si>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</si>
  <si>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</si>
  <si>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</si>
  <si>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</si>
  <si>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</si>
  <si>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</si>
  <si>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</si>
  <si>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</si>
  <si>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</si>
  <si>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</si>
  <si>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</si>
  <si>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</si>
  <si>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</si>
  <si>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</si>
  <si>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</si>
  <si>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</si>
  <si>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</si>
  <si>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</si>
  <si>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</si>
  <si>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</si>
  <si>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</si>
  <si>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</si>
  <si>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</si>
  <si>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</si>
  <si>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</si>
  <si>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</si>
  <si>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</si>
  <si>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</si>
  <si>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</si>
  <si>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</si>
  <si>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</si>
  <si>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</si>
  <si>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</si>
  <si>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</si>
  <si>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</si>
  <si>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</si>
  <si>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</si>
  <si>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</si>
  <si>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</si>
  <si>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</si>
  <si>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</si>
  <si>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</si>
  <si>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</si>
  <si>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</si>
  <si>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</si>
  <si>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</si>
  <si>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</si>
  <si>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</si>
  <si>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</si>
  <si>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</si>
  <si>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</si>
  <si>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</si>
  <si>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</si>
  <si>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</si>
  <si>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</si>
  <si>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</si>
  <si>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</si>
  <si>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</si>
  <si>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</si>
  <si>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</si>
  <si>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</si>
  <si>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</si>
  <si>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</si>
  <si>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</si>
  <si>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</si>
  <si>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</si>
  <si>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</si>
  <si>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</si>
  <si>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</si>
  <si>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</si>
  <si>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</si>
  <si>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</si>
  <si>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</si>
  <si>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</si>
  <si>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</si>
  <si>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</si>
  <si>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</si>
  <si>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</si>
  <si>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</si>
  <si>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</si>
  <si>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</si>
  <si>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</si>
  <si>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</si>
  <si>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</si>
  <si>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</si>
  <si>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</si>
  <si>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</si>
  <si>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</si>
  <si>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</si>
  <si>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</si>
  <si>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</si>
  <si>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</si>
  <si>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</si>
  <si>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</si>
  <si>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</si>
  <si>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</si>
  <si>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</si>
  <si>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</si>
  <si>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</si>
  <si>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</si>
  <si>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</si>
  <si>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</si>
  <si>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</si>
  <si>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</si>
  <si>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</si>
  <si>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</si>
  <si>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</si>
  <si>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</si>
  <si>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</si>
  <si>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</si>
  <si>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</si>
  <si>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</si>
  <si>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</si>
  <si>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</si>
  <si>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</si>
  <si>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</si>
  <si>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</si>
  <si>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</si>
  <si>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</si>
  <si>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</si>
  <si>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</si>
  <si>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</si>
  <si>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</si>
  <si>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</si>
  <si>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</si>
  <si>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</si>
  <si>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</si>
  <si>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</si>
  <si>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</si>
  <si>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</si>
  <si>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</si>
  <si>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</si>
  <si>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</si>
  <si>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</si>
  <si>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</si>
  <si>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</si>
  <si>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</si>
  <si>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</si>
  <si>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</si>
  <si>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</si>
  <si>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</si>
  <si>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</si>
  <si>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</si>
  <si>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</si>
  <si>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</si>
  <si>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</si>
  <si>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</si>
  <si>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</si>
  <si>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</si>
  <si>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</si>
  <si>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</si>
  <si>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</si>
  <si>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</si>
  <si>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</si>
  <si>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</si>
  <si>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</si>
  <si>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</si>
  <si>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</si>
  <si>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</si>
  <si>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</si>
  <si>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</si>
  <si>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</si>
  <si>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</si>
  <si>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</si>
  <si>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</si>
  <si>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</si>
  <si>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</si>
  <si>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</si>
  <si>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</si>
  <si>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</si>
  <si>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</si>
  <si>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</si>
  <si>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</si>
  <si>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</si>
  <si>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</si>
  <si>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</si>
  <si>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</si>
  <si>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</si>
  <si>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</si>
  <si>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</si>
  <si>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</si>
  <si>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</si>
  <si>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</si>
  <si>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</si>
  <si>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</si>
  <si>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</si>
  <si>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</si>
  <si>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</si>
  <si>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</si>
  <si>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</si>
  <si>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</si>
  <si>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</si>
  <si>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</si>
  <si>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</si>
  <si>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</si>
  <si>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</si>
  <si>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</si>
  <si>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</si>
  <si>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</si>
  <si>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</si>
  <si>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</si>
  <si>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</si>
  <si>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</si>
  <si>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</si>
  <si>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</si>
  <si>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</si>
  <si>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</si>
  <si>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</si>
  <si>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</si>
  <si>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</si>
  <si>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</si>
  <si>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</si>
  <si>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</si>
  <si>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</si>
  <si>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</si>
  <si>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</si>
  <si>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</si>
  <si>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</si>
  <si>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</si>
  <si>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</si>
  <si>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</si>
  <si>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</si>
  <si>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</si>
  <si>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</si>
  <si>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</si>
  <si>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</si>
  <si>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</si>
  <si>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</si>
  <si>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</si>
  <si>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</si>
  <si>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</si>
  <si>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</si>
  <si>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</si>
  <si>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</si>
  <si>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</si>
  <si>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</si>
  <si>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</si>
  <si>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</si>
  <si>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</si>
  <si>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</si>
  <si>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</si>
  <si>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</si>
  <si>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</si>
  <si>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</si>
  <si>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</si>
  <si>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</si>
  <si>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</si>
  <si>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</si>
  <si>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</si>
  <si>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</si>
  <si>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</si>
  <si>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</si>
  <si>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</si>
  <si>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</si>
  <si>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</si>
  <si>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</si>
  <si>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</si>
  <si>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</si>
  <si>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</si>
  <si>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</si>
  <si>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</si>
  <si>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</si>
  <si>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</si>
  <si>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</si>
  <si>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</si>
  <si>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</si>
  <si>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</si>
  <si>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</si>
  <si>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</si>
  <si>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</si>
  <si>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</si>
  <si>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</si>
  <si>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</si>
  <si>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</si>
  <si>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</si>
  <si>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</si>
  <si>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</si>
  <si>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</si>
  <si>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</si>
  <si>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</si>
  <si>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</si>
  <si>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</si>
  <si>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</si>
  <si>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</si>
  <si>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</si>
  <si>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</si>
  <si>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</si>
  <si>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</si>
  <si>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</si>
  <si>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</si>
  <si>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</si>
  <si>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</si>
  <si>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</si>
  <si>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</si>
  <si>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</si>
  <si>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</si>
  <si>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</si>
  <si>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</si>
  <si>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</si>
  <si>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</si>
  <si>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</si>
  <si>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</si>
  <si>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</si>
  <si>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</si>
  <si>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</si>
  <si>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</si>
  <si>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</si>
  <si>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</si>
  <si>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</si>
  <si>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</si>
  <si>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</si>
  <si>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</si>
  <si>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</si>
  <si>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</si>
  <si>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</si>
  <si>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</si>
  <si>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</si>
  <si>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</si>
  <si>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</si>
  <si>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</si>
  <si>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</si>
  <si>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</si>
  <si>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</si>
  <si>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</si>
  <si>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</si>
  <si>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</si>
  <si>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</si>
  <si>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</si>
  <si>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</si>
  <si>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</si>
  <si>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</si>
  <si>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</si>
  <si>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</si>
  <si>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</si>
  <si>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</si>
  <si>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</si>
  <si>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</si>
  <si>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</si>
  <si>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</si>
  <si>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</si>
  <si>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</si>
  <si>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</si>
  <si>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</si>
  <si>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</si>
  <si>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</si>
  <si>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</si>
  <si>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</si>
  <si>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</si>
  <si>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</si>
  <si>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</si>
  <si>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</si>
  <si>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</si>
  <si>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</si>
  <si>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</si>
  <si>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</si>
  <si>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</si>
  <si>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</si>
  <si>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</si>
  <si>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</si>
  <si>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</si>
  <si>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</si>
  <si>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</si>
  <si>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</si>
  <si>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</si>
  <si>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</si>
  <si>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</si>
  <si>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</si>
  <si>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</si>
  <si>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</si>
  <si>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</si>
  <si>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</si>
  <si>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</si>
  <si>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</si>
  <si>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</si>
  <si>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</si>
  <si>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</si>
  <si>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</si>
  <si>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</si>
  <si>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</si>
  <si>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</si>
  <si>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</si>
  <si>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</si>
  <si>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</si>
  <si>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</si>
  <si>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</si>
  <si>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</si>
  <si>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</si>
  <si>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</si>
  <si>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</si>
  <si>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</si>
  <si>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</si>
  <si>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</si>
  <si>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</si>
  <si>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</si>
  <si>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</si>
  <si>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</si>
  <si>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</si>
  <si>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</si>
  <si>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</si>
  <si>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</si>
  <si>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</si>
  <si>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</si>
  <si>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</si>
  <si>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</si>
  <si>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</si>
  <si>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</si>
  <si>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</si>
  <si>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</si>
  <si>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</si>
  <si>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</si>
  <si>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</si>
  <si>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</si>
  <si>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</si>
  <si>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</si>
  <si>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</si>
  <si>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</si>
  <si>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</si>
  <si>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</si>
  <si>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</si>
  <si>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</si>
  <si>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</si>
  <si>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</si>
  <si>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</si>
  <si>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</si>
  <si>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</si>
  <si>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</si>
  <si>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</si>
  <si>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</si>
  <si>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</si>
  <si>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</si>
  <si>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</si>
  <si>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</si>
  <si>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</si>
  <si>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</si>
  <si>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</si>
  <si>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</si>
  <si>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</si>
  <si>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</si>
  <si>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</si>
  <si>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</si>
  <si>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</si>
  <si>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</si>
  <si>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</si>
  <si>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</si>
  <si>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</si>
  <si>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</si>
  <si>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</si>
  <si>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</si>
  <si>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</si>
  <si>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</si>
  <si>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</si>
  <si>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</si>
  <si>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</si>
  <si>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</si>
  <si>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</si>
  <si>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</si>
  <si>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</si>
  <si>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</si>
  <si>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</si>
  <si>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</si>
  <si>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</si>
  <si>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</si>
  <si>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</si>
  <si>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</si>
  <si>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</si>
  <si>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</si>
  <si>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</si>
  <si>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</si>
  <si>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</si>
  <si>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</si>
  <si>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</si>
  <si>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</si>
  <si>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</si>
  <si>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</si>
  <si>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</si>
  <si>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</si>
  <si>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</si>
  <si>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</si>
  <si>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</si>
  <si>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</si>
  <si>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</si>
  <si>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</si>
  <si>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</si>
  <si>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</si>
  <si>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</si>
  <si>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</si>
  <si>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</si>
  <si>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</si>
  <si>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</si>
  <si>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</si>
  <si>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</si>
  <si>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</si>
  <si>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</si>
  <si>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</si>
  <si>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</si>
  <si>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</si>
  <si>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</si>
  <si>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</si>
  <si>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</si>
  <si>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</si>
  <si>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</si>
  <si>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</si>
  <si>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</si>
  <si>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</si>
  <si>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</si>
  <si>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</si>
  <si>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</si>
  <si>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</si>
  <si>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</si>
  <si>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</si>
  <si>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</si>
  <si>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</si>
  <si>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</si>
  <si>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</si>
  <si>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</si>
  <si>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</si>
  <si>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</si>
  <si>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</si>
  <si>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</si>
  <si>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</si>
  <si>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</si>
  <si>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</si>
  <si>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</si>
  <si>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</si>
  <si>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</si>
  <si>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</si>
  <si>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</si>
  <si>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</si>
  <si>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</si>
  <si>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</si>
  <si>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</si>
  <si>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</si>
  <si>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</si>
  <si>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</si>
  <si>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</si>
  <si>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</si>
  <si>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</si>
  <si>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</si>
  <si>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</si>
  <si>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</si>
  <si>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</si>
  <si>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</si>
  <si>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</si>
  <si>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</si>
  <si>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</si>
  <si>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</si>
  <si>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</si>
  <si>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</si>
  <si>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</si>
  <si>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</si>
  <si>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</si>
  <si>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</si>
  <si>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</si>
  <si>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</si>
  <si>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</si>
  <si>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</si>
  <si>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</si>
  <si>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</si>
  <si>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</si>
  <si>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</si>
  <si>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</si>
  <si>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</si>
  <si>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</si>
  <si>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</si>
  <si>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</si>
  <si>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</si>
  <si>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</si>
  <si>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</si>
  <si>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</si>
  <si>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</si>
  <si>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</si>
  <si>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</si>
  <si>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</si>
  <si>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</si>
  <si>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</si>
  <si>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</si>
  <si>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</si>
  <si>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</si>
  <si>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</si>
  <si>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</si>
  <si>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</si>
  <si>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</si>
  <si>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</si>
  <si>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</si>
  <si>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</si>
  <si>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</si>
  <si>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</si>
  <si>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</si>
  <si>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</si>
  <si>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</si>
  <si>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</si>
  <si>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</si>
  <si>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</si>
  <si>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</si>
  <si>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</si>
  <si>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</si>
  <si>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</si>
  <si>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</si>
  <si>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</si>
  <si>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</si>
  <si>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</si>
  <si>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</si>
  <si>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</si>
  <si>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</si>
  <si>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</si>
  <si>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</si>
  <si>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</si>
  <si>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</si>
  <si>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</si>
  <si>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</si>
  <si>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</si>
  <si>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</si>
  <si>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</si>
  <si>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</si>
  <si>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</si>
  <si>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</si>
  <si>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</si>
  <si>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</si>
  <si>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</si>
  <si>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</si>
  <si>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</si>
  <si>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</si>
  <si>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</si>
  <si>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</si>
  <si>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</si>
  <si>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</si>
  <si>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</si>
  <si>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</si>
  <si>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</si>
  <si>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</si>
  <si>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</si>
  <si>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</si>
  <si>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</si>
  <si>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</si>
  <si>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</si>
  <si>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</si>
  <si>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</si>
  <si>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</si>
  <si>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</si>
  <si>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</si>
  <si>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</si>
  <si>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</si>
  <si>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</si>
  <si>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</si>
  <si>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</si>
  <si>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</si>
  <si>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</si>
  <si>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</si>
  <si>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</si>
  <si>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</si>
  <si>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</si>
  <si>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</si>
  <si>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</si>
  <si>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</si>
  <si>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</si>
  <si>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</si>
  <si>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</si>
  <si>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</si>
  <si>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</si>
  <si>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</si>
  <si>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</si>
  <si>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</si>
  <si>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</si>
  <si>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</si>
  <si>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</si>
  <si>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</si>
  <si>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</si>
  <si>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</si>
  <si>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</si>
  <si>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</si>
  <si>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</si>
  <si>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</si>
  <si>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</si>
  <si>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</si>
  <si>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</si>
  <si>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</si>
  <si>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</si>
  <si>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</si>
  <si>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</si>
  <si>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</si>
  <si>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</si>
  <si>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</si>
  <si>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</si>
  <si>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</si>
  <si>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</si>
  <si>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</si>
  <si>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</si>
  <si>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</si>
  <si>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</si>
  <si>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</si>
  <si>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</si>
  <si>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</si>
  <si>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</si>
  <si>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</si>
  <si>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</si>
  <si>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</si>
  <si>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</si>
  <si>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</si>
  <si>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</si>
  <si>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</si>
  <si>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</si>
  <si>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</si>
  <si>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</si>
  <si>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</si>
  <si>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</si>
  <si>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</si>
  <si>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</si>
  <si>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</si>
  <si>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</si>
  <si>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</si>
  <si>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</si>
  <si>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</si>
  <si>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</si>
  <si>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</si>
  <si>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</si>
  <si>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</si>
  <si>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</si>
  <si>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</si>
  <si>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</si>
  <si>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</si>
  <si>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</si>
  <si>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</si>
  <si>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</si>
  <si>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</si>
  <si>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</si>
  <si>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</si>
  <si>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</si>
  <si>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</si>
  <si>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</si>
  <si>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</si>
  <si>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</si>
  <si>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</si>
  <si>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</si>
  <si>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</si>
  <si>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</si>
  <si>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</si>
  <si>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</si>
  <si>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</si>
  <si>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</si>
  <si>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</si>
  <si>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</si>
  <si>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</si>
  <si>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</si>
  <si>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</si>
  <si>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</si>
  <si>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</si>
  <si>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</si>
  <si>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</si>
  <si>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</si>
  <si>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</si>
  <si>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</si>
  <si>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</si>
  <si>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</si>
  <si>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</si>
  <si>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</si>
  <si>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</si>
  <si>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</si>
  <si>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</si>
  <si>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</si>
  <si>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</si>
  <si>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</si>
  <si>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</si>
  <si>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</si>
  <si>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</si>
  <si>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</si>
  <si>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</si>
  <si>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</si>
  <si>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</si>
  <si>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</si>
  <si>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</si>
  <si>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</si>
  <si>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</si>
  <si>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</si>
  <si>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</si>
  <si>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</si>
  <si>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</si>
  <si>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</si>
  <si>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</si>
  <si>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</si>
  <si>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</si>
  <si>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</si>
  <si>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</si>
  <si>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</si>
  <si>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</si>
  <si>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</si>
  <si>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</si>
  <si>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</si>
  <si>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</si>
  <si>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</si>
  <si>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</si>
  <si>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</si>
  <si>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</si>
  <si>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</si>
  <si>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</si>
  <si>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</si>
  <si>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</si>
  <si>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</si>
  <si>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</si>
  <si>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</si>
  <si>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</si>
  <si>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</si>
  <si>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</si>
  <si>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</si>
  <si>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</si>
  <si>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</si>
  <si>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</si>
  <si>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</si>
  <si>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</si>
  <si>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</si>
  <si>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</si>
  <si>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</si>
  <si>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</si>
  <si>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</si>
  <si>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</si>
  <si>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</si>
  <si>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</si>
  <si>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</si>
  <si>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</si>
  <si>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</si>
  <si>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</si>
  <si>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</si>
  <si>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</si>
  <si>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</si>
  <si>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</si>
  <si>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</si>
  <si>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</si>
  <si>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</si>
  <si>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</si>
  <si>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</si>
  <si>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</si>
  <si>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</si>
  <si>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</si>
  <si>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</si>
  <si>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</si>
  <si>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</si>
  <si>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</si>
  <si>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</si>
  <si>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</si>
  <si>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</si>
  <si>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</si>
  <si>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</si>
  <si>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</si>
  <si>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</si>
  <si>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</si>
  <si>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</si>
  <si>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</si>
  <si>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</si>
  <si>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</si>
  <si>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</si>
  <si>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</si>
  <si>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</si>
  <si>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</si>
  <si>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</si>
  <si>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</si>
  <si>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</si>
  <si>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</si>
  <si>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</si>
  <si>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</si>
  <si>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</si>
  <si>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</si>
  <si>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</si>
  <si>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</si>
  <si>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</si>
  <si>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</si>
  <si>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</si>
  <si>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</si>
  <si>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</si>
  <si>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</si>
  <si>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</si>
  <si>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</si>
  <si>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</si>
  <si>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</si>
  <si>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</si>
  <si>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</si>
  <si>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</si>
  <si>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</si>
  <si>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</si>
  <si>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</si>
  <si>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</si>
  <si>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</si>
  <si>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</si>
  <si>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</si>
  <si>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</si>
  <si>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</si>
  <si>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</si>
  <si>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</si>
  <si>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</si>
  <si>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</si>
  <si>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TSO001120080</t>
  </si>
  <si>
    <t>TSO001120086</t>
  </si>
  <si>
    <t>TSO001120102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</si>
  <si>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</si>
  <si>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</si>
  <si>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</si>
  <si>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</si>
  <si>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</si>
  <si>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</si>
  <si>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</si>
  <si>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</si>
  <si>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</si>
  <si>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</si>
  <si>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</si>
  <si>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</si>
  <si>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</si>
  <si>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</si>
  <si>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</si>
  <si>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</si>
  <si>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</si>
  <si>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</si>
  <si>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</si>
  <si>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</si>
  <si>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</si>
  <si>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</si>
  <si>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</si>
  <si>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</si>
  <si>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</si>
  <si>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</si>
  <si>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</si>
  <si>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</si>
  <si>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</si>
  <si>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</si>
  <si>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отгружен</t>
  </si>
  <si>
    <t>15,09,26</t>
  </si>
  <si>
    <t>TSO001120838</t>
  </si>
  <si>
    <t>TSO001120857</t>
  </si>
  <si>
    <t>TSO001120985</t>
  </si>
  <si>
    <t>TSO001121014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</si>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</sst>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0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45" fillId="0" borderId="0" xfId="0" applyFont="1" applyFill="1" applyAlignment="1">
      <alignment horizontal="left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77"/>
  <sheetViews>
    <sheetView tabSelected="1" zoomScale="70" zoomScaleNormal="70" workbookViewId="0">
      <pane ySplit="2" topLeftCell="A7243" activePane="bottomLeft" state="frozen"/>
      <selection pane="bottomLeft" activeCell="L7267" sqref="L726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66" t="s">
        <v>0</v>
      </c>
      <c r="B1" s="1066"/>
      <c r="C1" s="1066"/>
      <c r="D1" s="1066"/>
      <c r="E1" s="1066"/>
      <c r="F1" s="1066"/>
      <c r="G1" s="1066"/>
      <c r="H1" s="1066"/>
      <c r="I1" s="1066"/>
      <c r="J1" s="106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7">
        <v>1</v>
      </c>
      <c r="B3" s="106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7"/>
      <c r="B4" s="106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3">
        <v>3</v>
      </c>
      <c r="B6" s="106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3"/>
      <c r="B7" s="106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3"/>
      <c r="B8" s="106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3">
        <v>5</v>
      </c>
      <c r="B10" s="106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3"/>
      <c r="B11" s="106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1">
        <v>8</v>
      </c>
      <c r="B14" s="106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1"/>
      <c r="B15" s="106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3">
        <v>11</v>
      </c>
      <c r="B18" s="106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3"/>
      <c r="B19" s="106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3"/>
      <c r="B20" s="106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3"/>
      <c r="B21" s="106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3">
        <v>13</v>
      </c>
      <c r="B23" s="106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3"/>
      <c r="B24" s="106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1">
        <v>14</v>
      </c>
      <c r="B25" s="106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1"/>
      <c r="B26" s="106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3">
        <v>15</v>
      </c>
      <c r="B27" s="106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3"/>
      <c r="B28" s="106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3"/>
      <c r="B29" s="106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3"/>
      <c r="B30" s="106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1">
        <v>16</v>
      </c>
      <c r="B31" s="106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1"/>
      <c r="B32" s="106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1"/>
      <c r="B33" s="106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1"/>
      <c r="B34" s="106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3">
        <v>17</v>
      </c>
      <c r="B35" s="106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3"/>
      <c r="B36" s="106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3">
        <v>21</v>
      </c>
      <c r="B40" s="106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3"/>
      <c r="B41" s="106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3">
        <v>23</v>
      </c>
      <c r="B43" s="106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3"/>
      <c r="B44" s="106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3"/>
      <c r="B45" s="106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1">
        <v>24</v>
      </c>
      <c r="B46" s="106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1"/>
      <c r="B47" s="106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3">
        <v>25</v>
      </c>
      <c r="B48" s="106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3"/>
      <c r="B49" s="106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3"/>
      <c r="B50" s="106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1">
        <v>26</v>
      </c>
      <c r="B51" s="106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1"/>
      <c r="B52" s="106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3">
        <v>29</v>
      </c>
      <c r="B55" s="106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3"/>
      <c r="B56" s="106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1">
        <v>32</v>
      </c>
      <c r="B59" s="106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1"/>
      <c r="B60" s="106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1">
        <v>34</v>
      </c>
      <c r="B62" s="106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1"/>
      <c r="B63" s="106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1"/>
      <c r="B64" s="106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1"/>
      <c r="B65" s="106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1"/>
      <c r="B66" s="106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3">
        <v>35</v>
      </c>
      <c r="B67" s="106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3"/>
      <c r="B68" s="106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8">
        <v>40</v>
      </c>
      <c r="B73" s="106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8"/>
      <c r="B74" s="106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7">
        <v>41</v>
      </c>
      <c r="B75" s="106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7"/>
      <c r="B76" s="106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7"/>
      <c r="B77" s="106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8">
        <v>42</v>
      </c>
      <c r="B78" s="106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8"/>
      <c r="B79" s="106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7">
        <v>49</v>
      </c>
      <c r="B86" s="106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7"/>
      <c r="B87" s="106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7"/>
      <c r="B88" s="106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8">
        <v>50</v>
      </c>
      <c r="B89" s="106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8"/>
      <c r="B90" s="106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7">
        <v>51</v>
      </c>
      <c r="B91" s="106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7"/>
      <c r="B92" s="106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7">
        <v>53</v>
      </c>
      <c r="B94" s="106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7"/>
      <c r="B95" s="106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8">
        <v>54</v>
      </c>
      <c r="B96" s="106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8"/>
      <c r="B97" s="106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8"/>
      <c r="B98" s="106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8">
        <v>58</v>
      </c>
      <c r="B102" s="106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8"/>
      <c r="B103" s="106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8">
        <v>60</v>
      </c>
      <c r="B105" s="106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8"/>
      <c r="B106" s="106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8"/>
      <c r="B107" s="106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7">
        <v>61</v>
      </c>
      <c r="B108" s="106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7"/>
      <c r="B109" s="106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7"/>
      <c r="B110" s="106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8">
        <v>64</v>
      </c>
      <c r="B113" s="106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8"/>
      <c r="B114" s="106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8">
        <v>66</v>
      </c>
      <c r="B116" s="106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8"/>
      <c r="B117" s="106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7">
        <v>67</v>
      </c>
      <c r="B118" s="106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7"/>
      <c r="B119" s="106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7"/>
      <c r="B120" s="106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8">
        <v>68</v>
      </c>
      <c r="B121" s="106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8"/>
      <c r="B122" s="106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7">
        <v>69</v>
      </c>
      <c r="B123" s="106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7"/>
      <c r="B124" s="106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8">
        <v>72</v>
      </c>
      <c r="B127" s="1061" t="s">
        <v>65</v>
      </c>
      <c r="C127" s="119" t="s">
        <v>26</v>
      </c>
      <c r="D127" s="120">
        <v>3.3</v>
      </c>
      <c r="E127" s="121"/>
      <c r="F127" s="122" t="s">
        <v>30</v>
      </c>
      <c r="G127" s="106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8"/>
      <c r="B128" s="1061"/>
      <c r="C128" s="103" t="s">
        <v>26</v>
      </c>
      <c r="D128" s="88">
        <v>12.9</v>
      </c>
      <c r="E128" s="106"/>
      <c r="F128" s="107" t="s">
        <v>16</v>
      </c>
      <c r="G128" s="106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8">
        <v>76</v>
      </c>
      <c r="B132" s="106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8"/>
      <c r="B133" s="106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8"/>
      <c r="B134" s="106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8"/>
      <c r="B135" s="106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8">
        <v>78</v>
      </c>
      <c r="B137" s="106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8"/>
      <c r="B138" s="106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6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6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7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7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6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6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5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5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5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5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8" t="s">
        <v>133</v>
      </c>
      <c r="J420" s="106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5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5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5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5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5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5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5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7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7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7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7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7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5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5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5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5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5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5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7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7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5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5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7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7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5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5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5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5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5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5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5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5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5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5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5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5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5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5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5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5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5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5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5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5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5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5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5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5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5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5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5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5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5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5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5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5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5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5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5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5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5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5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5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5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5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5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5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5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5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5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5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5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5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5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5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5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5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5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5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5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5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5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5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5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5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5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5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5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5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5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5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5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5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5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5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5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5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7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75" t="s">
        <v>467</v>
      </c>
      <c r="H2160" s="414" t="s">
        <v>515</v>
      </c>
      <c r="I2160" s="415" t="s">
        <v>516</v>
      </c>
      <c r="J2160" s="107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7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75"/>
      <c r="H2161" s="421" t="s">
        <v>515</v>
      </c>
      <c r="I2161" s="422" t="s">
        <v>516</v>
      </c>
      <c r="J2161" s="107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7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75"/>
      <c r="H2162" s="429" t="s">
        <v>515</v>
      </c>
      <c r="I2162" s="430" t="s">
        <v>516</v>
      </c>
      <c r="J2162" s="107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7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75" t="s">
        <v>467</v>
      </c>
      <c r="H2165" s="414" t="s">
        <v>516</v>
      </c>
      <c r="I2165" s="415" t="s">
        <v>516</v>
      </c>
      <c r="J2165" s="107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7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75"/>
      <c r="H2166" s="429" t="s">
        <v>516</v>
      </c>
      <c r="I2166" s="430" t="s">
        <v>516</v>
      </c>
      <c r="J2166" s="107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5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5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5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5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7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7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7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7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5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5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5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5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5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5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5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5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5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5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5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5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5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5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5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5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5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5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5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5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5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5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5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5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5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5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5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5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7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7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7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7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5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5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5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5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5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5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5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8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5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8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5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5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5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5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5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5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5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5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5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5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5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5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5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5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5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8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8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5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5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5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5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5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5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5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5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5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5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5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5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5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5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5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5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5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5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5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5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5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5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5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5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5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8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5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8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5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5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5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5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5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5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5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5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5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5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5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5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5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5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5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5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5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5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5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5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5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5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5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5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5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5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5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5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5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5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5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5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5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5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5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5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5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5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5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5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5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5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5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5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5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5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5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5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5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5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5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5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5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5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5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5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5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5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5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5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5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5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5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5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5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5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5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5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5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5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5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5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5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5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5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5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5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5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5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5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5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5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5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5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5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5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5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5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5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5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5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5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5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5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5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5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8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5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8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5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8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5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8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5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8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5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8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5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5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5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5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5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5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5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5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5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5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5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5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5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5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5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5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5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5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5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5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5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5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5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5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5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5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5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5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5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5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5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5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5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5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5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5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5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5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5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5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5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5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5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5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5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5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5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5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5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5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5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5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5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5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5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5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5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5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5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5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5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5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5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5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5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5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5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5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5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5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8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5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8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5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8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5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5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5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5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5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5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5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5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5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5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5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5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5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5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5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5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5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5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5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5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5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5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2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2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3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2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2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3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2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3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2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3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1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8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2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8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2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8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8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2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2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2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2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1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1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1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1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8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2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8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1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8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2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2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2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2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2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2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1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3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8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8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2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8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1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3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8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8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2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2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2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8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2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2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1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1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1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8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1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1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1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2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2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2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2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2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2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1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8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2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8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8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2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8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8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2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8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1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8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2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2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2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8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1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8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2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2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8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1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1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8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1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1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1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1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1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1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2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8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1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3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8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8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2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8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1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8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2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2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2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8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2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8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8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1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1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8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2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8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1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3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8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8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2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2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2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2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2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2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1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8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1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8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1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3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8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8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2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2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8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1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1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8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2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2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8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1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1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1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1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1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8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2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2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8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2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2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2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2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1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1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1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1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1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1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1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1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2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8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2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2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3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8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8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2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2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8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1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1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8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2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2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2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2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8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8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1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1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1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8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2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8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2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8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1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8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1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1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1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1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1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2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8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2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2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8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1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8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2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8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1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8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2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8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8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1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1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2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2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8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1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8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2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8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1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8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2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8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2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2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1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1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1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1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1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1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2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8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2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8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1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1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1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8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2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2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2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2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2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8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2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8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1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1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1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8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1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1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1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1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1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1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2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8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2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8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8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1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1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8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2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2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2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8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1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1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8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2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2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3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8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8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1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3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8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8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2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8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1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8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2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2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2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2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2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2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1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8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2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8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1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1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8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2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2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2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8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1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8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2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8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8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2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8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1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1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8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1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8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2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2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1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1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1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1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1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1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1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2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8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2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2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1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3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8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8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2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2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2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2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2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2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8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1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1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1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1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2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2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8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2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8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1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8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2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2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8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2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8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4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8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8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2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2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2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2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2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8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1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8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2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2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8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1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8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2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8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2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8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1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1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1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2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2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2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1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1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2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2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2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2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1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3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1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3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2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2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2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2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2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1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1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2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2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2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2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2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1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1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2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2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2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1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3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1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3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1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3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1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1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1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1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1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2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2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2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1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1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1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1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1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2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2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1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1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1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2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2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2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2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1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1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2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2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2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2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2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2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1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1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1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2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2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1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1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1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1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1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2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2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1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1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1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2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2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1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1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2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2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2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2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2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2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2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1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1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1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1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1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2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2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2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2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2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2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2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1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1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1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1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1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1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2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2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2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1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1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1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1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2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2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2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2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2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1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1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1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1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1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1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2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2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2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2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2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2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1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3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1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3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1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3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1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3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2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2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2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2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2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1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1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1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2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2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1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1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1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1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3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1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3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2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2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1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1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1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1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1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2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2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1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1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2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2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1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1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1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1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1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2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2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2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2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2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3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2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3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2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1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1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2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2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2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2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1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1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1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2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2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1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3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1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3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1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1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1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1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1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1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1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1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2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2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1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1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1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2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2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2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2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2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1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1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1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2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2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2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1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1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1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1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1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2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2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1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1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1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2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2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2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2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1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3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1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3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2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2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2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1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1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2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2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2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2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1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1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2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2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1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1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1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1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2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2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1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1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1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1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2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2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1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1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2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2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2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2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2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2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2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2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2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2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1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1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1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1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2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2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2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1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1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1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1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1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1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1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1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1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2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2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2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2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2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2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1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3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1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3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2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2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1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1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2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2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1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1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2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2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2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2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2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1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1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2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2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1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1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1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2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2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2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1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1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2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2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2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2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1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1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1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2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2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2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2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2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2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2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1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1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2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2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1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1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2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2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2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1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1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1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1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1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1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2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2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1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1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1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2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2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3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2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1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1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1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1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1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1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1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2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2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2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2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2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1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1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2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2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2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2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2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2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2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2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1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1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1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1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1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1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2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2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2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2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1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1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2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2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2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2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2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2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2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1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1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1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2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2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1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1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1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2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2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1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1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2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2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1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1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1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2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2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1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1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2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2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1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1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1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1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2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2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1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1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2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2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2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2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2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2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2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1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1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1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2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2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2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1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1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1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1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2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2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1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1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2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2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1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3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1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3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1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3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1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3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1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1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1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1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3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1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3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2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2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2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2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2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1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1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1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2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2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2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2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1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1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1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1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1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1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2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2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3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1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1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1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1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2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2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1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1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2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2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2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2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2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1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1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1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1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3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1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3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2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2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2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2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2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2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1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1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1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1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2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2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1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1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2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2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1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3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1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3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1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3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2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2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2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2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1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1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2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2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2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2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1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3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1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3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2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2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1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1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2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2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1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1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2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2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1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1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1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2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2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2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2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1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1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1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1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2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2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1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1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1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2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2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2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2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1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1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2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2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1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1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2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2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1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1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1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1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1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2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2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3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1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1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1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1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1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2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2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2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2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2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2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2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1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1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1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1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2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2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2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2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1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3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1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3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2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2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2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1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1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2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2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1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1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2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2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1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1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2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2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1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3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1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3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2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2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1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1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1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2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2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1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1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1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1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3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1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3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2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2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1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1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1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2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2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2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2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2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1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1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1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1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3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1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3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1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3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1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3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2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2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2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2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2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1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1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1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2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2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1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1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1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3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1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3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1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1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1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2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2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1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3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1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3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2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2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1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1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1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2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2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3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2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3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1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3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1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3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2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2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2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2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2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2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2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2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1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1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2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2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2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2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2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1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1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2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2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2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1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1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2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2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2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2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1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3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1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3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1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3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2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2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1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3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1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3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1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1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1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1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1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1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1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2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2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2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2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2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3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2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3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2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3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1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1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2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2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2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2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1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1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1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2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2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1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1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2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2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2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2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1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1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2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2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1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1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1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1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1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2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2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2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1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1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1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1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1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1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1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1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1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1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2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2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2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2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1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1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1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2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2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1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1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2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2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2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2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3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1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1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1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1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2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2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2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2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2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2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2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2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2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1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1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2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2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1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3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1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3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1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1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1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2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2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2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2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1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1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1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2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2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2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2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1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1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2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2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2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1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1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2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2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2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1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1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2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2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1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1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2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2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2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2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1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1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1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2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2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1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1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1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3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1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3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2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2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2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1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1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2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2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2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2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1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1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1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1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1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2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2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1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1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1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2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2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2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2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1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1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2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2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2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2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2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2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3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2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3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2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3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2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3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1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1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1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1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1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1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1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1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1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1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2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2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1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1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1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2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2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2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2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2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2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1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1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1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3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1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3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1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3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1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3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1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3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1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3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2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2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1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1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2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2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2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2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1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1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1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1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1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1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2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2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1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1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2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3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2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3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1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1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2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2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1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1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2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2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3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1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1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2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2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1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1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2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2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1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1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2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2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2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2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1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1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2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2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1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1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2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2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2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1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1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1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1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1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1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1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2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2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2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2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1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1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1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1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1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1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2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2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2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1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1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1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2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2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1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3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1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3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2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2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2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2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2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1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1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2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2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2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2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2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2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1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1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2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2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1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3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1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3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1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1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1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1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1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2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2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2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2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2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1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3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1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3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1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3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1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3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1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3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1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3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1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3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2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2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2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1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1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1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1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1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2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2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1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1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2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2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2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2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2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2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2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1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1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1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2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2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1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1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2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2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2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2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2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2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1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1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2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2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2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1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1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2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2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1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3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1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3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1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1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2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2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2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2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2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2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2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2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2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2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1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1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2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2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1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3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1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3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2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2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4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4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4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4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4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1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1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4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4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4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4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4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1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1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4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1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9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9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4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4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1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1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1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1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1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1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1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1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1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1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2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1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2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2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2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2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2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2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2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1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1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1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1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1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1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1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2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2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2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1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1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1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2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2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1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1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1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1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1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1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1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1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1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1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2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2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1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3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1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3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1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1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4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2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1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1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2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2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2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2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1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1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2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2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1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1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2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2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1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1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2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2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1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1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2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2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1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1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2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2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2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2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1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1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1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1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2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2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2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2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1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3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1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3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2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2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3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1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1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2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2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1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1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2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2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4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2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2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2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2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2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2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1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1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1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2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2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2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1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1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1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1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1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2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2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1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1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2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1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1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1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1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2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2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1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2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2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1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2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2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1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3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1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3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2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2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1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1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1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1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2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2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2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2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2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2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1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1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1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1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1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1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1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1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1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2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2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2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2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2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2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2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1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1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2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2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2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1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1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1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2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2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2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1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2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2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1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1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2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2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2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2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1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1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2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2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1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1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2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2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1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3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1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3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2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2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2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2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1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1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2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2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1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1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2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2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2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1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1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2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2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1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1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1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1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2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2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2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2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1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1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1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1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1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2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2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2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2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2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1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1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2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2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2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2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1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3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3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3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1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3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2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2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2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2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1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1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2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2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2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2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2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1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3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3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1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3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2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2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2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2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2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1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1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2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2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2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2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2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1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1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2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2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2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2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2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1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1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1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1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2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2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2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2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1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1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2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2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1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1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1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2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2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2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2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1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1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2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2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3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2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3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2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3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2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1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1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2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2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2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2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2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1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3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1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3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1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1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2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2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1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1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1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1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1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1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2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2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1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1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2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2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2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2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2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2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2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1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1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2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2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2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2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1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1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2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2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1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1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1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1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1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2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2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2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1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2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2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1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19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19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1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1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1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2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2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1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1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2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3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2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3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1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1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2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2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1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1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1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1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2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2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1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1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1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1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1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1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1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1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2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21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21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22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1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1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2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2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2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1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3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1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3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1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3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1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35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79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1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1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1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82" t="s">
        <v>2414</v>
      </c>
    </row>
    <row r="7123" spans="1:18" ht="19.5" hidden="1" thickBot="1" x14ac:dyDescent="0.3">
      <c r="A7123" s="101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982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1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3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1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35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2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24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31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1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1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1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1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2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2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2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2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2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3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1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1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2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2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1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1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1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1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2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3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2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5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2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5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1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1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9" t="str">
        <f t="shared" si="215"/>
        <v/>
      </c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1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16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2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22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1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1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2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980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22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17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91" t="s">
        <v>2537</v>
      </c>
    </row>
    <row r="7170" spans="1:16" ht="19.5" hidden="1" thickBot="1" x14ac:dyDescent="0.3">
      <c r="A7170" s="101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91" t="s">
        <v>2536</v>
      </c>
    </row>
    <row r="7171" spans="1:16" ht="19.5" hidden="1" thickBot="1" x14ac:dyDescent="0.3">
      <c r="A7171" s="1019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17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02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19"/>
      <c r="B7174" s="989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03"/>
      <c r="H7174" s="915" t="s">
        <v>2424</v>
      </c>
      <c r="I7174" s="917" t="s">
        <v>1496</v>
      </c>
      <c r="J7174" s="990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19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03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18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03"/>
      <c r="H7176" s="594" t="s">
        <v>2424</v>
      </c>
      <c r="I7176" s="596" t="s">
        <v>2424</v>
      </c>
      <c r="J7176" s="983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20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980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21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981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22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1017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1019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1019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2612</v>
      </c>
    </row>
    <row r="7185" spans="1:16" x14ac:dyDescent="0.25">
      <c r="A7185" s="1020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980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x14ac:dyDescent="0.25">
      <c r="A7186" s="1021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92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thickBot="1" x14ac:dyDescent="0.3">
      <c r="A7187" s="1022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x14ac:dyDescent="0.25">
      <c r="A7188" s="101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x14ac:dyDescent="0.25">
      <c r="A7189" s="1015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thickBot="1" x14ac:dyDescent="0.3">
      <c r="A7190" s="1016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x14ac:dyDescent="0.25">
      <c r="A7191" s="1020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1" t="s">
        <v>2475</v>
      </c>
      <c r="H7191" s="483" t="s">
        <v>2471</v>
      </c>
      <c r="I7191" s="484" t="s">
        <v>2476</v>
      </c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x14ac:dyDescent="0.25">
      <c r="A7192" s="1021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12"/>
      <c r="H7192" s="763" t="s">
        <v>2471</v>
      </c>
      <c r="I7192" s="768" t="s">
        <v>2476</v>
      </c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x14ac:dyDescent="0.25">
      <c r="A7193" s="1021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12"/>
      <c r="H7193" s="860" t="s">
        <v>2471</v>
      </c>
      <c r="I7193" s="860" t="s">
        <v>2476</v>
      </c>
      <c r="J7193" s="865"/>
      <c r="K7193" s="976"/>
      <c r="L7193" s="860" t="s">
        <v>28</v>
      </c>
      <c r="M7193" s="860">
        <v>870</v>
      </c>
      <c r="N7193" s="986">
        <v>0.5</v>
      </c>
      <c r="O7193" s="897" t="s">
        <v>2533</v>
      </c>
      <c r="P7193" s="867" t="s">
        <v>2578</v>
      </c>
    </row>
    <row r="7194" spans="1:16" ht="19.5" thickBot="1" x14ac:dyDescent="0.3">
      <c r="A7194" s="1022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3"/>
      <c r="H7194" s="808" t="s">
        <v>2471</v>
      </c>
      <c r="I7194" s="808" t="s">
        <v>2476</v>
      </c>
      <c r="J7194" s="810"/>
      <c r="K7194" s="887"/>
      <c r="L7194" s="808" t="s">
        <v>28</v>
      </c>
      <c r="M7194" s="808">
        <v>795</v>
      </c>
      <c r="N7194" s="987">
        <v>0.5</v>
      </c>
      <c r="O7194" s="897" t="s">
        <v>2532</v>
      </c>
      <c r="P7194" s="867" t="s">
        <v>2579</v>
      </c>
    </row>
    <row r="7195" spans="1:16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985" t="s">
        <v>23</v>
      </c>
      <c r="H7195" s="640" t="s">
        <v>2471</v>
      </c>
      <c r="I7195" s="642" t="s">
        <v>2476</v>
      </c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x14ac:dyDescent="0.25">
      <c r="A7196" s="1023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x14ac:dyDescent="0.25">
      <c r="A7197" s="1028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thickBot="1" x14ac:dyDescent="0.3">
      <c r="A7198" s="1024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x14ac:dyDescent="0.25">
      <c r="A7199" s="1014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thickBot="1" x14ac:dyDescent="0.3">
      <c r="A7200" s="1016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x14ac:dyDescent="0.25">
      <c r="A7201" s="1020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988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x14ac:dyDescent="0.25">
      <c r="A7202" s="1021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92"/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thickBot="1" x14ac:dyDescent="0.3">
      <c r="A7203" s="1021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x14ac:dyDescent="0.25">
      <c r="A7204" s="109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8" t="s">
        <v>1634</v>
      </c>
      <c r="H7204" s="535" t="s">
        <v>2476</v>
      </c>
      <c r="I7204" s="537" t="s">
        <v>2476</v>
      </c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thickBot="1" x14ac:dyDescent="0.3">
      <c r="A7205" s="1097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9"/>
      <c r="H7205" s="801" t="s">
        <v>2476</v>
      </c>
      <c r="I7205" s="801" t="s">
        <v>2476</v>
      </c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x14ac:dyDescent="0.25">
      <c r="A7206" s="1023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00" t="s">
        <v>1634</v>
      </c>
      <c r="H7206" s="483" t="s">
        <v>2476</v>
      </c>
      <c r="I7206" s="484" t="s">
        <v>2546</v>
      </c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thickBot="1" x14ac:dyDescent="0.3">
      <c r="A7207" s="1024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01"/>
      <c r="H7207" s="808" t="s">
        <v>2476</v>
      </c>
      <c r="I7207" s="808" t="s">
        <v>2546</v>
      </c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994"/>
      <c r="H7208" s="640" t="s">
        <v>2476</v>
      </c>
      <c r="I7208" s="642" t="s">
        <v>2546</v>
      </c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x14ac:dyDescent="0.25">
      <c r="A7209" s="1023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984" t="s">
        <v>844</v>
      </c>
      <c r="H7209" s="483" t="s">
        <v>2546</v>
      </c>
      <c r="I7209" s="484" t="s">
        <v>2525</v>
      </c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2614</v>
      </c>
    </row>
    <row r="7210" spans="1:18" ht="19.5" thickBot="1" x14ac:dyDescent="0.3">
      <c r="A7210" s="1028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993" t="s">
        <v>845</v>
      </c>
      <c r="H7210" s="499" t="s">
        <v>2546</v>
      </c>
      <c r="I7210" s="500" t="s">
        <v>2525</v>
      </c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2615</v>
      </c>
    </row>
    <row r="7211" spans="1:18" ht="19.5" thickBot="1" x14ac:dyDescent="0.3">
      <c r="A7211" s="503">
        <f t="shared" ref="A7211:A7217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2613</v>
      </c>
    </row>
    <row r="7212" spans="1:18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/>
      <c r="F7212" s="518" t="s">
        <v>16</v>
      </c>
      <c r="G7212" s="519"/>
      <c r="H7212" s="518" t="s">
        <v>2525</v>
      </c>
      <c r="I7212" s="520"/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Q7212" s="847">
        <v>17439</v>
      </c>
      <c r="R7212" s="833" t="s">
        <v>2618</v>
      </c>
    </row>
    <row r="7213" spans="1:18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/>
      <c r="F7213" s="508" t="s">
        <v>16</v>
      </c>
      <c r="G7213" s="509"/>
      <c r="H7213" s="508" t="s">
        <v>2525</v>
      </c>
      <c r="I7213" s="510"/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2552</v>
      </c>
    </row>
    <row r="7214" spans="1:18" ht="19.5" thickBot="1" x14ac:dyDescent="0.3">
      <c r="A7214" s="513">
        <f t="shared" si="219"/>
        <v>4442</v>
      </c>
      <c r="B7214" s="514" t="s">
        <v>2476</v>
      </c>
      <c r="C7214" s="515" t="s">
        <v>32</v>
      </c>
      <c r="D7214" s="516">
        <v>17.600000000000001</v>
      </c>
      <c r="E7214" s="517"/>
      <c r="F7214" s="518" t="s">
        <v>16</v>
      </c>
      <c r="G7214" s="519" t="s">
        <v>2299</v>
      </c>
      <c r="H7214" s="518" t="s">
        <v>2525</v>
      </c>
      <c r="I7214" s="520"/>
      <c r="J7214" s="521"/>
      <c r="K7214" s="514"/>
      <c r="L7214" s="518" t="s">
        <v>266</v>
      </c>
      <c r="M7214" s="518">
        <v>17604.599999999999</v>
      </c>
      <c r="N7214" s="522">
        <v>0.54166666666666663</v>
      </c>
      <c r="O7214" s="897" t="s">
        <v>2551</v>
      </c>
      <c r="P7214" s="867" t="s">
        <v>2413</v>
      </c>
    </row>
    <row r="7215" spans="1:18" ht="19.5" thickBot="1" x14ac:dyDescent="0.3">
      <c r="A7215" s="995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/>
      <c r="F7215" s="556" t="s">
        <v>16</v>
      </c>
      <c r="G7215" s="996"/>
      <c r="H7215" s="556" t="s">
        <v>2525</v>
      </c>
      <c r="I7215" s="558"/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2553</v>
      </c>
    </row>
    <row r="7216" spans="1:18" ht="19.5" thickBot="1" x14ac:dyDescent="0.3">
      <c r="A7216" s="513">
        <f t="shared" si="219"/>
        <v>4444</v>
      </c>
      <c r="B7216" s="514" t="s">
        <v>2546</v>
      </c>
      <c r="C7216" s="515" t="s">
        <v>26</v>
      </c>
      <c r="D7216" s="516">
        <v>17.861999999999998</v>
      </c>
      <c r="E7216" s="517"/>
      <c r="F7216" s="518" t="s">
        <v>16</v>
      </c>
      <c r="G7216" s="519"/>
      <c r="H7216" s="518" t="s">
        <v>2565</v>
      </c>
      <c r="I7216" s="520"/>
      <c r="J7216" s="521"/>
      <c r="K7216" s="514"/>
      <c r="L7216" s="518" t="s">
        <v>265</v>
      </c>
      <c r="M7216" s="518">
        <v>18021.300000000003</v>
      </c>
      <c r="N7216" s="522">
        <v>0.375</v>
      </c>
      <c r="O7216" s="897" t="s">
        <v>2566</v>
      </c>
      <c r="P7216" s="867" t="s">
        <v>2585</v>
      </c>
      <c r="Q7216" s="952" t="s">
        <v>2587</v>
      </c>
    </row>
    <row r="7217" spans="1:16" x14ac:dyDescent="0.25">
      <c r="A7217" s="1014">
        <f t="shared" si="219"/>
        <v>4445</v>
      </c>
      <c r="B7217" s="759" t="s">
        <v>2546</v>
      </c>
      <c r="C7217" s="532" t="s">
        <v>26</v>
      </c>
      <c r="D7217" s="533">
        <v>18.989000000000001</v>
      </c>
      <c r="E7217" s="534"/>
      <c r="F7217" s="535" t="s">
        <v>16</v>
      </c>
      <c r="G7217" s="536"/>
      <c r="H7217" s="535" t="s">
        <v>2565</v>
      </c>
      <c r="I7217" s="537"/>
      <c r="J7217" s="538"/>
      <c r="K7217" s="531"/>
      <c r="L7217" s="535" t="s">
        <v>265</v>
      </c>
      <c r="M7217" s="535">
        <v>19042.120000000003</v>
      </c>
      <c r="N7217" s="539">
        <v>0.41666666666666669</v>
      </c>
      <c r="O7217" s="897" t="s">
        <v>2567</v>
      </c>
      <c r="P7217" s="867" t="s">
        <v>2586</v>
      </c>
    </row>
    <row r="7218" spans="1:16" ht="19.5" thickBot="1" x14ac:dyDescent="0.3">
      <c r="A7218" s="1016"/>
      <c r="B7218" s="798" t="s">
        <v>2525</v>
      </c>
      <c r="C7218" s="799" t="s">
        <v>26</v>
      </c>
      <c r="D7218" s="800">
        <v>2.5499999999999998</v>
      </c>
      <c r="E7218" s="800"/>
      <c r="F7218" s="801" t="s">
        <v>16</v>
      </c>
      <c r="G7218" s="802"/>
      <c r="H7218" s="801" t="s">
        <v>2565</v>
      </c>
      <c r="I7218" s="801"/>
      <c r="J7218" s="803"/>
      <c r="K7218" s="848"/>
      <c r="L7218" s="801" t="s">
        <v>265</v>
      </c>
      <c r="M7218" s="801">
        <v>2551.5</v>
      </c>
      <c r="N7218" s="804">
        <v>0.41666666666666669</v>
      </c>
      <c r="O7218" s="897" t="s">
        <v>2584</v>
      </c>
    </row>
    <row r="7219" spans="1:16" ht="19.5" thickBot="1" x14ac:dyDescent="0.3">
      <c r="A7219" s="513">
        <f>MAX(A7050:A7217)+1</f>
        <v>4446</v>
      </c>
      <c r="B7219" s="514" t="s">
        <v>2546</v>
      </c>
      <c r="C7219" s="515" t="s">
        <v>47</v>
      </c>
      <c r="D7219" s="516">
        <v>13.638</v>
      </c>
      <c r="E7219" s="517"/>
      <c r="F7219" s="518" t="s">
        <v>30</v>
      </c>
      <c r="G7219" s="519"/>
      <c r="H7219" s="518" t="s">
        <v>2565</v>
      </c>
      <c r="I7219" s="520"/>
      <c r="J7219" s="521"/>
      <c r="K7219" s="514"/>
      <c r="L7219" s="518" t="s">
        <v>28</v>
      </c>
      <c r="M7219" s="518">
        <v>13638.64</v>
      </c>
      <c r="N7219" s="522">
        <v>0.41666666666666669</v>
      </c>
      <c r="O7219" s="897" t="s">
        <v>2569</v>
      </c>
    </row>
    <row r="7220" spans="1:16" ht="19.5" thickBot="1" x14ac:dyDescent="0.3">
      <c r="A7220" s="503">
        <f t="shared" ref="A7220:A7277" si="220">MAX(A7051:A7219)+1</f>
        <v>4447</v>
      </c>
      <c r="B7220" s="504" t="s">
        <v>2546</v>
      </c>
      <c r="C7220" s="505" t="s">
        <v>26</v>
      </c>
      <c r="D7220" s="506">
        <v>20.817</v>
      </c>
      <c r="E7220" s="507"/>
      <c r="F7220" s="508" t="s">
        <v>16</v>
      </c>
      <c r="G7220" s="509"/>
      <c r="H7220" s="508" t="s">
        <v>2568</v>
      </c>
      <c r="I7220" s="510"/>
      <c r="J7220" s="511"/>
      <c r="K7220" s="504"/>
      <c r="L7220" s="508" t="s">
        <v>265</v>
      </c>
      <c r="M7220" s="508">
        <v>21025.500000000004</v>
      </c>
      <c r="N7220" s="512">
        <v>0.375</v>
      </c>
      <c r="O7220" s="897" t="s">
        <v>2570</v>
      </c>
      <c r="P7220" s="867" t="s">
        <v>2622</v>
      </c>
    </row>
    <row r="7221" spans="1:16" ht="19.5" thickBot="1" x14ac:dyDescent="0.3">
      <c r="A7221" s="513">
        <f t="shared" si="220"/>
        <v>4448</v>
      </c>
      <c r="B7221" s="514" t="s">
        <v>2546</v>
      </c>
      <c r="C7221" s="515" t="s">
        <v>24</v>
      </c>
      <c r="D7221" s="516">
        <v>17.606999999999999</v>
      </c>
      <c r="E7221" s="517"/>
      <c r="F7221" s="518" t="s">
        <v>16</v>
      </c>
      <c r="G7221" s="519"/>
      <c r="H7221" s="518" t="s">
        <v>2568</v>
      </c>
      <c r="I7221" s="520"/>
      <c r="J7221" s="521"/>
      <c r="K7221" s="514"/>
      <c r="L7221" s="518" t="s">
        <v>28</v>
      </c>
      <c r="M7221" s="518">
        <v>17783.120000000003</v>
      </c>
      <c r="N7221" s="522">
        <v>0.41666666666666669</v>
      </c>
      <c r="O7221" s="897" t="s">
        <v>2571</v>
      </c>
      <c r="P7221" s="867" t="s">
        <v>2623</v>
      </c>
    </row>
    <row r="7222" spans="1:16" ht="19.5" thickBot="1" x14ac:dyDescent="0.3">
      <c r="A7222" s="503">
        <f t="shared" si="220"/>
        <v>4449</v>
      </c>
      <c r="B7222" s="504" t="s">
        <v>2546</v>
      </c>
      <c r="C7222" s="505" t="s">
        <v>23</v>
      </c>
      <c r="D7222" s="506">
        <v>17.388999999999999</v>
      </c>
      <c r="E7222" s="507"/>
      <c r="F7222" s="508" t="s">
        <v>16</v>
      </c>
      <c r="G7222" s="509"/>
      <c r="H7222" s="508" t="s">
        <v>2568</v>
      </c>
      <c r="I7222" s="510"/>
      <c r="J7222" s="511"/>
      <c r="K7222" s="504"/>
      <c r="L7222" s="508" t="s">
        <v>28</v>
      </c>
      <c r="M7222" s="508">
        <v>17540.11</v>
      </c>
      <c r="N7222" s="512">
        <v>0.45833333333333331</v>
      </c>
      <c r="O7222" s="897" t="s">
        <v>2572</v>
      </c>
    </row>
    <row r="7223" spans="1:16" ht="19.5" thickBot="1" x14ac:dyDescent="0.3">
      <c r="A7223" s="997">
        <f t="shared" si="220"/>
        <v>4450</v>
      </c>
      <c r="B7223" s="573" t="s">
        <v>2546</v>
      </c>
      <c r="C7223" s="574" t="s">
        <v>47</v>
      </c>
      <c r="D7223" s="575">
        <v>17.614999999999998</v>
      </c>
      <c r="E7223" s="576"/>
      <c r="F7223" s="577" t="s">
        <v>16</v>
      </c>
      <c r="G7223" s="998"/>
      <c r="H7223" s="577" t="s">
        <v>2568</v>
      </c>
      <c r="I7223" s="579"/>
      <c r="J7223" s="580"/>
      <c r="K7223" s="573"/>
      <c r="L7223" s="577" t="s">
        <v>28</v>
      </c>
      <c r="M7223" s="577">
        <v>17846.140000000003</v>
      </c>
      <c r="N7223" s="581">
        <v>0.5</v>
      </c>
      <c r="O7223" s="897" t="s">
        <v>2573</v>
      </c>
    </row>
    <row r="7224" spans="1:16" ht="19.5" thickBot="1" x14ac:dyDescent="0.3">
      <c r="A7224" s="503">
        <f t="shared" si="220"/>
        <v>4451</v>
      </c>
      <c r="B7224" s="504" t="s">
        <v>2525</v>
      </c>
      <c r="C7224" s="505" t="s">
        <v>26</v>
      </c>
      <c r="D7224" s="506">
        <v>15.326000000000001</v>
      </c>
      <c r="E7224" s="507"/>
      <c r="F7224" s="508" t="s">
        <v>30</v>
      </c>
      <c r="G7224" s="509"/>
      <c r="H7224" s="508" t="s">
        <v>2568</v>
      </c>
      <c r="I7224" s="510"/>
      <c r="J7224" s="511"/>
      <c r="K7224" s="504"/>
      <c r="L7224" s="508" t="s">
        <v>265</v>
      </c>
      <c r="M7224" s="508">
        <v>15326.64</v>
      </c>
      <c r="N7224" s="512">
        <v>0.375</v>
      </c>
      <c r="O7224" s="897" t="s">
        <v>2588</v>
      </c>
    </row>
    <row r="7225" spans="1:16" x14ac:dyDescent="0.25">
      <c r="A7225" s="1023">
        <f t="shared" si="220"/>
        <v>4452</v>
      </c>
      <c r="B7225" s="479" t="s">
        <v>2525</v>
      </c>
      <c r="C7225" s="480" t="s">
        <v>1382</v>
      </c>
      <c r="D7225" s="481">
        <v>12.715</v>
      </c>
      <c r="E7225" s="482"/>
      <c r="F7225" s="483" t="s">
        <v>16</v>
      </c>
      <c r="G7225" s="999"/>
      <c r="H7225" s="483" t="s">
        <v>2568</v>
      </c>
      <c r="I7225" s="484"/>
      <c r="J7225" s="485"/>
      <c r="K7225" s="479"/>
      <c r="L7225" s="483" t="s">
        <v>266</v>
      </c>
      <c r="M7225" s="483">
        <v>12825.84</v>
      </c>
      <c r="N7225" s="486">
        <v>0.54166666666666663</v>
      </c>
      <c r="O7225" s="897" t="s">
        <v>2594</v>
      </c>
    </row>
    <row r="7226" spans="1:16" ht="19.5" thickBot="1" x14ac:dyDescent="0.3">
      <c r="A7226" s="1024"/>
      <c r="B7226" s="645" t="s">
        <v>2525</v>
      </c>
      <c r="C7226" s="646" t="s">
        <v>981</v>
      </c>
      <c r="D7226" s="647">
        <v>4.2160000000000002</v>
      </c>
      <c r="E7226" s="648"/>
      <c r="F7226" s="649" t="s">
        <v>16</v>
      </c>
      <c r="G7226" s="1001"/>
      <c r="H7226" s="649" t="s">
        <v>2568</v>
      </c>
      <c r="I7226" s="651"/>
      <c r="J7226" s="652"/>
      <c r="K7226" s="645"/>
      <c r="L7226" s="649" t="s">
        <v>266</v>
      </c>
      <c r="M7226" s="649">
        <v>4217.8600000000006</v>
      </c>
      <c r="N7226" s="653">
        <v>0.54166666666666663</v>
      </c>
      <c r="O7226" s="897" t="s">
        <v>2595</v>
      </c>
    </row>
    <row r="7227" spans="1:16" x14ac:dyDescent="0.25">
      <c r="A7227" s="1017">
        <f t="shared" si="220"/>
        <v>4453</v>
      </c>
      <c r="B7227" s="531" t="s">
        <v>2525</v>
      </c>
      <c r="C7227" s="532" t="s">
        <v>41</v>
      </c>
      <c r="D7227" s="533">
        <v>3.7850000000000001</v>
      </c>
      <c r="E7227" s="534"/>
      <c r="F7227" s="535" t="s">
        <v>16</v>
      </c>
      <c r="G7227" s="536"/>
      <c r="H7227" s="535" t="s">
        <v>2568</v>
      </c>
      <c r="I7227" s="537"/>
      <c r="J7227" s="538"/>
      <c r="K7227" s="531"/>
      <c r="L7227" s="535" t="s">
        <v>266</v>
      </c>
      <c r="M7227" s="535">
        <v>3859.44</v>
      </c>
      <c r="N7227" s="539">
        <v>0.58333333333333337</v>
      </c>
      <c r="O7227" s="897" t="s">
        <v>2598</v>
      </c>
    </row>
    <row r="7228" spans="1:16" x14ac:dyDescent="0.25">
      <c r="A7228" s="1019"/>
      <c r="B7228" s="563" t="s">
        <v>2525</v>
      </c>
      <c r="C7228" s="564" t="s">
        <v>480</v>
      </c>
      <c r="D7228" s="565">
        <v>9.3000000000000007</v>
      </c>
      <c r="E7228" s="566"/>
      <c r="F7228" s="567" t="s">
        <v>16</v>
      </c>
      <c r="G7228" s="568"/>
      <c r="H7228" s="567" t="s">
        <v>2568</v>
      </c>
      <c r="I7228" s="569"/>
      <c r="J7228" s="570"/>
      <c r="K7228" s="563"/>
      <c r="L7228" s="567" t="s">
        <v>266</v>
      </c>
      <c r="M7228" s="567">
        <v>9427.0800000000017</v>
      </c>
      <c r="N7228" s="571">
        <v>0.58333333333333337</v>
      </c>
      <c r="O7228" s="897" t="s">
        <v>2596</v>
      </c>
    </row>
    <row r="7229" spans="1:16" ht="19.5" thickBot="1" x14ac:dyDescent="0.3">
      <c r="A7229" s="1018"/>
      <c r="B7229" s="636" t="s">
        <v>2525</v>
      </c>
      <c r="C7229" s="637" t="s">
        <v>32</v>
      </c>
      <c r="D7229" s="638">
        <v>1.657</v>
      </c>
      <c r="E7229" s="639"/>
      <c r="F7229" s="640" t="s">
        <v>16</v>
      </c>
      <c r="G7229" s="1000" t="s">
        <v>1702</v>
      </c>
      <c r="H7229" s="640" t="s">
        <v>2568</v>
      </c>
      <c r="I7229" s="642"/>
      <c r="J7229" s="643"/>
      <c r="K7229" s="636"/>
      <c r="L7229" s="640" t="s">
        <v>266</v>
      </c>
      <c r="M7229" s="640">
        <v>1657</v>
      </c>
      <c r="N7229" s="644">
        <v>0.58333333333333337</v>
      </c>
      <c r="O7229" s="897" t="s">
        <v>2597</v>
      </c>
    </row>
    <row r="7230" spans="1:16" ht="56.25" x14ac:dyDescent="0.25">
      <c r="A7230" s="1023">
        <f t="shared" si="220"/>
        <v>4454</v>
      </c>
      <c r="B7230" s="479" t="s">
        <v>2525</v>
      </c>
      <c r="C7230" s="480" t="s">
        <v>840</v>
      </c>
      <c r="D7230" s="481">
        <v>15.624000000000001</v>
      </c>
      <c r="E7230" s="482"/>
      <c r="F7230" s="483" t="s">
        <v>16</v>
      </c>
      <c r="G7230" s="1002" t="s">
        <v>2616</v>
      </c>
      <c r="H7230" s="483" t="s">
        <v>2568</v>
      </c>
      <c r="I7230" s="484"/>
      <c r="J7230" s="485"/>
      <c r="K7230" s="479"/>
      <c r="L7230" s="483" t="s">
        <v>266</v>
      </c>
      <c r="M7230" s="483">
        <v>15748.080000000004</v>
      </c>
      <c r="N7230" s="486">
        <v>0.625</v>
      </c>
      <c r="O7230" s="897" t="s">
        <v>2610</v>
      </c>
    </row>
    <row r="7231" spans="1:16" ht="19.5" thickBot="1" x14ac:dyDescent="0.3">
      <c r="A7231" s="1024"/>
      <c r="B7231" s="645" t="s">
        <v>2525</v>
      </c>
      <c r="C7231" s="646" t="s">
        <v>840</v>
      </c>
      <c r="D7231" s="647">
        <v>4.5</v>
      </c>
      <c r="E7231" s="648"/>
      <c r="F7231" s="649" t="s">
        <v>16</v>
      </c>
      <c r="G7231" s="1001" t="s">
        <v>2299</v>
      </c>
      <c r="H7231" s="649" t="s">
        <v>2568</v>
      </c>
      <c r="I7231" s="651"/>
      <c r="J7231" s="652"/>
      <c r="K7231" s="645"/>
      <c r="L7231" s="649" t="s">
        <v>266</v>
      </c>
      <c r="M7231" s="649">
        <v>4500</v>
      </c>
      <c r="N7231" s="653">
        <v>0.625</v>
      </c>
      <c r="O7231" s="897" t="s">
        <v>2611</v>
      </c>
    </row>
    <row r="7232" spans="1:16" x14ac:dyDescent="0.25">
      <c r="A7232" s="1017">
        <f t="shared" si="220"/>
        <v>4455</v>
      </c>
      <c r="B7232" s="531" t="s">
        <v>2525</v>
      </c>
      <c r="C7232" s="532" t="s">
        <v>41</v>
      </c>
      <c r="D7232" s="533">
        <v>2</v>
      </c>
      <c r="E7232" s="534"/>
      <c r="F7232" s="535" t="s">
        <v>16</v>
      </c>
      <c r="G7232" s="536" t="s">
        <v>2299</v>
      </c>
      <c r="H7232" s="535" t="s">
        <v>2568</v>
      </c>
      <c r="I7232" s="537"/>
      <c r="J7232" s="538"/>
      <c r="K7232" s="531"/>
      <c r="L7232" s="535" t="s">
        <v>266</v>
      </c>
      <c r="M7232" s="535">
        <v>2004.6</v>
      </c>
      <c r="N7232" s="539">
        <v>0.66666666666666663</v>
      </c>
      <c r="O7232" s="897" t="s">
        <v>2607</v>
      </c>
      <c r="P7232" s="867" t="s">
        <v>2413</v>
      </c>
    </row>
    <row r="7233" spans="1:16" x14ac:dyDescent="0.25">
      <c r="A7233" s="1019"/>
      <c r="B7233" s="563" t="s">
        <v>2525</v>
      </c>
      <c r="C7233" s="564" t="s">
        <v>1382</v>
      </c>
      <c r="D7233" s="565">
        <v>4</v>
      </c>
      <c r="E7233" s="566"/>
      <c r="F7233" s="567" t="s">
        <v>16</v>
      </c>
      <c r="G7233" s="568" t="s">
        <v>2299</v>
      </c>
      <c r="H7233" s="567" t="s">
        <v>2568</v>
      </c>
      <c r="I7233" s="569"/>
      <c r="J7233" s="570"/>
      <c r="K7233" s="563"/>
      <c r="L7233" s="567" t="s">
        <v>266</v>
      </c>
      <c r="M7233" s="567">
        <v>4005</v>
      </c>
      <c r="N7233" s="571">
        <v>0.66666666666666663</v>
      </c>
      <c r="O7233" s="897" t="s">
        <v>2605</v>
      </c>
    </row>
    <row r="7234" spans="1:16" x14ac:dyDescent="0.25">
      <c r="A7234" s="1019"/>
      <c r="B7234" s="563" t="s">
        <v>2525</v>
      </c>
      <c r="C7234" s="564" t="s">
        <v>480</v>
      </c>
      <c r="D7234" s="565">
        <v>1</v>
      </c>
      <c r="E7234" s="566"/>
      <c r="F7234" s="567" t="s">
        <v>16</v>
      </c>
      <c r="G7234" s="568" t="s">
        <v>2299</v>
      </c>
      <c r="H7234" s="567" t="s">
        <v>2568</v>
      </c>
      <c r="I7234" s="569"/>
      <c r="J7234" s="570"/>
      <c r="K7234" s="563"/>
      <c r="L7234" s="567" t="s">
        <v>266</v>
      </c>
      <c r="M7234" s="567">
        <v>1008</v>
      </c>
      <c r="N7234" s="571">
        <v>0.66666666666666663</v>
      </c>
      <c r="O7234" s="897" t="s">
        <v>2606</v>
      </c>
    </row>
    <row r="7235" spans="1:16" x14ac:dyDescent="0.25">
      <c r="A7235" s="1019"/>
      <c r="B7235" s="563" t="s">
        <v>2525</v>
      </c>
      <c r="C7235" s="564" t="s">
        <v>981</v>
      </c>
      <c r="D7235" s="565">
        <v>0.998</v>
      </c>
      <c r="E7235" s="566"/>
      <c r="F7235" s="567" t="s">
        <v>16</v>
      </c>
      <c r="G7235" s="568" t="s">
        <v>2299</v>
      </c>
      <c r="H7235" s="567" t="s">
        <v>2568</v>
      </c>
      <c r="I7235" s="569"/>
      <c r="J7235" s="570"/>
      <c r="K7235" s="563"/>
      <c r="L7235" s="567" t="s">
        <v>266</v>
      </c>
      <c r="M7235" s="567">
        <v>998.4</v>
      </c>
      <c r="N7235" s="571">
        <v>0.66666666666666663</v>
      </c>
      <c r="O7235" s="897" t="s">
        <v>2609</v>
      </c>
      <c r="P7235" s="867" t="s">
        <v>2413</v>
      </c>
    </row>
    <row r="7236" spans="1:16" ht="19.5" thickBot="1" x14ac:dyDescent="0.3">
      <c r="A7236" s="1018"/>
      <c r="B7236" s="636" t="s">
        <v>2525</v>
      </c>
      <c r="C7236" s="637" t="s">
        <v>32</v>
      </c>
      <c r="D7236" s="638">
        <v>2.496</v>
      </c>
      <c r="E7236" s="639"/>
      <c r="F7236" s="640" t="s">
        <v>16</v>
      </c>
      <c r="G7236" s="1000" t="s">
        <v>2589</v>
      </c>
      <c r="H7236" s="640" t="s">
        <v>2568</v>
      </c>
      <c r="I7236" s="642"/>
      <c r="J7236" s="643"/>
      <c r="K7236" s="636"/>
      <c r="L7236" s="640" t="s">
        <v>266</v>
      </c>
      <c r="M7236" s="640">
        <v>2496</v>
      </c>
      <c r="N7236" s="644">
        <v>0.66666666666666663</v>
      </c>
      <c r="O7236" s="897" t="s">
        <v>2608</v>
      </c>
      <c r="P7236" s="867" t="s">
        <v>2413</v>
      </c>
    </row>
    <row r="7237" spans="1:16" ht="19.5" thickBot="1" x14ac:dyDescent="0.3">
      <c r="A7237" s="513">
        <f t="shared" si="220"/>
        <v>4456</v>
      </c>
      <c r="B7237" s="514" t="s">
        <v>2525</v>
      </c>
      <c r="C7237" s="515" t="s">
        <v>26</v>
      </c>
      <c r="D7237" s="516">
        <v>17.407</v>
      </c>
      <c r="E7237" s="517"/>
      <c r="F7237" s="518" t="s">
        <v>16</v>
      </c>
      <c r="G7237" s="519"/>
      <c r="H7237" s="518" t="s">
        <v>2590</v>
      </c>
      <c r="I7237" s="520"/>
      <c r="J7237" s="521"/>
      <c r="K7237" s="514"/>
      <c r="L7237" s="518" t="s">
        <v>265</v>
      </c>
      <c r="M7237" s="518">
        <v>17582.64</v>
      </c>
      <c r="N7237" s="522">
        <v>4.1666666666666664E-2</v>
      </c>
      <c r="O7237" s="897" t="s">
        <v>2591</v>
      </c>
    </row>
    <row r="7238" spans="1:16" x14ac:dyDescent="0.25">
      <c r="A7238" s="1017">
        <f t="shared" si="220"/>
        <v>4457</v>
      </c>
      <c r="B7238" s="531" t="s">
        <v>2525</v>
      </c>
      <c r="C7238" s="532" t="s">
        <v>26</v>
      </c>
      <c r="D7238" s="533">
        <v>15.430999999999999</v>
      </c>
      <c r="E7238" s="534"/>
      <c r="F7238" s="535" t="s">
        <v>16</v>
      </c>
      <c r="G7238" s="536"/>
      <c r="H7238" s="535" t="s">
        <v>2590</v>
      </c>
      <c r="I7238" s="537"/>
      <c r="J7238" s="538"/>
      <c r="K7238" s="531"/>
      <c r="L7238" s="535" t="s">
        <v>265</v>
      </c>
      <c r="M7238" s="535">
        <v>15567.38</v>
      </c>
      <c r="N7238" s="539">
        <v>8.3333333333333329E-2</v>
      </c>
      <c r="O7238" s="897" t="s">
        <v>2592</v>
      </c>
    </row>
    <row r="7239" spans="1:16" ht="19.5" thickBot="1" x14ac:dyDescent="0.3">
      <c r="A7239" s="1018"/>
      <c r="B7239" s="636" t="s">
        <v>2525</v>
      </c>
      <c r="C7239" s="637" t="s">
        <v>952</v>
      </c>
      <c r="D7239" s="638">
        <v>2.246</v>
      </c>
      <c r="E7239" s="639"/>
      <c r="F7239" s="640" t="s">
        <v>16</v>
      </c>
      <c r="G7239" s="1000"/>
      <c r="H7239" s="640" t="s">
        <v>2590</v>
      </c>
      <c r="I7239" s="642"/>
      <c r="J7239" s="643"/>
      <c r="K7239" s="636"/>
      <c r="L7239" s="640" t="s">
        <v>265</v>
      </c>
      <c r="M7239" s="640">
        <v>2315.7800000000007</v>
      </c>
      <c r="N7239" s="644">
        <v>8.3333333333333329E-2</v>
      </c>
      <c r="O7239" s="897" t="s">
        <v>2593</v>
      </c>
    </row>
    <row r="7240" spans="1:16" ht="56.25" x14ac:dyDescent="0.25">
      <c r="A7240" s="1023">
        <f t="shared" si="220"/>
        <v>4458</v>
      </c>
      <c r="B7240" s="479" t="s">
        <v>2525</v>
      </c>
      <c r="C7240" s="480" t="s">
        <v>587</v>
      </c>
      <c r="D7240" s="481">
        <v>0.96399999999999997</v>
      </c>
      <c r="E7240" s="482"/>
      <c r="F7240" s="483" t="s">
        <v>16</v>
      </c>
      <c r="G7240" s="999" t="s">
        <v>794</v>
      </c>
      <c r="H7240" s="483" t="s">
        <v>2590</v>
      </c>
      <c r="I7240" s="484"/>
      <c r="J7240" s="485"/>
      <c r="K7240" s="479"/>
      <c r="L7240" s="483" t="s">
        <v>28</v>
      </c>
      <c r="M7240" s="483">
        <v>964.8</v>
      </c>
      <c r="N7240" s="486">
        <v>0.41666666666666669</v>
      </c>
      <c r="O7240" s="897" t="s">
        <v>2600</v>
      </c>
    </row>
    <row r="7241" spans="1:16" x14ac:dyDescent="0.25">
      <c r="A7241" s="1028"/>
      <c r="B7241" s="523" t="s">
        <v>2525</v>
      </c>
      <c r="C7241" s="524" t="s">
        <v>587</v>
      </c>
      <c r="D7241" s="525">
        <v>7.2750000000000004</v>
      </c>
      <c r="E7241" s="526"/>
      <c r="F7241" s="527" t="s">
        <v>16</v>
      </c>
      <c r="G7241" s="561" t="s">
        <v>47</v>
      </c>
      <c r="H7241" s="527" t="s">
        <v>2590</v>
      </c>
      <c r="I7241" s="528"/>
      <c r="J7241" s="529"/>
      <c r="K7241" s="523"/>
      <c r="L7241" s="527" t="s">
        <v>28</v>
      </c>
      <c r="M7241" s="527">
        <v>7275.92</v>
      </c>
      <c r="N7241" s="530">
        <v>0.41666666666666669</v>
      </c>
      <c r="O7241" s="897" t="s">
        <v>2601</v>
      </c>
    </row>
    <row r="7242" spans="1:16" ht="19.5" thickBot="1" x14ac:dyDescent="0.3">
      <c r="A7242" s="1024"/>
      <c r="B7242" s="645" t="s">
        <v>2525</v>
      </c>
      <c r="C7242" s="646" t="s">
        <v>47</v>
      </c>
      <c r="D7242" s="647">
        <v>9.3019999999999996</v>
      </c>
      <c r="E7242" s="648"/>
      <c r="F7242" s="649" t="s">
        <v>16</v>
      </c>
      <c r="G7242" s="1001"/>
      <c r="H7242" s="649" t="s">
        <v>2590</v>
      </c>
      <c r="I7242" s="651"/>
      <c r="J7242" s="652"/>
      <c r="K7242" s="645"/>
      <c r="L7242" s="649" t="s">
        <v>28</v>
      </c>
      <c r="M7242" s="649">
        <v>9418.86</v>
      </c>
      <c r="N7242" s="653">
        <v>0.41666666666666669</v>
      </c>
      <c r="O7242" s="897" t="s">
        <v>2599</v>
      </c>
    </row>
    <row r="7243" spans="1:16" x14ac:dyDescent="0.25">
      <c r="A7243" s="1017">
        <f t="shared" si="220"/>
        <v>4459</v>
      </c>
      <c r="B7243" s="531" t="s">
        <v>2525</v>
      </c>
      <c r="C7243" s="532" t="s">
        <v>913</v>
      </c>
      <c r="D7243" s="533">
        <v>1.55</v>
      </c>
      <c r="E7243" s="534"/>
      <c r="F7243" s="535" t="s">
        <v>16</v>
      </c>
      <c r="G7243" s="536"/>
      <c r="H7243" s="535" t="s">
        <v>2590</v>
      </c>
      <c r="I7243" s="537"/>
      <c r="J7243" s="538"/>
      <c r="K7243" s="531"/>
      <c r="L7243" s="535" t="s">
        <v>266</v>
      </c>
      <c r="M7243" s="535">
        <v>1556.3</v>
      </c>
      <c r="N7243" s="539">
        <v>0.45833333333333331</v>
      </c>
      <c r="O7243" s="897" t="s">
        <v>2603</v>
      </c>
    </row>
    <row r="7244" spans="1:16" ht="19.5" thickBot="1" x14ac:dyDescent="0.3">
      <c r="A7244" s="1018"/>
      <c r="B7244" s="636" t="s">
        <v>2525</v>
      </c>
      <c r="C7244" s="637" t="s">
        <v>23</v>
      </c>
      <c r="D7244" s="638">
        <v>16.050999999999998</v>
      </c>
      <c r="E7244" s="639"/>
      <c r="F7244" s="640" t="s">
        <v>16</v>
      </c>
      <c r="G7244" s="1000"/>
      <c r="H7244" s="640" t="s">
        <v>2590</v>
      </c>
      <c r="I7244" s="642"/>
      <c r="J7244" s="643"/>
      <c r="K7244" s="636"/>
      <c r="L7244" s="640" t="s">
        <v>28</v>
      </c>
      <c r="M7244" s="640">
        <v>16165.960000000001</v>
      </c>
      <c r="N7244" s="644">
        <v>0.45833333333333331</v>
      </c>
      <c r="O7244" s="897" t="s">
        <v>2602</v>
      </c>
    </row>
    <row r="7245" spans="1:16" ht="19.5" thickBot="1" x14ac:dyDescent="0.3">
      <c r="A7245" s="1004">
        <f t="shared" si="220"/>
        <v>4460</v>
      </c>
      <c r="B7245" s="573" t="s">
        <v>2525</v>
      </c>
      <c r="C7245" s="574" t="s">
        <v>15</v>
      </c>
      <c r="D7245" s="575">
        <v>17.529</v>
      </c>
      <c r="E7245" s="576"/>
      <c r="F7245" s="577" t="s">
        <v>16</v>
      </c>
      <c r="G7245" s="1005"/>
      <c r="H7245" s="577" t="s">
        <v>2590</v>
      </c>
      <c r="I7245" s="579"/>
      <c r="J7245" s="580"/>
      <c r="K7245" s="573"/>
      <c r="L7245" s="577" t="s">
        <v>28</v>
      </c>
      <c r="M7245" s="577">
        <v>17727.21</v>
      </c>
      <c r="N7245" s="581">
        <v>0.5</v>
      </c>
      <c r="O7245" s="897" t="s">
        <v>2604</v>
      </c>
    </row>
    <row r="7246" spans="1:16" ht="19.5" thickBot="1" x14ac:dyDescent="0.3">
      <c r="A7246" s="503">
        <f t="shared" si="220"/>
        <v>4461</v>
      </c>
      <c r="B7246" s="504" t="s">
        <v>2565</v>
      </c>
      <c r="C7246" s="505" t="s">
        <v>26</v>
      </c>
      <c r="D7246" s="506">
        <v>15.423</v>
      </c>
      <c r="E7246" s="507"/>
      <c r="F7246" s="508" t="s">
        <v>30</v>
      </c>
      <c r="G7246" s="509"/>
      <c r="H7246" s="508" t="s">
        <v>2590</v>
      </c>
      <c r="I7246" s="510"/>
      <c r="J7246" s="511"/>
      <c r="K7246" s="504"/>
      <c r="L7246" s="508" t="s">
        <v>265</v>
      </c>
      <c r="M7246" s="508">
        <v>15423.2</v>
      </c>
      <c r="N7246" s="512">
        <v>4.1666666666666664E-2</v>
      </c>
      <c r="O7246" s="897" t="s">
        <v>2620</v>
      </c>
    </row>
    <row r="7247" spans="1:16" ht="19.5" thickBot="1" x14ac:dyDescent="0.3">
      <c r="A7247" s="513">
        <f t="shared" si="220"/>
        <v>4462</v>
      </c>
      <c r="B7247" s="514" t="s">
        <v>2565</v>
      </c>
      <c r="C7247" s="515" t="s">
        <v>26</v>
      </c>
      <c r="D7247" s="516">
        <v>17.606000000000002</v>
      </c>
      <c r="E7247" s="517"/>
      <c r="F7247" s="518" t="s">
        <v>16</v>
      </c>
      <c r="G7247" s="519"/>
      <c r="H7247" s="518" t="s">
        <v>2617</v>
      </c>
      <c r="I7247" s="520"/>
      <c r="J7247" s="521"/>
      <c r="K7247" s="514"/>
      <c r="L7247" s="518" t="s">
        <v>265</v>
      </c>
      <c r="M7247" s="518">
        <v>17751.039999999997</v>
      </c>
      <c r="N7247" s="522">
        <v>4.1666666666666664E-2</v>
      </c>
    </row>
    <row r="7248" spans="1:16" x14ac:dyDescent="0.25">
      <c r="A7248" s="1017">
        <f t="shared" si="220"/>
        <v>4463</v>
      </c>
      <c r="B7248" s="531" t="s">
        <v>2565</v>
      </c>
      <c r="C7248" s="532" t="s">
        <v>26</v>
      </c>
      <c r="D7248" s="533">
        <v>10.585000000000001</v>
      </c>
      <c r="E7248" s="534"/>
      <c r="F7248" s="535" t="s">
        <v>16</v>
      </c>
      <c r="G7248" s="536"/>
      <c r="H7248" s="535" t="s">
        <v>2617</v>
      </c>
      <c r="I7248" s="537"/>
      <c r="J7248" s="538"/>
      <c r="K7248" s="531"/>
      <c r="L7248" s="535" t="s">
        <v>265</v>
      </c>
      <c r="M7248" s="535">
        <v>10686.22</v>
      </c>
      <c r="N7248" s="539">
        <v>8.3333333333333329E-2</v>
      </c>
    </row>
    <row r="7249" spans="1:15" x14ac:dyDescent="0.25">
      <c r="A7249" s="1019"/>
      <c r="B7249" s="563" t="s">
        <v>2565</v>
      </c>
      <c r="C7249" s="564" t="s">
        <v>1358</v>
      </c>
      <c r="D7249" s="565">
        <v>2.1509999999999998</v>
      </c>
      <c r="E7249" s="566"/>
      <c r="F7249" s="567" t="s">
        <v>16</v>
      </c>
      <c r="G7249" s="568" t="s">
        <v>844</v>
      </c>
      <c r="H7249" s="567" t="s">
        <v>2617</v>
      </c>
      <c r="I7249" s="569"/>
      <c r="J7249" s="570"/>
      <c r="K7249" s="563"/>
      <c r="L7249" s="567" t="s">
        <v>265</v>
      </c>
      <c r="M7249" s="567">
        <v>2259.3000000000002</v>
      </c>
      <c r="N7249" s="571">
        <v>8.3333333333333329E-2</v>
      </c>
    </row>
    <row r="7250" spans="1:15" ht="19.5" thickBot="1" x14ac:dyDescent="0.3">
      <c r="A7250" s="1018"/>
      <c r="B7250" s="636" t="s">
        <v>2565</v>
      </c>
      <c r="C7250" s="637" t="s">
        <v>1358</v>
      </c>
      <c r="D7250" s="638">
        <v>4.8019999999999996</v>
      </c>
      <c r="E7250" s="639"/>
      <c r="F7250" s="640" t="s">
        <v>16</v>
      </c>
      <c r="G7250" s="1007" t="s">
        <v>845</v>
      </c>
      <c r="H7250" s="640" t="s">
        <v>2617</v>
      </c>
      <c r="I7250" s="642"/>
      <c r="J7250" s="643"/>
      <c r="K7250" s="636"/>
      <c r="L7250" s="640" t="s">
        <v>265</v>
      </c>
      <c r="M7250" s="640">
        <v>4914</v>
      </c>
      <c r="N7250" s="644">
        <v>8.3333333333333329E-2</v>
      </c>
    </row>
    <row r="7251" spans="1:15" x14ac:dyDescent="0.25">
      <c r="A7251" s="1023">
        <f t="shared" si="220"/>
        <v>4464</v>
      </c>
      <c r="B7251" s="479" t="s">
        <v>2565</v>
      </c>
      <c r="C7251" s="480" t="s">
        <v>15</v>
      </c>
      <c r="D7251" s="481">
        <v>9.3030000000000008</v>
      </c>
      <c r="E7251" s="482"/>
      <c r="F7251" s="483" t="s">
        <v>16</v>
      </c>
      <c r="G7251" s="1006"/>
      <c r="H7251" s="483" t="s">
        <v>2617</v>
      </c>
      <c r="I7251" s="484"/>
      <c r="J7251" s="485"/>
      <c r="K7251" s="479"/>
      <c r="L7251" s="483" t="s">
        <v>28</v>
      </c>
      <c r="M7251" s="483">
        <v>9525.1799999999985</v>
      </c>
      <c r="N7251" s="486">
        <v>0.41666666666666669</v>
      </c>
    </row>
    <row r="7252" spans="1:15" ht="19.5" thickBot="1" x14ac:dyDescent="0.3">
      <c r="A7252" s="1024"/>
      <c r="B7252" s="645" t="s">
        <v>2565</v>
      </c>
      <c r="C7252" s="646" t="s">
        <v>24</v>
      </c>
      <c r="D7252" s="647">
        <v>8.202</v>
      </c>
      <c r="E7252" s="648"/>
      <c r="F7252" s="649" t="s">
        <v>16</v>
      </c>
      <c r="G7252" s="1008"/>
      <c r="H7252" s="649" t="s">
        <v>2617</v>
      </c>
      <c r="I7252" s="651"/>
      <c r="J7252" s="652"/>
      <c r="K7252" s="645"/>
      <c r="L7252" s="649" t="s">
        <v>28</v>
      </c>
      <c r="M7252" s="649">
        <v>8393.86</v>
      </c>
      <c r="N7252" s="653">
        <v>0.41666666666666669</v>
      </c>
    </row>
    <row r="7253" spans="1:15" ht="19.5" thickBot="1" x14ac:dyDescent="0.3">
      <c r="A7253" s="503">
        <f t="shared" si="220"/>
        <v>4465</v>
      </c>
      <c r="B7253" s="504" t="s">
        <v>2565</v>
      </c>
      <c r="C7253" s="505" t="s">
        <v>23</v>
      </c>
      <c r="D7253" s="506">
        <v>17.399999999999999</v>
      </c>
      <c r="E7253" s="507"/>
      <c r="F7253" s="508" t="s">
        <v>16</v>
      </c>
      <c r="G7253" s="509"/>
      <c r="H7253" s="508" t="s">
        <v>2617</v>
      </c>
      <c r="I7253" s="510"/>
      <c r="J7253" s="511"/>
      <c r="K7253" s="504"/>
      <c r="L7253" s="508" t="s">
        <v>28</v>
      </c>
      <c r="M7253" s="508">
        <v>17593.480000000003</v>
      </c>
      <c r="N7253" s="512">
        <v>0.45833333333333331</v>
      </c>
    </row>
    <row r="7254" spans="1:15" ht="19.5" thickBot="1" x14ac:dyDescent="0.3">
      <c r="A7254" s="513">
        <f t="shared" si="220"/>
        <v>4466</v>
      </c>
      <c r="B7254" s="514" t="s">
        <v>2565</v>
      </c>
      <c r="C7254" s="515" t="s">
        <v>47</v>
      </c>
      <c r="D7254" s="516">
        <v>17.597999999999999</v>
      </c>
      <c r="E7254" s="517"/>
      <c r="F7254" s="518" t="s">
        <v>16</v>
      </c>
      <c r="G7254" s="519"/>
      <c r="H7254" s="518" t="s">
        <v>2617</v>
      </c>
      <c r="I7254" s="520"/>
      <c r="J7254" s="521"/>
      <c r="K7254" s="514"/>
      <c r="L7254" s="518" t="s">
        <v>28</v>
      </c>
      <c r="M7254" s="518">
        <v>17815.55</v>
      </c>
      <c r="N7254" s="522">
        <v>0.5</v>
      </c>
    </row>
    <row r="7255" spans="1:15" x14ac:dyDescent="0.25">
      <c r="A7255" s="1017">
        <f t="shared" si="220"/>
        <v>4467</v>
      </c>
      <c r="B7255" s="531" t="s">
        <v>2565</v>
      </c>
      <c r="C7255" s="532" t="s">
        <v>23</v>
      </c>
      <c r="D7255" s="533">
        <v>6.44</v>
      </c>
      <c r="E7255" s="534"/>
      <c r="F7255" s="535" t="s">
        <v>30</v>
      </c>
      <c r="G7255" s="536"/>
      <c r="H7255" s="535" t="s">
        <v>2617</v>
      </c>
      <c r="I7255" s="537"/>
      <c r="J7255" s="538"/>
      <c r="K7255" s="531"/>
      <c r="L7255" s="535" t="s">
        <v>28</v>
      </c>
      <c r="M7255" s="535">
        <v>6440.84</v>
      </c>
      <c r="N7255" s="539">
        <v>0.41666666666666669</v>
      </c>
    </row>
    <row r="7256" spans="1:15" ht="19.5" thickBot="1" x14ac:dyDescent="0.3">
      <c r="A7256" s="1018"/>
      <c r="B7256" s="636" t="s">
        <v>2565</v>
      </c>
      <c r="C7256" s="637" t="s">
        <v>587</v>
      </c>
      <c r="D7256" s="638">
        <v>6.43</v>
      </c>
      <c r="E7256" s="639"/>
      <c r="F7256" s="640" t="s">
        <v>30</v>
      </c>
      <c r="G7256" s="1007" t="s">
        <v>23</v>
      </c>
      <c r="H7256" s="640" t="s">
        <v>2617</v>
      </c>
      <c r="I7256" s="642"/>
      <c r="J7256" s="643"/>
      <c r="K7256" s="636"/>
      <c r="L7256" s="640" t="s">
        <v>28</v>
      </c>
      <c r="M7256" s="640">
        <v>6430.28</v>
      </c>
      <c r="N7256" s="644">
        <v>0.41666666666666669</v>
      </c>
    </row>
    <row r="7257" spans="1:15" ht="19.5" thickBot="1" x14ac:dyDescent="0.3">
      <c r="A7257" s="513">
        <f t="shared" si="220"/>
        <v>4468</v>
      </c>
      <c r="B7257" s="514" t="s">
        <v>2565</v>
      </c>
      <c r="C7257" s="515" t="s">
        <v>26</v>
      </c>
      <c r="D7257" s="516">
        <v>15.627000000000001</v>
      </c>
      <c r="E7257" s="517"/>
      <c r="F7257" s="518" t="s">
        <v>30</v>
      </c>
      <c r="G7257" s="519"/>
      <c r="H7257" s="518" t="s">
        <v>2619</v>
      </c>
      <c r="I7257" s="520"/>
      <c r="J7257" s="521"/>
      <c r="K7257" s="514"/>
      <c r="L7257" s="518" t="s">
        <v>265</v>
      </c>
      <c r="M7257" s="518">
        <v>15627.560000000001</v>
      </c>
      <c r="N7257" s="522">
        <v>4.1666666666666664E-2</v>
      </c>
      <c r="O7257" s="897" t="s">
        <v>2621</v>
      </c>
    </row>
    <row r="7258" spans="1:15" ht="19.5" thickBot="1" x14ac:dyDescent="0.3">
      <c r="A7258" s="503">
        <f t="shared" si="220"/>
        <v>4469</v>
      </c>
      <c r="B7258" s="504" t="s">
        <v>2565</v>
      </c>
      <c r="C7258" s="505" t="s">
        <v>26</v>
      </c>
      <c r="D7258" s="506">
        <v>18.628</v>
      </c>
      <c r="E7258" s="507"/>
      <c r="F7258" s="508" t="s">
        <v>16</v>
      </c>
      <c r="G7258" s="509"/>
      <c r="H7258" s="508" t="s">
        <v>2619</v>
      </c>
      <c r="I7258" s="510"/>
      <c r="J7258" s="511"/>
      <c r="K7258" s="504"/>
      <c r="L7258" s="508" t="s">
        <v>265</v>
      </c>
      <c r="M7258" s="508">
        <v>18819.259999999998</v>
      </c>
      <c r="N7258" s="512">
        <v>4.1666666666666664E-2</v>
      </c>
    </row>
    <row r="7259" spans="1:15" ht="169.5" thickBot="1" x14ac:dyDescent="0.3">
      <c r="A7259" s="513">
        <f t="shared" si="220"/>
        <v>4470</v>
      </c>
      <c r="B7259" s="514" t="s">
        <v>2565</v>
      </c>
      <c r="C7259" s="515" t="s">
        <v>24</v>
      </c>
      <c r="D7259" s="516">
        <v>5.4640000000000004</v>
      </c>
      <c r="E7259" s="517"/>
      <c r="F7259" s="518" t="s">
        <v>16</v>
      </c>
      <c r="G7259" s="519" t="s">
        <v>2624</v>
      </c>
      <c r="H7259" s="518" t="s">
        <v>2619</v>
      </c>
      <c r="I7259" s="520"/>
      <c r="J7259" s="521"/>
      <c r="K7259" s="514"/>
      <c r="L7259" s="518" t="s">
        <v>28</v>
      </c>
      <c r="M7259" s="518">
        <v>5549.28</v>
      </c>
      <c r="N7259" s="522">
        <v>0.41666666666666669</v>
      </c>
    </row>
    <row r="7260" spans="1:15" ht="57" thickBot="1" x14ac:dyDescent="0.3">
      <c r="A7260" s="503">
        <f t="shared" si="220"/>
        <v>4471</v>
      </c>
      <c r="B7260" s="504" t="s">
        <v>2565</v>
      </c>
      <c r="C7260" s="505" t="s">
        <v>47</v>
      </c>
      <c r="D7260" s="506">
        <v>17.265000000000001</v>
      </c>
      <c r="E7260" s="507"/>
      <c r="F7260" s="508" t="s">
        <v>16</v>
      </c>
      <c r="G7260" s="509" t="s">
        <v>2625</v>
      </c>
      <c r="H7260" s="508" t="s">
        <v>2619</v>
      </c>
      <c r="I7260" s="510"/>
      <c r="J7260" s="511"/>
      <c r="K7260" s="504"/>
      <c r="L7260" s="508" t="s">
        <v>28</v>
      </c>
      <c r="M7260" s="508">
        <v>17410.560000000001</v>
      </c>
      <c r="N7260" s="512">
        <v>0.45833333333333331</v>
      </c>
    </row>
    <row r="7261" spans="1:15" x14ac:dyDescent="0.25">
      <c r="A7261" s="1023">
        <f t="shared" si="220"/>
        <v>4472</v>
      </c>
      <c r="B7261" s="479" t="s">
        <v>2565</v>
      </c>
      <c r="C7261" s="480" t="s">
        <v>15</v>
      </c>
      <c r="D7261" s="481">
        <v>10.851000000000001</v>
      </c>
      <c r="E7261" s="482"/>
      <c r="F7261" s="483" t="s">
        <v>30</v>
      </c>
      <c r="G7261" s="1006"/>
      <c r="H7261" s="483" t="s">
        <v>2619</v>
      </c>
      <c r="I7261" s="484"/>
      <c r="J7261" s="485"/>
      <c r="K7261" s="479"/>
      <c r="L7261" s="483" t="s">
        <v>28</v>
      </c>
      <c r="M7261" s="483">
        <v>10851.199999999999</v>
      </c>
      <c r="N7261" s="486">
        <v>0.41666666666666669</v>
      </c>
    </row>
    <row r="7262" spans="1:15" ht="19.5" thickBot="1" x14ac:dyDescent="0.3">
      <c r="A7262" s="1024"/>
      <c r="B7262" s="645" t="s">
        <v>2565</v>
      </c>
      <c r="C7262" s="646" t="s">
        <v>24</v>
      </c>
      <c r="D7262" s="647">
        <v>3.746</v>
      </c>
      <c r="E7262" s="648"/>
      <c r="F7262" s="649" t="s">
        <v>30</v>
      </c>
      <c r="G7262" s="1008"/>
      <c r="H7262" s="649" t="s">
        <v>2619</v>
      </c>
      <c r="I7262" s="651"/>
      <c r="J7262" s="652"/>
      <c r="K7262" s="645"/>
      <c r="L7262" s="649" t="s">
        <v>28</v>
      </c>
      <c r="M7262" s="649">
        <v>3746.52</v>
      </c>
      <c r="N7262" s="653">
        <v>0.41666666666666669</v>
      </c>
    </row>
    <row r="7263" spans="1:15" x14ac:dyDescent="0.25">
      <c r="A7263" s="676">
        <f t="shared" si="220"/>
        <v>4473</v>
      </c>
      <c r="B7263" s="676"/>
      <c r="C7263" s="473"/>
      <c r="D7263" s="474"/>
      <c r="E7263" s="475"/>
      <c r="F7263" s="676"/>
      <c r="G7263" s="476"/>
      <c r="H7263" s="676"/>
      <c r="I7263" s="477"/>
      <c r="J7263" s="1003"/>
      <c r="K7263" s="676"/>
      <c r="L7263" s="676"/>
      <c r="M7263" s="676"/>
      <c r="N7263" s="676"/>
    </row>
    <row r="7264" spans="1:15" x14ac:dyDescent="0.25">
      <c r="A7264" s="676">
        <f t="shared" si="220"/>
        <v>4474</v>
      </c>
      <c r="B7264" s="676"/>
      <c r="C7264" s="473"/>
      <c r="D7264" s="474"/>
      <c r="E7264" s="475"/>
      <c r="F7264" s="676"/>
      <c r="G7264" s="476"/>
      <c r="H7264" s="676"/>
      <c r="I7264" s="477"/>
      <c r="J7264" s="1003"/>
      <c r="K7264" s="676"/>
      <c r="L7264" s="676"/>
      <c r="M7264" s="676"/>
      <c r="N7264" s="676"/>
    </row>
    <row r="7265" spans="1:14" x14ac:dyDescent="0.25">
      <c r="A7265" s="676">
        <f t="shared" si="220"/>
        <v>4475</v>
      </c>
      <c r="B7265" s="676"/>
      <c r="C7265" s="473"/>
      <c r="D7265" s="474"/>
      <c r="E7265" s="475"/>
      <c r="F7265" s="676"/>
      <c r="G7265" s="476"/>
      <c r="H7265" s="676"/>
      <c r="I7265" s="477"/>
      <c r="J7265" s="1003"/>
      <c r="K7265" s="676"/>
      <c r="L7265" s="676"/>
      <c r="M7265" s="676"/>
      <c r="N7265" s="676"/>
    </row>
    <row r="7266" spans="1:14" x14ac:dyDescent="0.25">
      <c r="A7266" s="676">
        <f t="shared" si="220"/>
        <v>4476</v>
      </c>
      <c r="B7266" s="676"/>
      <c r="C7266" s="473"/>
      <c r="D7266" s="474"/>
      <c r="E7266" s="475"/>
      <c r="F7266" s="676"/>
      <c r="G7266" s="476"/>
      <c r="H7266" s="676"/>
      <c r="I7266" s="477"/>
      <c r="J7266" s="1003"/>
      <c r="K7266" s="676"/>
      <c r="L7266" s="676"/>
      <c r="M7266" s="676"/>
      <c r="N7266" s="676"/>
    </row>
    <row r="7267" spans="1:14" x14ac:dyDescent="0.25">
      <c r="A7267" s="676">
        <f t="shared" si="220"/>
        <v>4477</v>
      </c>
      <c r="B7267" s="676"/>
      <c r="C7267" s="473"/>
      <c r="D7267" s="474"/>
      <c r="E7267" s="475"/>
      <c r="F7267" s="676"/>
      <c r="G7267" s="476"/>
      <c r="H7267" s="676"/>
      <c r="I7267" s="477"/>
      <c r="J7267" s="1003"/>
      <c r="K7267" s="676"/>
      <c r="L7267" s="676"/>
      <c r="M7267" s="676"/>
      <c r="N7267" s="676"/>
    </row>
    <row r="7268" spans="1:14" x14ac:dyDescent="0.25">
      <c r="A7268" s="676">
        <f t="shared" si="220"/>
        <v>4478</v>
      </c>
      <c r="B7268" s="676"/>
      <c r="C7268" s="473"/>
      <c r="D7268" s="474"/>
      <c r="E7268" s="475"/>
      <c r="F7268" s="676"/>
      <c r="G7268" s="476"/>
      <c r="H7268" s="676"/>
      <c r="I7268" s="477"/>
      <c r="J7268" s="1003"/>
      <c r="K7268" s="676"/>
      <c r="L7268" s="676"/>
      <c r="M7268" s="676"/>
      <c r="N7268" s="676"/>
    </row>
    <row r="7269" spans="1:14" x14ac:dyDescent="0.25">
      <c r="A7269" s="676">
        <f t="shared" si="220"/>
        <v>4479</v>
      </c>
      <c r="B7269" s="676"/>
      <c r="C7269" s="473"/>
      <c r="D7269" s="474"/>
      <c r="E7269" s="475"/>
      <c r="F7269" s="676"/>
      <c r="G7269" s="476"/>
      <c r="H7269" s="676"/>
      <c r="I7269" s="477"/>
      <c r="J7269" s="1003"/>
      <c r="K7269" s="676"/>
      <c r="L7269" s="676"/>
      <c r="M7269" s="676"/>
      <c r="N7269" s="676"/>
    </row>
    <row r="7270" spans="1:14" x14ac:dyDescent="0.25">
      <c r="A7270" s="676">
        <f t="shared" si="220"/>
        <v>4480</v>
      </c>
      <c r="B7270" s="676"/>
      <c r="C7270" s="473"/>
      <c r="D7270" s="474"/>
      <c r="E7270" s="475"/>
      <c r="F7270" s="676"/>
      <c r="G7270" s="476"/>
      <c r="H7270" s="676"/>
      <c r="I7270" s="477"/>
      <c r="J7270" s="1003"/>
      <c r="K7270" s="676"/>
      <c r="L7270" s="676"/>
      <c r="M7270" s="676"/>
      <c r="N7270" s="676"/>
    </row>
    <row r="7271" spans="1:14" x14ac:dyDescent="0.25">
      <c r="A7271" s="676">
        <f t="shared" si="220"/>
        <v>4481</v>
      </c>
      <c r="B7271" s="676"/>
      <c r="C7271" s="473"/>
      <c r="D7271" s="474"/>
      <c r="E7271" s="475"/>
      <c r="F7271" s="676"/>
      <c r="G7271" s="476"/>
      <c r="H7271" s="676"/>
      <c r="I7271" s="477"/>
      <c r="J7271" s="1003"/>
      <c r="K7271" s="676"/>
      <c r="L7271" s="676"/>
      <c r="M7271" s="676"/>
      <c r="N7271" s="676"/>
    </row>
    <row r="7272" spans="1:14" x14ac:dyDescent="0.25">
      <c r="A7272" s="676">
        <f t="shared" si="220"/>
        <v>4482</v>
      </c>
      <c r="B7272" s="676"/>
      <c r="C7272" s="473"/>
      <c r="D7272" s="474"/>
      <c r="E7272" s="475"/>
      <c r="F7272" s="676"/>
      <c r="G7272" s="476"/>
      <c r="H7272" s="676"/>
      <c r="I7272" s="477"/>
      <c r="J7272" s="1003"/>
      <c r="K7272" s="676"/>
      <c r="L7272" s="676"/>
      <c r="M7272" s="676"/>
      <c r="N7272" s="676"/>
    </row>
    <row r="7273" spans="1:14" x14ac:dyDescent="0.25">
      <c r="A7273" s="676">
        <f t="shared" si="220"/>
        <v>4483</v>
      </c>
      <c r="B7273" s="676"/>
      <c r="C7273" s="473"/>
      <c r="D7273" s="474"/>
      <c r="E7273" s="475"/>
      <c r="F7273" s="676"/>
      <c r="G7273" s="476"/>
      <c r="H7273" s="676"/>
      <c r="I7273" s="477"/>
      <c r="J7273" s="1003"/>
      <c r="K7273" s="676"/>
      <c r="L7273" s="676"/>
      <c r="M7273" s="676"/>
      <c r="N7273" s="676"/>
    </row>
    <row r="7274" spans="1:14" x14ac:dyDescent="0.25">
      <c r="A7274" s="676">
        <f t="shared" si="220"/>
        <v>4484</v>
      </c>
      <c r="B7274" s="676"/>
      <c r="C7274" s="473"/>
      <c r="D7274" s="474"/>
      <c r="E7274" s="475"/>
      <c r="F7274" s="676"/>
      <c r="G7274" s="476"/>
      <c r="H7274" s="676"/>
      <c r="I7274" s="477"/>
      <c r="J7274" s="1003"/>
      <c r="K7274" s="676"/>
      <c r="L7274" s="676"/>
      <c r="M7274" s="676"/>
      <c r="N7274" s="676"/>
    </row>
    <row r="7275" spans="1:14" x14ac:dyDescent="0.25">
      <c r="A7275" s="676">
        <f t="shared" si="220"/>
        <v>4485</v>
      </c>
      <c r="B7275" s="676"/>
      <c r="C7275" s="473"/>
      <c r="D7275" s="474"/>
      <c r="E7275" s="475"/>
      <c r="F7275" s="676"/>
      <c r="G7275" s="476"/>
      <c r="H7275" s="676"/>
      <c r="I7275" s="477"/>
      <c r="J7275" s="1003"/>
      <c r="K7275" s="676"/>
      <c r="L7275" s="676"/>
      <c r="M7275" s="676"/>
      <c r="N7275" s="676"/>
    </row>
    <row r="7276" spans="1:14" x14ac:dyDescent="0.25">
      <c r="A7276" s="676">
        <f t="shared" si="220"/>
        <v>4486</v>
      </c>
      <c r="B7276" s="676"/>
      <c r="C7276" s="473"/>
      <c r="D7276" s="474"/>
      <c r="E7276" s="475"/>
      <c r="F7276" s="676"/>
      <c r="G7276" s="476"/>
      <c r="H7276" s="676"/>
      <c r="I7276" s="477"/>
      <c r="J7276" s="1003"/>
      <c r="K7276" s="676"/>
      <c r="L7276" s="676"/>
      <c r="M7276" s="676"/>
      <c r="N7276" s="676"/>
    </row>
    <row r="7277" spans="1:14" x14ac:dyDescent="0.25">
      <c r="A7277" s="676">
        <f t="shared" si="220"/>
        <v>4487</v>
      </c>
      <c r="B7277" s="676"/>
      <c r="C7277" s="473"/>
      <c r="D7277" s="474"/>
      <c r="E7277" s="475"/>
      <c r="F7277" s="676"/>
      <c r="G7277" s="476"/>
      <c r="H7277" s="676"/>
      <c r="I7277" s="477"/>
      <c r="J7277" s="1003"/>
      <c r="K7277" s="676"/>
      <c r="L7277" s="676"/>
      <c r="M7277" s="676"/>
      <c r="N7277" s="676"/>
    </row>
  </sheetData>
  <autoFilter ref="A2:R7277" xr:uid="{9E4C531E-AD50-422A-AC7C-8C5AF4C19268}">
    <filterColumn colId="10">
      <filters blank="1"/>
    </filterColumn>
  </autoFilter>
  <mergeCells count="1919">
    <mergeCell ref="A7251:A7252"/>
    <mergeCell ref="A7255:A7256"/>
    <mergeCell ref="A7261:A7262"/>
    <mergeCell ref="A7225:A7226"/>
    <mergeCell ref="A7227:A7229"/>
    <mergeCell ref="A7230:A7231"/>
    <mergeCell ref="A7232:A7236"/>
    <mergeCell ref="A7238:A7239"/>
    <mergeCell ref="A7240:A7242"/>
    <mergeCell ref="A7243:A7244"/>
    <mergeCell ref="A7217:A7218"/>
    <mergeCell ref="A7204:A7205"/>
    <mergeCell ref="G7204:G7205"/>
    <mergeCell ref="A7206:A7207"/>
    <mergeCell ref="G7206:G7207"/>
    <mergeCell ref="A7199:A7200"/>
    <mergeCell ref="A7201:A7203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A7248:A72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2026-09-11T13:57:00Z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