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7CF33699-6D47-4F0C-BAC8-9453460FF25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Лист1!$A$2:$R$7034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9" i="1" s="1"/>
  <c r="A7041" i="1" s="1"/>
  <c r="A7044" i="1" l="1"/>
  <c r="A7045" i="1" s="1"/>
  <c r="A7046" i="1" l="1"/>
  <c r="A7047" i="1" l="1"/>
  <c r="A7048" i="1" s="1"/>
  <c r="A7049" i="1"/>
  <c r="A7050" i="1" l="1"/>
  <c r="A7051" i="1"/>
  <c r="A7052" i="1" s="1"/>
  <c r="A7053" i="1" l="1"/>
  <c r="A7054" i="1" s="1"/>
</calcChain>
</file>

<file path=xl/sharedStrings.xml><?xml version="1.0" encoding="utf-8"?>
<sst xmlns="http://schemas.openxmlformats.org/spreadsheetml/2006/main" count="44934" uniqueCount="2191">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</sst>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9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54"/>
  <sheetViews>
    <sheetView tabSelected="1" zoomScale="80" zoomScaleNormal="80" workbookViewId="0">
      <pane ySplit="2" topLeftCell="A7035" activePane="bottomLeft" state="frozen"/>
      <selection pane="bottomLeft" activeCell="P7050" sqref="P705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14" t="s">
        <v>0</v>
      </c>
      <c r="B1" s="1014"/>
      <c r="C1" s="1014"/>
      <c r="D1" s="1014"/>
      <c r="E1" s="1014"/>
      <c r="F1" s="1014"/>
      <c r="G1" s="1014"/>
      <c r="H1" s="1014"/>
      <c r="I1" s="1014"/>
      <c r="J1" s="1014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5">
        <v>1</v>
      </c>
      <c r="B3" s="101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5"/>
      <c r="B4" s="101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16">
        <v>3</v>
      </c>
      <c r="B6" s="101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16"/>
      <c r="B7" s="101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16"/>
      <c r="B8" s="101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16">
        <v>5</v>
      </c>
      <c r="B10" s="101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16"/>
      <c r="B11" s="101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17">
        <v>8</v>
      </c>
      <c r="B14" s="101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17"/>
      <c r="B15" s="101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16">
        <v>11</v>
      </c>
      <c r="B18" s="101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16"/>
      <c r="B19" s="101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16"/>
      <c r="B20" s="101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16"/>
      <c r="B21" s="101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16">
        <v>13</v>
      </c>
      <c r="B23" s="101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16"/>
      <c r="B24" s="101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17">
        <v>14</v>
      </c>
      <c r="B25" s="101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17"/>
      <c r="B26" s="101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16">
        <v>15</v>
      </c>
      <c r="B27" s="101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16"/>
      <c r="B28" s="101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16"/>
      <c r="B29" s="101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16"/>
      <c r="B30" s="101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17">
        <v>16</v>
      </c>
      <c r="B31" s="101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17"/>
      <c r="B32" s="101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17"/>
      <c r="B33" s="101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17"/>
      <c r="B34" s="101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16">
        <v>17</v>
      </c>
      <c r="B35" s="101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16"/>
      <c r="B36" s="101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16">
        <v>21</v>
      </c>
      <c r="B40" s="101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16"/>
      <c r="B41" s="101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16">
        <v>23</v>
      </c>
      <c r="B43" s="101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16"/>
      <c r="B44" s="101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16"/>
      <c r="B45" s="101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17">
        <v>24</v>
      </c>
      <c r="B46" s="101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17"/>
      <c r="B47" s="101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16">
        <v>25</v>
      </c>
      <c r="B48" s="101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16"/>
      <c r="B49" s="101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16"/>
      <c r="B50" s="101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17">
        <v>26</v>
      </c>
      <c r="B51" s="101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17"/>
      <c r="B52" s="101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16">
        <v>29</v>
      </c>
      <c r="B55" s="101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16"/>
      <c r="B56" s="101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17">
        <v>32</v>
      </c>
      <c r="B59" s="101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17"/>
      <c r="B60" s="101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17">
        <v>34</v>
      </c>
      <c r="B62" s="101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17"/>
      <c r="B63" s="101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17"/>
      <c r="B64" s="101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17"/>
      <c r="B65" s="101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17"/>
      <c r="B66" s="101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16">
        <v>35</v>
      </c>
      <c r="B67" s="101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16"/>
      <c r="B68" s="101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90">
        <v>40</v>
      </c>
      <c r="B73" s="101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90"/>
      <c r="B74" s="101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91">
        <v>41</v>
      </c>
      <c r="B75" s="101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91"/>
      <c r="B76" s="101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91"/>
      <c r="B77" s="101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90">
        <v>42</v>
      </c>
      <c r="B78" s="101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90"/>
      <c r="B79" s="101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91">
        <v>49</v>
      </c>
      <c r="B86" s="101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91"/>
      <c r="B87" s="101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91"/>
      <c r="B88" s="101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90">
        <v>50</v>
      </c>
      <c r="B89" s="101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90"/>
      <c r="B90" s="101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91">
        <v>51</v>
      </c>
      <c r="B91" s="101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91"/>
      <c r="B92" s="101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91">
        <v>53</v>
      </c>
      <c r="B94" s="101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91"/>
      <c r="B95" s="101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90">
        <v>54</v>
      </c>
      <c r="B96" s="101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90"/>
      <c r="B97" s="101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90"/>
      <c r="B98" s="101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90">
        <v>58</v>
      </c>
      <c r="B102" s="101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90"/>
      <c r="B103" s="101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90">
        <v>60</v>
      </c>
      <c r="B105" s="101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90"/>
      <c r="B106" s="101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90"/>
      <c r="B107" s="101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91">
        <v>61</v>
      </c>
      <c r="B108" s="101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91"/>
      <c r="B109" s="101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91"/>
      <c r="B110" s="101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90">
        <v>64</v>
      </c>
      <c r="B113" s="101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90"/>
      <c r="B114" s="101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90">
        <v>66</v>
      </c>
      <c r="B116" s="101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90"/>
      <c r="B117" s="101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91">
        <v>67</v>
      </c>
      <c r="B118" s="101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91"/>
      <c r="B119" s="101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91"/>
      <c r="B120" s="101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90">
        <v>68</v>
      </c>
      <c r="B121" s="101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90"/>
      <c r="B122" s="101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91">
        <v>69</v>
      </c>
      <c r="B123" s="101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91"/>
      <c r="B124" s="101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90">
        <v>72</v>
      </c>
      <c r="B127" s="1017" t="s">
        <v>65</v>
      </c>
      <c r="C127" s="119" t="s">
        <v>26</v>
      </c>
      <c r="D127" s="120">
        <v>3.3</v>
      </c>
      <c r="E127" s="121"/>
      <c r="F127" s="122" t="s">
        <v>30</v>
      </c>
      <c r="G127" s="101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90"/>
      <c r="B128" s="1017"/>
      <c r="C128" s="103" t="s">
        <v>26</v>
      </c>
      <c r="D128" s="88">
        <v>12.9</v>
      </c>
      <c r="E128" s="106"/>
      <c r="F128" s="107" t="s">
        <v>16</v>
      </c>
      <c r="G128" s="101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90">
        <v>76</v>
      </c>
      <c r="B132" s="101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90"/>
      <c r="B133" s="101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90"/>
      <c r="B134" s="101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90"/>
      <c r="B135" s="101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90">
        <v>78</v>
      </c>
      <c r="B137" s="101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90"/>
      <c r="B138" s="101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9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9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9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9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9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9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9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9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9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9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9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9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9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9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9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9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9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9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9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9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9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9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1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9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1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9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9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9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9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9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9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9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9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9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9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9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9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9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9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9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9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9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9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9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9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9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9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9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9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9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9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9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9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9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9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9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9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9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9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9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9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9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9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9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9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9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1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9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1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9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9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9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9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9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9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9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9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9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9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9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9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9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9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9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9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9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9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9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9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9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9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9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9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9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9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9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9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9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9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9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9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0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9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02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9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9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9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1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9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1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9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9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9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9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9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9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9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9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9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9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9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9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9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9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9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9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9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9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9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9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9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9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9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9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9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9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9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9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9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1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9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1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9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9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9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9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9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9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9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9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9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9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9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9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9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9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9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9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9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9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9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9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9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9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9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9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9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9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9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9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9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9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9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9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9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9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9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9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9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9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9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9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9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9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9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9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9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9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9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9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9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9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9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9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9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9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9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9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9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9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9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9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9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9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9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9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9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9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9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9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9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9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9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9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9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9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9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9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10" t="s">
        <v>133</v>
      </c>
      <c r="J420" s="1010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9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9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9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9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9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9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9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9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9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9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9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9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9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9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9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9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9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9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9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9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9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9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9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9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9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9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9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9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9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9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9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9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9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9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9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9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9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9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9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9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9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9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9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9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9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9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9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9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9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9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9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9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9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9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9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9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9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9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9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9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0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9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06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9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06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9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06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9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06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9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9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9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9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9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9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9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9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9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9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9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9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9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9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9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9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9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9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9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9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9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9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9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9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9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9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9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9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9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9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9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9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9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9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9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9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9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9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9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9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9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9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9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9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9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9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9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9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9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9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9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9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9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9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9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9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9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9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9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9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9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9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9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9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9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9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9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9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9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9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9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9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9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9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9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9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9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9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9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9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9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9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9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9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9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9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9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9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9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9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9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9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9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9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9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9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9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9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9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9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9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9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9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9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9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9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9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9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9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9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9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9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9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9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9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9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9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9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9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9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9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9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9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9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9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9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9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9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9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9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9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9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9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9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9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9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9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9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9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9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9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9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9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9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9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9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9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9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9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9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9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9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9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9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9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9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9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9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9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9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9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9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9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9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9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9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9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9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9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9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9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9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9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9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9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9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9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9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9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9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9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0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9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07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9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9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9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9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9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9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9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9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9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9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9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9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9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9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9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9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2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2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2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2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2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2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9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9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9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9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9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9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9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9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9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9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9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9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9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9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9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9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9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9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2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2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9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9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9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9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9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9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9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9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9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9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9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9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9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9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9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9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9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9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9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9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9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9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9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9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9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9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9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9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9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9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9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9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9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9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9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9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9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9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9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9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9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9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9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9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9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9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9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9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9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9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9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9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9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9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9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9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9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9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9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9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9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9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9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9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9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9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9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9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9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9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9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9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9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9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9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9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9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9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9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9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9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9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9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9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9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9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9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9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9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9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9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9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9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9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9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9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9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9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9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9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9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9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9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9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9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9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9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9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9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9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9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9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9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9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9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9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9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9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9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9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9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9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9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9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9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9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9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9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9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9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9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9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9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9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9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9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9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9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9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9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9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2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2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9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9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9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9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9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9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9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9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9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9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9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9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9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9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9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9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9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9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9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9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9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9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9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9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9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9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9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9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9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9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9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9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9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9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9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9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9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9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9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9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9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9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9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9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9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9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9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9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9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9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9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9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9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9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9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9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9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9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9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9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9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9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9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9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9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9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9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9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9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9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9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9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9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9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9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9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9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9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9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9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9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9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9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9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9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9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9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9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9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9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9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9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9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9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9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9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9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9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9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9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9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9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9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9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9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9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9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9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9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9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9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9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9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9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9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9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9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9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9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9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9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9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9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9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9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9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9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9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9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9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9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9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9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9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9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9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9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9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9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9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9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9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9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9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9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9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9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9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9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9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9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9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9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9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9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9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9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9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9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9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9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9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9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9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9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9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9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9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9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9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9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9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9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9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9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9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9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9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9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9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9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9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9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9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9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9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9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9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9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9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9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9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9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9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9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9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9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9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9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9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9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9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9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9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9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9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9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9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9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9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9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9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9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9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9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9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9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9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9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9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9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9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9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9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9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9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9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9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9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9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9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9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9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9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9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9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9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9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9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9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9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9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9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9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9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9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9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9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9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9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9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9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9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9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9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9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9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9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9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9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9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9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9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9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9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9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9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9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9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9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9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9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9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9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9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9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9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9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9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9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9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9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9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9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9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2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9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2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9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9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9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9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9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9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9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9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9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9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9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9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9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9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9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9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9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9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9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9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9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9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9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9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9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9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9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9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9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9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9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9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9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9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9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9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9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9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9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9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9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9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9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9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9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9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9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9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9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9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9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9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9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9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9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9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9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9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9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9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9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9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9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9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9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9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9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9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9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9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9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9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9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9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9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9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9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9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9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9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9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9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9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9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9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9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9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9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9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9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9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9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9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9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9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9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9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9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9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9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9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9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9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9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9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9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9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9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9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9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9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9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9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9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9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9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9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9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9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9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9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9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9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9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9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9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9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9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9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9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9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9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9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9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9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9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9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9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9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9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9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9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9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9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9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9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9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9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9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9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9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9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9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9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9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9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9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9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9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9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9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9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9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9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9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9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9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9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9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9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9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9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9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9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9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9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9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9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9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9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9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9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9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9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9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9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9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9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9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9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9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9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9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9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9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9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9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9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9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9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9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9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9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9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9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9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9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9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9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9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9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9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9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9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9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9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9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9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9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9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9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9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9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9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9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9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9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9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9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9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9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9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9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9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9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9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9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9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9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9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9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9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9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9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9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9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9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9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9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9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9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9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9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9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9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9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9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9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9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9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9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9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9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9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9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9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9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9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9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9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9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9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9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9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9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9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9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9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9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9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9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9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9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9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9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9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9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9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9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90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9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90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9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9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9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9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9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9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9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9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90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9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9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9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9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9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9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9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9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9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9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9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9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9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9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9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9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9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9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9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9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9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9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9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9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9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9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9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9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9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9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9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9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9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9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9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9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9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9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9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9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9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9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9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9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9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9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9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9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9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9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9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9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9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9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9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9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9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9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9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9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9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9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9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9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9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9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9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9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9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9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9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9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9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9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9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9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9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9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9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9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9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9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9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9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9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9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9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9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9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9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9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9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9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90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9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9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9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9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90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9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9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9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9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9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9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9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9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9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9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9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9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9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9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9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9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9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9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9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9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9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9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9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9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9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9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9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9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9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9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9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9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9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9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9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9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9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9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9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9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9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9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9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9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9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9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9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9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9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9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9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9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9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9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9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9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9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9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9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9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9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9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9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9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9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9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9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9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9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90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9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9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9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9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9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9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9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9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9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9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9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9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9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9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9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9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9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9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9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9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9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9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9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9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9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90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9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9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9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9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9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9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9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9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9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9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9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9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0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04" t="s">
        <v>467</v>
      </c>
      <c r="H2160" s="414" t="s">
        <v>515</v>
      </c>
      <c r="I2160" s="415" t="s">
        <v>516</v>
      </c>
      <c r="J2160" s="100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0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04"/>
      <c r="H2161" s="421" t="s">
        <v>515</v>
      </c>
      <c r="I2161" s="422" t="s">
        <v>516</v>
      </c>
      <c r="J2161" s="100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0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04"/>
      <c r="H2162" s="429" t="s">
        <v>515</v>
      </c>
      <c r="I2162" s="430" t="s">
        <v>516</v>
      </c>
      <c r="J2162" s="100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0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04" t="s">
        <v>467</v>
      </c>
      <c r="H2165" s="414" t="s">
        <v>516</v>
      </c>
      <c r="I2165" s="415" t="s">
        <v>516</v>
      </c>
      <c r="J2165" s="100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0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04"/>
      <c r="H2166" s="429" t="s">
        <v>516</v>
      </c>
      <c r="I2166" s="430" t="s">
        <v>516</v>
      </c>
      <c r="J2166" s="100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9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9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9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9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9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9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9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9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9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9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9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9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9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9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9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9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9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9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9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0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9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0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9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0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9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0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9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9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9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9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9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9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9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9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9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9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9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9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9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9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9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9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9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9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9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9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9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9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9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9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9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9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9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9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9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9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9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9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9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9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9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9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90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9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9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90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9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9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9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9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9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9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9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9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9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9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9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9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9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9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9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9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9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9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9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9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9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9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9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9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90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9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9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9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9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9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9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9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9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9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9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9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9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9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9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9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9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9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9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9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9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9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9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9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9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9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9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9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9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9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9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9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9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9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9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9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9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9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9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9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9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9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9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9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9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9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9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9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9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9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9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9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9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9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9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9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9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9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9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9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9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9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9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9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9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9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9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9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9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9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9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9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9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9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9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9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9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9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9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9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9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9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9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9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9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9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9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9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9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9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9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9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9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9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9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9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9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9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9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9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9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9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9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9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9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9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9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9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9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9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9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9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9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9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9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9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9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9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9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90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9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9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9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9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9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9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9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9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9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9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9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9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9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9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9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9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9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9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9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9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9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0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9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0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9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9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9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9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9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9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9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9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90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9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9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9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9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9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9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9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9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9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9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9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9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9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9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9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9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9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9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9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9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9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9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90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9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9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9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9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9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9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9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9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9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9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9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9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9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9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9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9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9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9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9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9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9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9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9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9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9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9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9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9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9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9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9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9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9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9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9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9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9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9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9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9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9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9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9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9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9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9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9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9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9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9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9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9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9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9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9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9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9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9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9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9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9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9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9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9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9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9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9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9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9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9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9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9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9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9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9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9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9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9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9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9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9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9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9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9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9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9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9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9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9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9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9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9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9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9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9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9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9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9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9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9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9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9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9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9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9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9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9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9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9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9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9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9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9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9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9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9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9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9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9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9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9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9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9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9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9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9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9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9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9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9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9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9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9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9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9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9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9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9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9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9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9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9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9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9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9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9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9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9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9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9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9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9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9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9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9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9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9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9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9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9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9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9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9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9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9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9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9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9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9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9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9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9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9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9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9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9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9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9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9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9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9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9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9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9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9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9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9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9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9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9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9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9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9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9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9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9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9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9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9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9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9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9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9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9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9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9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9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9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9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9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9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9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9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9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9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9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9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9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9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9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9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9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9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9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9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9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9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9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9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9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9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9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9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9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9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9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9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9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9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9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9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9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9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9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9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9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9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9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9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9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9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9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9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9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9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9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9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9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9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9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9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9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9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9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9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9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9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9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9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9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9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9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9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9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9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9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9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9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9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9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9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9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9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9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9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9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9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9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9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9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9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9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9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9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9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9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9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9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9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9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9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9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9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9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9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9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9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9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9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9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9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9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9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9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9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9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9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9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9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9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9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9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9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9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9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9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9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9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9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9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9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9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9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9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9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9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9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9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9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9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9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9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9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9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9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9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9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9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9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9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9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9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9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9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9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9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9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9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9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9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9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9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9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9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9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9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9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9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9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9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9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9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9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9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9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9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9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9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9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9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9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9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9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9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90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9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9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9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9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9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9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9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9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9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9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9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9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9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9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9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9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9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9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9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9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9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9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9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9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9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9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9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9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9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9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9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9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9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9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9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9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9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9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9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9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9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9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9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9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9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9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9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9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9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9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9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9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9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9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9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9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9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9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9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9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9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9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9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9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9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9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9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9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9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9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9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9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9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9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9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9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9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9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9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9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9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9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9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9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9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9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9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9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9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9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9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9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9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9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9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9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9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9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9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9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9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9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9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9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9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9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9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9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9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9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9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9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9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9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9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9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9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9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9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9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9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9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9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9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9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9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9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9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9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9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9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9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9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9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9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9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9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9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9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9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9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9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9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9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9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9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9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9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9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9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9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9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9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9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9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9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9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9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9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9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9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9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9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9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9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9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9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9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9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9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9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9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9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9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9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9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9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9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9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9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9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9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9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9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9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9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9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9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9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62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5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6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7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62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5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6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7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6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7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6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7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8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62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8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62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5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8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62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6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6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6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8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62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8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8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62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6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6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6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6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6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6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8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62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8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6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8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62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6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6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8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62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6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8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62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6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6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6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6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6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8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62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5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8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62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5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8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62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8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8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62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6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62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8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8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62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6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8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8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62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8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6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8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62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8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8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62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6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6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8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62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5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8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8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62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8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6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8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62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6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6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6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6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6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8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8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6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8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62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6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8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8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62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6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8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8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62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6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8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62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6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6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6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62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8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62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5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6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7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8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6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6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8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8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6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6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6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6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5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8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8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62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8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62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8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8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62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8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62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6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8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8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62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8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8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62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5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8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62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6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8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8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62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8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8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62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8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62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6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62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8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62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8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8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62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6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6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6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6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8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62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8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8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62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8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62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5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8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8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62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6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6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8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8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62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5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6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7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8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6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8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62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8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8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62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6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6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6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6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6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8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62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8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8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62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6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6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8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8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62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5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8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62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8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8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8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62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6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62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8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62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6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6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8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62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6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6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6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6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6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8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62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6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8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62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8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8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62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6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8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62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8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87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62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6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6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6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6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8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8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62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6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8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8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62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8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62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8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7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62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6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6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7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62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5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6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6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62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6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6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7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6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62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6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6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6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6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7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62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6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62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6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6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7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62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6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6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6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8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7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6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7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7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62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6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6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62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6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7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62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6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6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6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7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62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6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6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6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62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6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62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6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62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6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7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62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6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7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62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6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62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6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6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62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6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7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7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62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6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6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6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6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62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6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7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7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7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62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6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6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7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62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6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6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62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5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6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6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7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7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62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6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6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6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62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6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6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8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8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7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6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62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6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6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62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6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7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62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6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6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7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6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62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6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7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7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62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6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62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6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62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6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6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62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5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6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7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6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7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6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6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7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62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6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62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6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7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62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6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6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7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6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7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62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6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7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62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6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62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6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6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7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62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6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6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7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7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62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6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7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6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6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6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6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6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6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6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6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6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7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62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6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6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6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7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62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6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7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62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6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7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7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6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6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62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6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6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6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62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6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62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6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6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6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7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7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62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6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6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7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7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7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62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6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62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6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6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6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6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8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62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6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7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62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6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7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62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6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62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6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6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7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62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6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7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62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6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6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7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62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6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62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6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7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62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6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6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62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6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62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6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7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62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6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7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62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6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6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7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7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62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6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7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62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5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6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7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6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6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7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7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7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62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6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6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62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6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62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6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6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6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62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6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62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5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6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6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7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7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62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6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6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6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62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6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62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6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62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6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6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7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62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6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7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62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6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7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62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6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7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6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6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62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6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7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62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6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7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62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6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62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5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6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6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62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6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6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7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62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6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6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7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62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6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7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62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6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6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8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8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7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6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7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6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7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6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62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6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62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6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6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7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62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5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6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6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62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6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7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62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5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6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7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7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7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62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6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7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62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5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6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6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62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6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6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7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6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7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6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62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6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62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6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62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6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62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6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7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62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6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6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8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7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6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62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6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62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5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6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6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7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62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6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6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6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6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7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6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62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6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7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62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6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62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5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6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6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62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6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62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5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6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6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7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62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6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7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62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6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6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6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7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62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6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7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62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5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6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6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7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62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5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6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7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7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7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62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6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6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62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6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62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6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7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62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5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6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6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62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6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6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7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6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62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6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6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7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62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6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7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62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6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6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7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62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6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6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7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6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62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6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7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62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6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7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6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7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6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62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6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62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6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62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6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6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7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6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7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6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6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7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6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62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6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62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6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6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7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62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6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7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6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7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6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62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6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6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7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6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62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6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7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62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5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6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7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6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7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6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7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6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6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6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6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6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6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6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62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6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7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62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5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6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82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6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6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6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7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62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6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6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7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62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6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62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6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6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8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7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6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62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6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6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7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6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7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7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62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6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6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62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5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6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7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6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7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6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7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7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62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5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6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6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62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6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7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62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5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6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6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62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6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6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6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7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62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5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6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6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7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62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6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6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7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7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7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62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6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6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6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7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62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6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7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62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6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62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5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6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7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7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62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5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6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6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62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6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62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5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6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6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62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6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6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7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62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6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6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7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6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7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62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6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6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6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7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62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6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62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5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6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6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62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6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6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7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62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6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6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7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62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6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7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62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6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62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6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7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62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6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7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6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8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62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6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6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7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62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6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6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6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7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6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6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7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62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6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6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6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7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62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6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62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6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62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5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6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7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6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7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6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7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6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7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7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7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7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62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6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7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62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6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6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62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6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6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7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6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7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6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6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8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8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8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62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6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7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62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6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62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6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7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7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6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6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7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6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7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6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7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62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5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6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6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62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5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6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7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7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62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6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7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62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6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7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62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5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6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6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62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6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7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62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6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7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62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6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6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7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7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62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6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62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6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7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7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62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6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6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7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62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6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6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7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6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62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6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6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62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6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7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62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6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62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5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6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6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62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6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7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62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6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6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7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6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7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62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6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6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62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6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6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7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6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6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8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8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8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7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6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62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6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6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7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6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5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6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6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7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6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6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6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62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6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62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6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7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62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6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7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62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6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62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6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6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6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7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62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6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6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7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62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6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6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7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6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62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6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62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6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62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6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6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6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62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6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7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62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6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6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7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6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62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6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3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3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74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7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7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7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74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7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7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74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7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87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3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25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7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8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8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3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7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7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7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80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62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6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62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6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62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6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6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7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7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70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62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6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63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62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63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70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70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70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62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63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6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70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6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87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3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25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25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7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62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63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62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6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7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7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6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6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7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25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7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7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7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6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7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7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6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62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6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6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6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70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7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7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7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35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25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36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7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3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8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70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8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7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5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7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7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62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63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70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62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6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87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9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7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7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7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7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7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25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7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70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62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6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63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70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70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7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25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7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6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6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7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25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25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70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7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25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25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7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6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6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7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7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6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64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7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5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7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6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6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6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62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63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6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6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6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62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6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62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6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6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63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70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9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9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9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70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62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67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67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67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67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67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63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64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64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9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62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67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63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64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9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64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64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64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62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67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63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64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64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64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64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9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7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7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9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7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25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25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7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7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35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25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36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7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37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70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62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63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64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9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7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25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7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8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9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8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62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5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63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6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62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63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59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62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63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70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62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67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63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64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59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7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25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7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9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9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9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62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67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67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63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30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31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9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9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9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70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62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67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63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62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63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62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5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59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62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67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67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63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5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6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64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8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64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8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59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6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62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63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62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63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5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59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7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35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25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36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25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25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7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37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5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8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64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8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59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6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62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63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62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67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63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5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59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x14ac:dyDescent="0.25">
      <c r="A6963" s="962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79"/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x14ac:dyDescent="0.25">
      <c r="A6964" s="967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1"/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x14ac:dyDescent="0.25">
      <c r="A6965" s="967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3"/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x14ac:dyDescent="0.25">
      <c r="A6966" s="967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1"/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thickBot="1" x14ac:dyDescent="0.3">
      <c r="A6967" s="963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5"/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x14ac:dyDescent="0.25">
      <c r="A6968" s="95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63"/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thickBot="1" x14ac:dyDescent="0.3">
      <c r="A6969" s="959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48"/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x14ac:dyDescent="0.25">
      <c r="A6970" s="962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79"/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x14ac:dyDescent="0.25">
      <c r="A6971" s="967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3"/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x14ac:dyDescent="0.25">
      <c r="A6972" s="967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3"/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x14ac:dyDescent="0.25">
      <c r="A6973" s="967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5"/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thickBot="1" x14ac:dyDescent="0.3">
      <c r="A6974" s="963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9"/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x14ac:dyDescent="0.25">
      <c r="A6975" s="968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1"/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x14ac:dyDescent="0.25">
      <c r="A6976" s="969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3"/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x14ac:dyDescent="0.25">
      <c r="A6977" s="969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3"/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thickBot="1" x14ac:dyDescent="0.3">
      <c r="A6978" s="969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6"/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4"/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thickBot="1" x14ac:dyDescent="0.3">
      <c r="A6980" s="503">
        <f>MAX(A6886:A6979)+1</f>
        <v>4331</v>
      </c>
      <c r="B6980" s="504" t="s">
        <v>2006</v>
      </c>
      <c r="C6980" s="505" t="s">
        <v>32</v>
      </c>
      <c r="D6980" s="506">
        <v>17.5</v>
      </c>
      <c r="E6980" s="507"/>
      <c r="F6980" s="508" t="s">
        <v>16</v>
      </c>
      <c r="G6980" s="509"/>
      <c r="H6980" s="508" t="s">
        <v>2034</v>
      </c>
      <c r="I6980" s="510"/>
      <c r="J6980" s="511"/>
      <c r="K6980" s="504"/>
      <c r="L6980" s="508" t="s">
        <v>266</v>
      </c>
      <c r="M6980" s="508">
        <v>17503.2</v>
      </c>
      <c r="N6980" s="512">
        <v>0.5</v>
      </c>
      <c r="O6980" s="897" t="s">
        <v>2052</v>
      </c>
    </row>
    <row r="6981" spans="1:16" x14ac:dyDescent="0.25">
      <c r="A6981" s="962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79"/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x14ac:dyDescent="0.25">
      <c r="A6982" s="967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3"/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x14ac:dyDescent="0.25">
      <c r="A6983" s="967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5"/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6" ht="19.5" thickBot="1" x14ac:dyDescent="0.3">
      <c r="A6984" s="963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9"/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x14ac:dyDescent="0.25">
      <c r="A6985" s="95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63"/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thickBot="1" x14ac:dyDescent="0.3">
      <c r="A6986" s="959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48"/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x14ac:dyDescent="0.25">
      <c r="A6987" s="962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79"/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thickBot="1" x14ac:dyDescent="0.3">
      <c r="A6988" s="963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5"/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x14ac:dyDescent="0.25">
      <c r="A6989" s="968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x14ac:dyDescent="0.25">
      <c r="A6990" s="969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1"/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thickBot="1" x14ac:dyDescent="0.3">
      <c r="A6991" s="970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x14ac:dyDescent="0.25">
      <c r="A6992" s="962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x14ac:dyDescent="0.25">
      <c r="A6993" s="967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x14ac:dyDescent="0.25">
      <c r="A6994" s="967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thickBot="1" x14ac:dyDescent="0.3">
      <c r="A6995" s="963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9"/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x14ac:dyDescent="0.25">
      <c r="A6996" s="95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x14ac:dyDescent="0.25">
      <c r="A6997" s="964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1" t="s">
        <v>76</v>
      </c>
      <c r="H6997" s="839" t="s">
        <v>2067</v>
      </c>
      <c r="I6997" s="839" t="s">
        <v>2067</v>
      </c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thickBot="1" x14ac:dyDescent="0.3">
      <c r="A6998" s="959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customHeight="1" x14ac:dyDescent="0.25">
      <c r="A6999" s="97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65" t="s">
        <v>1633</v>
      </c>
      <c r="H6999" s="483" t="s">
        <v>2067</v>
      </c>
      <c r="I6999" s="484" t="s">
        <v>2068</v>
      </c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x14ac:dyDescent="0.25">
      <c r="A7000" s="1025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71"/>
      <c r="H7000" s="763" t="s">
        <v>2067</v>
      </c>
      <c r="I7000" s="768" t="s">
        <v>2068</v>
      </c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customHeight="1" x14ac:dyDescent="0.25">
      <c r="A7001" s="1025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71"/>
      <c r="H7001" s="860" t="s">
        <v>2067</v>
      </c>
      <c r="I7001" s="860" t="s">
        <v>2068</v>
      </c>
      <c r="J7001" s="865"/>
      <c r="K7001" s="952"/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customHeight="1" x14ac:dyDescent="0.25">
      <c r="A7002" s="1025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71"/>
      <c r="H7002" s="844" t="s">
        <v>2067</v>
      </c>
      <c r="I7002" s="844" t="s">
        <v>2068</v>
      </c>
      <c r="J7002" s="845"/>
      <c r="K7002" s="886"/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thickBot="1" x14ac:dyDescent="0.3">
      <c r="A7003" s="97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66"/>
      <c r="H7003" s="808" t="s">
        <v>2067</v>
      </c>
      <c r="I7003" s="808" t="s">
        <v>2068</v>
      </c>
      <c r="J7003" s="810"/>
      <c r="K7003" s="887"/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x14ac:dyDescent="0.25">
      <c r="A7004" s="95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63"/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thickBot="1" x14ac:dyDescent="0.3">
      <c r="A7005" s="959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48"/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x14ac:dyDescent="0.25">
      <c r="A7006" s="962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79"/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thickBot="1" x14ac:dyDescent="0.3">
      <c r="A7007" s="963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87"/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4"/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/>
      <c r="F7009" s="518" t="s">
        <v>30</v>
      </c>
      <c r="G7009" s="519" t="s">
        <v>23</v>
      </c>
      <c r="H7009" s="518" t="s">
        <v>2067</v>
      </c>
      <c r="I7009" s="520"/>
      <c r="J7009" s="521"/>
      <c r="K7009" s="514"/>
      <c r="L7009" s="518" t="s">
        <v>28</v>
      </c>
      <c r="M7009" s="518">
        <v>10834.2</v>
      </c>
      <c r="N7009" s="522">
        <v>0.41666666666666669</v>
      </c>
      <c r="O7009" s="897" t="s">
        <v>2113</v>
      </c>
    </row>
    <row r="7010" spans="1:16" ht="19.5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4"/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x14ac:dyDescent="0.25">
      <c r="A7011" s="962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79"/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x14ac:dyDescent="0.25">
      <c r="A7012" s="967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944"/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thickBot="1" x14ac:dyDescent="0.3">
      <c r="A7013" s="963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86"/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x14ac:dyDescent="0.25">
      <c r="A7014" s="95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60" t="s">
        <v>1634</v>
      </c>
      <c r="H7014" s="535" t="s">
        <v>2068</v>
      </c>
      <c r="I7014" s="537" t="s">
        <v>2068</v>
      </c>
      <c r="J7014" s="538"/>
      <c r="K7014" s="531"/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thickBot="1" x14ac:dyDescent="0.3">
      <c r="A7015" s="959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61"/>
      <c r="H7015" s="873" t="s">
        <v>2068</v>
      </c>
      <c r="I7015" s="788" t="s">
        <v>2068</v>
      </c>
      <c r="J7015" s="790"/>
      <c r="K7015" s="877"/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17.736000000000001</v>
      </c>
      <c r="E7016" s="498"/>
      <c r="F7016" s="499" t="s">
        <v>30</v>
      </c>
      <c r="G7016" s="562"/>
      <c r="H7016" s="499" t="s">
        <v>2116</v>
      </c>
      <c r="I7016" s="500"/>
      <c r="J7016" s="501"/>
      <c r="K7016" s="495"/>
      <c r="L7016" s="499" t="s">
        <v>265</v>
      </c>
      <c r="M7016" s="499">
        <v>14736.039999999999</v>
      </c>
      <c r="N7016" s="502">
        <v>0.375</v>
      </c>
      <c r="O7016" s="897" t="s">
        <v>2117</v>
      </c>
    </row>
    <row r="7017" spans="1:16" x14ac:dyDescent="0.25">
      <c r="A7017" s="95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1"/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x14ac:dyDescent="0.25">
      <c r="A7018" s="964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49"/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thickBot="1" x14ac:dyDescent="0.3">
      <c r="A7019" s="959"/>
      <c r="B7019" s="953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69"/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thickBot="1" x14ac:dyDescent="0.3">
      <c r="A7020" s="572">
        <f t="shared" ref="A7020:A7054" si="210">MAX(A6908:A7019)+1</f>
        <v>4348</v>
      </c>
      <c r="B7020" s="495" t="s">
        <v>2067</v>
      </c>
      <c r="C7020" s="496" t="s">
        <v>32</v>
      </c>
      <c r="D7020" s="497">
        <v>17.5</v>
      </c>
      <c r="E7020" s="498"/>
      <c r="F7020" s="499" t="s">
        <v>16</v>
      </c>
      <c r="G7020" s="562"/>
      <c r="H7020" s="499" t="s">
        <v>2116</v>
      </c>
      <c r="I7020" s="500"/>
      <c r="J7020" s="501"/>
      <c r="K7020" s="495"/>
      <c r="L7020" s="499" t="s">
        <v>266</v>
      </c>
      <c r="M7020" s="499">
        <v>17503.2</v>
      </c>
      <c r="N7020" s="502">
        <v>0.41666666666666669</v>
      </c>
      <c r="O7020" s="897" t="s">
        <v>2126</v>
      </c>
    </row>
    <row r="7021" spans="1:16" ht="19.5" thickBot="1" x14ac:dyDescent="0.3">
      <c r="A7021" s="503">
        <f t="shared" si="210"/>
        <v>4349</v>
      </c>
      <c r="B7021" s="504" t="s">
        <v>2068</v>
      </c>
      <c r="C7021" s="505" t="s">
        <v>32</v>
      </c>
      <c r="D7021" s="506">
        <v>18.096</v>
      </c>
      <c r="E7021" s="507"/>
      <c r="F7021" s="508" t="s">
        <v>16</v>
      </c>
      <c r="G7021" s="509"/>
      <c r="H7021" s="508" t="s">
        <v>2148</v>
      </c>
      <c r="I7021" s="510"/>
      <c r="J7021" s="511"/>
      <c r="K7021" s="504"/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</row>
    <row r="7022" spans="1:16" ht="19.5" thickBot="1" x14ac:dyDescent="0.3">
      <c r="A7022" s="513">
        <f t="shared" si="210"/>
        <v>4350</v>
      </c>
      <c r="B7022" s="514" t="s">
        <v>2068</v>
      </c>
      <c r="C7022" s="515" t="s">
        <v>32</v>
      </c>
      <c r="D7022" s="516">
        <v>17.931999999999999</v>
      </c>
      <c r="E7022" s="517"/>
      <c r="F7022" s="518" t="s">
        <v>16</v>
      </c>
      <c r="G7022" s="519"/>
      <c r="H7022" s="518" t="s">
        <v>2148</v>
      </c>
      <c r="I7022" s="520"/>
      <c r="J7022" s="521"/>
      <c r="K7022" s="514"/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</row>
    <row r="7023" spans="1:16" ht="19.5" thickBot="1" x14ac:dyDescent="0.3">
      <c r="A7023" s="503">
        <f t="shared" si="210"/>
        <v>4351</v>
      </c>
      <c r="B7023" s="504" t="s">
        <v>2068</v>
      </c>
      <c r="C7023" s="505" t="s">
        <v>32</v>
      </c>
      <c r="D7023" s="506">
        <v>18</v>
      </c>
      <c r="E7023" s="507"/>
      <c r="F7023" s="508" t="s">
        <v>16</v>
      </c>
      <c r="G7023" s="509"/>
      <c r="H7023" s="508" t="s">
        <v>2148</v>
      </c>
      <c r="I7023" s="510"/>
      <c r="J7023" s="511"/>
      <c r="K7023" s="504"/>
      <c r="L7023" s="508" t="s">
        <v>266</v>
      </c>
      <c r="M7023" s="508">
        <v>18018</v>
      </c>
      <c r="N7023" s="512">
        <v>0.5</v>
      </c>
      <c r="O7023" s="897" t="s">
        <v>2152</v>
      </c>
    </row>
    <row r="7024" spans="1:16" ht="19.5" thickBot="1" x14ac:dyDescent="0.3">
      <c r="A7024" s="513">
        <f t="shared" si="210"/>
        <v>4352</v>
      </c>
      <c r="B7024" s="514" t="s">
        <v>2068</v>
      </c>
      <c r="C7024" s="515" t="s">
        <v>32</v>
      </c>
      <c r="D7024" s="516">
        <v>17.8</v>
      </c>
      <c r="E7024" s="517"/>
      <c r="F7024" s="518" t="s">
        <v>16</v>
      </c>
      <c r="G7024" s="519"/>
      <c r="H7024" s="518" t="s">
        <v>2148</v>
      </c>
      <c r="I7024" s="520"/>
      <c r="J7024" s="521"/>
      <c r="K7024" s="514"/>
      <c r="L7024" s="518" t="s">
        <v>266</v>
      </c>
      <c r="M7024" s="518">
        <v>17810.400000000001</v>
      </c>
      <c r="N7024" s="522">
        <v>0.54166666666666663</v>
      </c>
      <c r="O7024" s="897" t="s">
        <v>2153</v>
      </c>
    </row>
    <row r="7025" spans="1:15" ht="19.5" thickBot="1" x14ac:dyDescent="0.3">
      <c r="A7025" s="551">
        <f t="shared" si="210"/>
        <v>4353</v>
      </c>
      <c r="B7025" s="552" t="s">
        <v>2068</v>
      </c>
      <c r="C7025" s="553" t="s">
        <v>848</v>
      </c>
      <c r="D7025" s="554">
        <v>18</v>
      </c>
      <c r="E7025" s="555"/>
      <c r="F7025" s="556" t="s">
        <v>16</v>
      </c>
      <c r="G7025" s="557"/>
      <c r="H7025" s="556" t="s">
        <v>2148</v>
      </c>
      <c r="I7025" s="558"/>
      <c r="J7025" s="559"/>
      <c r="K7025" s="552"/>
      <c r="L7025" s="556" t="s">
        <v>266</v>
      </c>
      <c r="M7025" s="556">
        <v>18144.8</v>
      </c>
      <c r="N7025" s="560">
        <v>0.58333333333333337</v>
      </c>
      <c r="O7025" s="897" t="s">
        <v>2159</v>
      </c>
    </row>
    <row r="7026" spans="1:15" ht="19.5" thickBot="1" x14ac:dyDescent="0.3">
      <c r="A7026" s="513">
        <f t="shared" si="210"/>
        <v>4354</v>
      </c>
      <c r="B7026" s="514" t="s">
        <v>2116</v>
      </c>
      <c r="C7026" s="515" t="s">
        <v>26</v>
      </c>
      <c r="D7026" s="516">
        <v>17.289000000000001</v>
      </c>
      <c r="E7026" s="517"/>
      <c r="F7026" s="518" t="s">
        <v>16</v>
      </c>
      <c r="G7026" s="519"/>
      <c r="H7026" s="518" t="s">
        <v>2162</v>
      </c>
      <c r="I7026" s="520"/>
      <c r="J7026" s="521"/>
      <c r="K7026" s="514"/>
      <c r="L7026" s="518" t="s">
        <v>265</v>
      </c>
      <c r="M7026" s="518">
        <v>17506.84</v>
      </c>
      <c r="N7026" s="522">
        <v>0.375</v>
      </c>
      <c r="O7026" s="897" t="s">
        <v>2163</v>
      </c>
    </row>
    <row r="7027" spans="1:15" ht="19.5" thickBot="1" x14ac:dyDescent="0.3">
      <c r="A7027" s="503">
        <f t="shared" si="210"/>
        <v>4355</v>
      </c>
      <c r="B7027" s="504" t="s">
        <v>2116</v>
      </c>
      <c r="C7027" s="505" t="s">
        <v>26</v>
      </c>
      <c r="D7027" s="506">
        <v>17.274000000000001</v>
      </c>
      <c r="E7027" s="507"/>
      <c r="F7027" s="508" t="s">
        <v>16</v>
      </c>
      <c r="G7027" s="509"/>
      <c r="H7027" s="508" t="s">
        <v>2162</v>
      </c>
      <c r="I7027" s="510"/>
      <c r="J7027" s="511"/>
      <c r="K7027" s="504"/>
      <c r="L7027" s="508" t="s">
        <v>265</v>
      </c>
      <c r="M7027" s="508">
        <v>17492.02</v>
      </c>
      <c r="N7027" s="512">
        <v>0.41666666666666669</v>
      </c>
      <c r="O7027" s="897" t="s">
        <v>2165</v>
      </c>
    </row>
    <row r="7028" spans="1:15" ht="19.5" thickBot="1" x14ac:dyDescent="0.3">
      <c r="A7028" s="513">
        <f t="shared" si="210"/>
        <v>4356</v>
      </c>
      <c r="B7028" s="514" t="s">
        <v>2116</v>
      </c>
      <c r="C7028" s="515" t="s">
        <v>23</v>
      </c>
      <c r="D7028" s="516">
        <v>11.18</v>
      </c>
      <c r="E7028" s="517"/>
      <c r="F7028" s="518" t="s">
        <v>30</v>
      </c>
      <c r="G7028" s="519"/>
      <c r="H7028" s="518" t="s">
        <v>2162</v>
      </c>
      <c r="I7028" s="520"/>
      <c r="J7028" s="521"/>
      <c r="K7028" s="514"/>
      <c r="L7028" s="518" t="s">
        <v>28</v>
      </c>
      <c r="M7028" s="518">
        <v>11180.84</v>
      </c>
      <c r="N7028" s="522">
        <v>0.41666666666666669</v>
      </c>
      <c r="O7028" s="897" t="s">
        <v>2168</v>
      </c>
    </row>
    <row r="7029" spans="1:15" ht="19.5" thickBot="1" x14ac:dyDescent="0.3">
      <c r="A7029" s="503">
        <f t="shared" si="210"/>
        <v>4357</v>
      </c>
      <c r="B7029" s="504" t="s">
        <v>2116</v>
      </c>
      <c r="C7029" s="505" t="s">
        <v>26</v>
      </c>
      <c r="D7029" s="506">
        <v>17.21</v>
      </c>
      <c r="E7029" s="507"/>
      <c r="F7029" s="508" t="s">
        <v>16</v>
      </c>
      <c r="G7029" s="509"/>
      <c r="H7029" s="508" t="s">
        <v>2164</v>
      </c>
      <c r="I7029" s="510"/>
      <c r="J7029" s="511"/>
      <c r="K7029" s="504"/>
      <c r="L7029" s="508" t="s">
        <v>265</v>
      </c>
      <c r="M7029" s="508">
        <v>17234.2</v>
      </c>
      <c r="N7029" s="512">
        <v>0.375</v>
      </c>
      <c r="O7029" s="897" t="s">
        <v>2166</v>
      </c>
    </row>
    <row r="7030" spans="1:15" ht="19.5" thickBot="1" x14ac:dyDescent="0.3">
      <c r="A7030" s="513">
        <f t="shared" si="210"/>
        <v>4358</v>
      </c>
      <c r="B7030" s="514" t="s">
        <v>2116</v>
      </c>
      <c r="C7030" s="515" t="s">
        <v>26</v>
      </c>
      <c r="D7030" s="516">
        <v>17.335999999999999</v>
      </c>
      <c r="E7030" s="517"/>
      <c r="F7030" s="518" t="s">
        <v>16</v>
      </c>
      <c r="G7030" s="519"/>
      <c r="H7030" s="518" t="s">
        <v>2164</v>
      </c>
      <c r="I7030" s="520"/>
      <c r="J7030" s="521"/>
      <c r="K7030" s="514"/>
      <c r="L7030" s="518" t="s">
        <v>265</v>
      </c>
      <c r="M7030" s="518">
        <v>17498</v>
      </c>
      <c r="N7030" s="522">
        <v>0.41666666666666669</v>
      </c>
      <c r="O7030" s="897" t="s">
        <v>2167</v>
      </c>
    </row>
    <row r="7031" spans="1:15" ht="19.5" thickBot="1" x14ac:dyDescent="0.3">
      <c r="A7031" s="503">
        <f t="shared" si="210"/>
        <v>4359</v>
      </c>
      <c r="B7031" s="504" t="s">
        <v>2116</v>
      </c>
      <c r="C7031" s="505" t="s">
        <v>23</v>
      </c>
      <c r="D7031" s="506">
        <v>17.605</v>
      </c>
      <c r="E7031" s="507"/>
      <c r="F7031" s="508" t="s">
        <v>16</v>
      </c>
      <c r="G7031" s="509"/>
      <c r="H7031" s="508" t="s">
        <v>2164</v>
      </c>
      <c r="I7031" s="510"/>
      <c r="J7031" s="511"/>
      <c r="K7031" s="504"/>
      <c r="L7031" s="508" t="s">
        <v>28</v>
      </c>
      <c r="M7031" s="508">
        <v>17760.07</v>
      </c>
      <c r="N7031" s="512">
        <v>0.45833333333333331</v>
      </c>
      <c r="O7031" s="897" t="s">
        <v>2169</v>
      </c>
    </row>
    <row r="7032" spans="1:15" ht="19.5" thickBot="1" x14ac:dyDescent="0.3">
      <c r="A7032" s="954">
        <f t="shared" si="210"/>
        <v>4360</v>
      </c>
      <c r="B7032" s="573" t="s">
        <v>2116</v>
      </c>
      <c r="C7032" s="574" t="s">
        <v>47</v>
      </c>
      <c r="D7032" s="575">
        <v>17.609000000000002</v>
      </c>
      <c r="E7032" s="576"/>
      <c r="F7032" s="577" t="s">
        <v>16</v>
      </c>
      <c r="G7032" s="578"/>
      <c r="H7032" s="577" t="s">
        <v>2164</v>
      </c>
      <c r="I7032" s="579"/>
      <c r="J7032" s="580"/>
      <c r="K7032" s="573"/>
      <c r="L7032" s="577" t="s">
        <v>28</v>
      </c>
      <c r="M7032" s="577">
        <v>17830.800000000003</v>
      </c>
      <c r="N7032" s="581">
        <v>0.5</v>
      </c>
      <c r="O7032" s="897" t="s">
        <v>2170</v>
      </c>
    </row>
    <row r="7033" spans="1:15" ht="19.5" thickBot="1" x14ac:dyDescent="0.3">
      <c r="A7033" s="503">
        <f t="shared" si="210"/>
        <v>4361</v>
      </c>
      <c r="B7033" s="504" t="s">
        <v>2148</v>
      </c>
      <c r="C7033" s="505" t="s">
        <v>26</v>
      </c>
      <c r="D7033" s="506">
        <v>14.093999999999999</v>
      </c>
      <c r="E7033" s="507"/>
      <c r="F7033" s="508" t="s">
        <v>30</v>
      </c>
      <c r="G7033" s="509"/>
      <c r="H7033" s="508" t="s">
        <v>2164</v>
      </c>
      <c r="I7033" s="510"/>
      <c r="J7033" s="511"/>
      <c r="K7033" s="504"/>
      <c r="L7033" s="508" t="s">
        <v>265</v>
      </c>
      <c r="M7033" s="508">
        <v>14094.68</v>
      </c>
      <c r="N7033" s="512">
        <v>0.375</v>
      </c>
      <c r="O7033" s="897" t="s">
        <v>2178</v>
      </c>
    </row>
    <row r="7034" spans="1:15" x14ac:dyDescent="0.25">
      <c r="A7034" s="962">
        <f t="shared" si="210"/>
        <v>4362</v>
      </c>
      <c r="B7034" s="479" t="s">
        <v>2148</v>
      </c>
      <c r="C7034" s="480" t="s">
        <v>41</v>
      </c>
      <c r="D7034" s="481">
        <v>1.345</v>
      </c>
      <c r="E7034" s="482"/>
      <c r="F7034" s="483" t="s">
        <v>16</v>
      </c>
      <c r="G7034" s="955"/>
      <c r="H7034" s="483" t="s">
        <v>2164</v>
      </c>
      <c r="I7034" s="484"/>
      <c r="J7034" s="485"/>
      <c r="K7034" s="479"/>
      <c r="L7034" s="483" t="s">
        <v>266</v>
      </c>
      <c r="M7034" s="483">
        <v>1388.7</v>
      </c>
      <c r="N7034" s="486">
        <v>0.54166666666666663</v>
      </c>
      <c r="O7034" s="897" t="s">
        <v>2179</v>
      </c>
    </row>
    <row r="7035" spans="1:15" ht="37.5" x14ac:dyDescent="0.25">
      <c r="A7035" s="967"/>
      <c r="B7035" s="523" t="s">
        <v>2148</v>
      </c>
      <c r="C7035" s="524" t="s">
        <v>41</v>
      </c>
      <c r="D7035" s="525">
        <v>3</v>
      </c>
      <c r="E7035" s="526"/>
      <c r="F7035" s="527" t="s">
        <v>16</v>
      </c>
      <c r="G7035" s="561" t="s">
        <v>1900</v>
      </c>
      <c r="H7035" s="527" t="s">
        <v>2164</v>
      </c>
      <c r="I7035" s="528"/>
      <c r="J7035" s="529"/>
      <c r="K7035" s="523"/>
      <c r="L7035" s="527" t="s">
        <v>266</v>
      </c>
      <c r="M7035" s="527">
        <v>3003</v>
      </c>
      <c r="N7035" s="530">
        <v>0.54166666666666663</v>
      </c>
      <c r="O7035" s="897" t="s">
        <v>2182</v>
      </c>
    </row>
    <row r="7036" spans="1:15" x14ac:dyDescent="0.25">
      <c r="A7036" s="967"/>
      <c r="B7036" s="523" t="s">
        <v>2148</v>
      </c>
      <c r="C7036" s="524" t="s">
        <v>480</v>
      </c>
      <c r="D7036" s="525">
        <v>13</v>
      </c>
      <c r="E7036" s="526"/>
      <c r="F7036" s="527" t="s">
        <v>16</v>
      </c>
      <c r="G7036" s="561"/>
      <c r="H7036" s="527" t="s">
        <v>2164</v>
      </c>
      <c r="I7036" s="528"/>
      <c r="J7036" s="529"/>
      <c r="K7036" s="523"/>
      <c r="L7036" s="527" t="s">
        <v>266</v>
      </c>
      <c r="M7036" s="527">
        <v>13139.839999999998</v>
      </c>
      <c r="N7036" s="530">
        <v>0.54166666666666663</v>
      </c>
      <c r="O7036" s="897" t="s">
        <v>2183</v>
      </c>
    </row>
    <row r="7037" spans="1:15" x14ac:dyDescent="0.25">
      <c r="A7037" s="967"/>
      <c r="B7037" s="523" t="s">
        <v>2148</v>
      </c>
      <c r="C7037" s="524" t="s">
        <v>32</v>
      </c>
      <c r="D7037" s="525">
        <v>2.63</v>
      </c>
      <c r="E7037" s="526"/>
      <c r="F7037" s="527" t="s">
        <v>16</v>
      </c>
      <c r="G7037" s="561" t="s">
        <v>1702</v>
      </c>
      <c r="H7037" s="527" t="s">
        <v>2164</v>
      </c>
      <c r="I7037" s="528"/>
      <c r="J7037" s="529"/>
      <c r="K7037" s="523"/>
      <c r="L7037" s="527" t="s">
        <v>266</v>
      </c>
      <c r="M7037" s="527">
        <v>2633.25</v>
      </c>
      <c r="N7037" s="530">
        <v>0.54166666666666663</v>
      </c>
      <c r="O7037" s="897" t="s">
        <v>2180</v>
      </c>
    </row>
    <row r="7038" spans="1:15" ht="38.25" thickBot="1" x14ac:dyDescent="0.3">
      <c r="A7038" s="963"/>
      <c r="B7038" s="645" t="s">
        <v>2148</v>
      </c>
      <c r="C7038" s="646" t="s">
        <v>32</v>
      </c>
      <c r="D7038" s="647">
        <v>2.496</v>
      </c>
      <c r="E7038" s="648"/>
      <c r="F7038" s="649" t="s">
        <v>16</v>
      </c>
      <c r="G7038" s="650" t="s">
        <v>2177</v>
      </c>
      <c r="H7038" s="649" t="s">
        <v>2164</v>
      </c>
      <c r="I7038" s="651"/>
      <c r="J7038" s="652"/>
      <c r="K7038" s="645"/>
      <c r="L7038" s="649" t="s">
        <v>266</v>
      </c>
      <c r="M7038" s="649">
        <v>2496</v>
      </c>
      <c r="N7038" s="653">
        <v>0.54166666666666663</v>
      </c>
      <c r="O7038" s="897" t="s">
        <v>2181</v>
      </c>
    </row>
    <row r="7039" spans="1:15" x14ac:dyDescent="0.25">
      <c r="A7039" s="968">
        <f t="shared" si="210"/>
        <v>4363</v>
      </c>
      <c r="B7039" s="531" t="s">
        <v>2148</v>
      </c>
      <c r="C7039" s="532" t="s">
        <v>26</v>
      </c>
      <c r="D7039" s="533">
        <v>15.435</v>
      </c>
      <c r="E7039" s="534"/>
      <c r="F7039" s="535" t="s">
        <v>16</v>
      </c>
      <c r="G7039" s="536"/>
      <c r="H7039" s="535" t="s">
        <v>2184</v>
      </c>
      <c r="I7039" s="537"/>
      <c r="J7039" s="538"/>
      <c r="K7039" s="531"/>
      <c r="L7039" s="535" t="s">
        <v>265</v>
      </c>
      <c r="M7039" s="535">
        <v>15614.080000000002</v>
      </c>
      <c r="N7039" s="539">
        <v>0.375</v>
      </c>
      <c r="O7039" s="897" t="s">
        <v>2185</v>
      </c>
    </row>
    <row r="7040" spans="1:15" ht="19.5" thickBot="1" x14ac:dyDescent="0.3">
      <c r="A7040" s="970"/>
      <c r="B7040" s="636" t="s">
        <v>2148</v>
      </c>
      <c r="C7040" s="637" t="s">
        <v>952</v>
      </c>
      <c r="D7040" s="638">
        <v>2.0099999999999998</v>
      </c>
      <c r="E7040" s="639"/>
      <c r="F7040" s="640" t="s">
        <v>16</v>
      </c>
      <c r="G7040" s="957"/>
      <c r="H7040" s="640" t="s">
        <v>2184</v>
      </c>
      <c r="I7040" s="642"/>
      <c r="J7040" s="643"/>
      <c r="K7040" s="636"/>
      <c r="L7040" s="640" t="s">
        <v>265</v>
      </c>
      <c r="M7040" s="640">
        <v>2077.64</v>
      </c>
      <c r="N7040" s="644">
        <v>0.375</v>
      </c>
      <c r="O7040" s="897" t="s">
        <v>2186</v>
      </c>
    </row>
    <row r="7041" spans="1:15" ht="56.25" x14ac:dyDescent="0.25">
      <c r="A7041" s="962">
        <f t="shared" si="210"/>
        <v>4364</v>
      </c>
      <c r="B7041" s="479" t="s">
        <v>2148</v>
      </c>
      <c r="C7041" s="480" t="s">
        <v>587</v>
      </c>
      <c r="D7041" s="481">
        <v>0.93300000000000005</v>
      </c>
      <c r="E7041" s="482"/>
      <c r="F7041" s="483" t="s">
        <v>16</v>
      </c>
      <c r="G7041" s="955" t="s">
        <v>794</v>
      </c>
      <c r="H7041" s="483" t="s">
        <v>2184</v>
      </c>
      <c r="I7041" s="484"/>
      <c r="J7041" s="485"/>
      <c r="K7041" s="479"/>
      <c r="L7041" s="483" t="s">
        <v>28</v>
      </c>
      <c r="M7041" s="483">
        <v>933.12</v>
      </c>
      <c r="N7041" s="486">
        <v>0.41666666666666669</v>
      </c>
      <c r="O7041" s="897" t="s">
        <v>2188</v>
      </c>
    </row>
    <row r="7042" spans="1:15" x14ac:dyDescent="0.25">
      <c r="A7042" s="967"/>
      <c r="B7042" s="523" t="s">
        <v>2148</v>
      </c>
      <c r="C7042" s="524" t="s">
        <v>587</v>
      </c>
      <c r="D7042" s="525">
        <v>9.1039999999999992</v>
      </c>
      <c r="E7042" s="526"/>
      <c r="F7042" s="527" t="s">
        <v>16</v>
      </c>
      <c r="G7042" s="561" t="s">
        <v>47</v>
      </c>
      <c r="H7042" s="527" t="s">
        <v>2184</v>
      </c>
      <c r="I7042" s="528"/>
      <c r="J7042" s="529"/>
      <c r="K7042" s="523"/>
      <c r="L7042" s="527" t="s">
        <v>28</v>
      </c>
      <c r="M7042" s="527">
        <v>9104.880000000001</v>
      </c>
      <c r="N7042" s="530">
        <v>0.41666666666666669</v>
      </c>
      <c r="O7042" s="897" t="s">
        <v>2190</v>
      </c>
    </row>
    <row r="7043" spans="1:15" ht="19.5" thickBot="1" x14ac:dyDescent="0.3">
      <c r="A7043" s="963"/>
      <c r="B7043" s="645" t="s">
        <v>2148</v>
      </c>
      <c r="C7043" s="646" t="s">
        <v>47</v>
      </c>
      <c r="D7043" s="647">
        <v>8.0050000000000008</v>
      </c>
      <c r="E7043" s="648"/>
      <c r="F7043" s="649" t="s">
        <v>16</v>
      </c>
      <c r="G7043" s="650"/>
      <c r="H7043" s="649" t="s">
        <v>2184</v>
      </c>
      <c r="I7043" s="651"/>
      <c r="J7043" s="652"/>
      <c r="K7043" s="645"/>
      <c r="L7043" s="649" t="s">
        <v>28</v>
      </c>
      <c r="M7043" s="649">
        <v>8075.0400000000009</v>
      </c>
      <c r="N7043" s="653">
        <v>0.41666666666666669</v>
      </c>
      <c r="O7043" s="897" t="s">
        <v>2187</v>
      </c>
    </row>
    <row r="7044" spans="1:15" ht="19.5" thickBot="1" x14ac:dyDescent="0.3">
      <c r="A7044" s="503">
        <f t="shared" si="210"/>
        <v>4365</v>
      </c>
      <c r="B7044" s="504" t="s">
        <v>2148</v>
      </c>
      <c r="C7044" s="505" t="s">
        <v>23</v>
      </c>
      <c r="D7044" s="506">
        <v>17.747</v>
      </c>
      <c r="E7044" s="507"/>
      <c r="F7044" s="508" t="s">
        <v>16</v>
      </c>
      <c r="G7044" s="509"/>
      <c r="H7044" s="508" t="s">
        <v>2184</v>
      </c>
      <c r="I7044" s="510"/>
      <c r="J7044" s="511"/>
      <c r="K7044" s="504"/>
      <c r="L7044" s="508" t="s">
        <v>28</v>
      </c>
      <c r="M7044" s="508">
        <v>17828.04</v>
      </c>
      <c r="N7044" s="512">
        <v>0.45833333333333331</v>
      </c>
      <c r="O7044" s="897" t="s">
        <v>2189</v>
      </c>
    </row>
    <row r="7045" spans="1:15" x14ac:dyDescent="0.25">
      <c r="A7045" s="676">
        <f t="shared" si="210"/>
        <v>4366</v>
      </c>
      <c r="B7045" s="676"/>
      <c r="C7045" s="473"/>
      <c r="D7045" s="474"/>
      <c r="E7045" s="475"/>
      <c r="F7045" s="676"/>
      <c r="G7045" s="476"/>
      <c r="H7045" s="676"/>
      <c r="I7045" s="477"/>
      <c r="J7045" s="478"/>
      <c r="K7045" s="676"/>
      <c r="L7045" s="676"/>
      <c r="M7045" s="676"/>
      <c r="N7045" s="676"/>
    </row>
    <row r="7046" spans="1:15" x14ac:dyDescent="0.25">
      <c r="A7046" s="676">
        <f t="shared" si="210"/>
        <v>4367</v>
      </c>
      <c r="B7046" s="676"/>
      <c r="C7046" s="473"/>
      <c r="D7046" s="474"/>
      <c r="E7046" s="475"/>
      <c r="F7046" s="676"/>
      <c r="G7046" s="476"/>
      <c r="H7046" s="676"/>
      <c r="I7046" s="477"/>
      <c r="J7046" s="956"/>
      <c r="K7046" s="676"/>
      <c r="L7046" s="676"/>
      <c r="M7046" s="676"/>
      <c r="N7046" s="676"/>
    </row>
    <row r="7047" spans="1:15" x14ac:dyDescent="0.25">
      <c r="A7047" s="676">
        <f t="shared" si="210"/>
        <v>4368</v>
      </c>
      <c r="B7047" s="676"/>
      <c r="C7047" s="473"/>
      <c r="D7047" s="474"/>
      <c r="E7047" s="475"/>
      <c r="F7047" s="676"/>
      <c r="G7047" s="476"/>
      <c r="H7047" s="676"/>
      <c r="I7047" s="477"/>
      <c r="J7047" s="956"/>
      <c r="K7047" s="676"/>
      <c r="L7047" s="676"/>
      <c r="M7047" s="676"/>
      <c r="N7047" s="676"/>
    </row>
    <row r="7048" spans="1:15" x14ac:dyDescent="0.25">
      <c r="A7048" s="676">
        <f t="shared" si="210"/>
        <v>4369</v>
      </c>
      <c r="B7048" s="676"/>
      <c r="C7048" s="473"/>
      <c r="D7048" s="474"/>
      <c r="E7048" s="475"/>
      <c r="F7048" s="676"/>
      <c r="G7048" s="476"/>
      <c r="H7048" s="676"/>
      <c r="I7048" s="477"/>
      <c r="J7048" s="956"/>
      <c r="K7048" s="676"/>
      <c r="L7048" s="676"/>
      <c r="M7048" s="676"/>
      <c r="N7048" s="676"/>
    </row>
    <row r="7049" spans="1:15" x14ac:dyDescent="0.25">
      <c r="A7049" s="676">
        <f t="shared" si="210"/>
        <v>4370</v>
      </c>
      <c r="B7049" s="676"/>
      <c r="C7049" s="473"/>
      <c r="D7049" s="474"/>
      <c r="E7049" s="475"/>
      <c r="F7049" s="676"/>
      <c r="G7049" s="476"/>
      <c r="H7049" s="676"/>
      <c r="I7049" s="477"/>
      <c r="J7049" s="956"/>
      <c r="K7049" s="676"/>
      <c r="L7049" s="676"/>
      <c r="M7049" s="676"/>
      <c r="N7049" s="676"/>
    </row>
    <row r="7050" spans="1:15" x14ac:dyDescent="0.25">
      <c r="A7050" s="676">
        <f t="shared" si="210"/>
        <v>4371</v>
      </c>
      <c r="B7050" s="676"/>
      <c r="C7050" s="473"/>
      <c r="D7050" s="474"/>
      <c r="E7050" s="475"/>
      <c r="F7050" s="676"/>
      <c r="G7050" s="476"/>
      <c r="H7050" s="676"/>
      <c r="I7050" s="477"/>
      <c r="J7050" s="956"/>
      <c r="K7050" s="676"/>
      <c r="L7050" s="676"/>
      <c r="M7050" s="676"/>
      <c r="N7050" s="676"/>
    </row>
    <row r="7051" spans="1:15" x14ac:dyDescent="0.25">
      <c r="A7051" s="676">
        <f t="shared" si="210"/>
        <v>4372</v>
      </c>
      <c r="B7051" s="676"/>
      <c r="C7051" s="473"/>
      <c r="D7051" s="474"/>
      <c r="E7051" s="475"/>
      <c r="F7051" s="676"/>
      <c r="G7051" s="476"/>
      <c r="H7051" s="676"/>
      <c r="I7051" s="477"/>
      <c r="J7051" s="956"/>
      <c r="K7051" s="676"/>
      <c r="L7051" s="676"/>
      <c r="M7051" s="676"/>
      <c r="N7051" s="676"/>
    </row>
    <row r="7052" spans="1:15" x14ac:dyDescent="0.25">
      <c r="A7052" s="676">
        <f t="shared" si="210"/>
        <v>4373</v>
      </c>
      <c r="B7052" s="676"/>
      <c r="C7052" s="473"/>
      <c r="D7052" s="474"/>
      <c r="E7052" s="475"/>
      <c r="F7052" s="676"/>
      <c r="G7052" s="476"/>
      <c r="H7052" s="676"/>
      <c r="I7052" s="477"/>
      <c r="J7052" s="956"/>
      <c r="K7052" s="676"/>
      <c r="L7052" s="676"/>
      <c r="M7052" s="676"/>
      <c r="N7052" s="676"/>
    </row>
    <row r="7053" spans="1:15" x14ac:dyDescent="0.25">
      <c r="A7053" s="676">
        <f t="shared" si="210"/>
        <v>4374</v>
      </c>
      <c r="B7053" s="676"/>
      <c r="C7053" s="473"/>
      <c r="D7053" s="474"/>
      <c r="E7053" s="475"/>
      <c r="F7053" s="676"/>
      <c r="G7053" s="476"/>
      <c r="H7053" s="676"/>
      <c r="I7053" s="477"/>
      <c r="J7053" s="956"/>
      <c r="K7053" s="676"/>
      <c r="L7053" s="676"/>
      <c r="M7053" s="676"/>
      <c r="N7053" s="676"/>
    </row>
    <row r="7054" spans="1:15" x14ac:dyDescent="0.25">
      <c r="A7054" s="676">
        <f t="shared" si="210"/>
        <v>4375</v>
      </c>
      <c r="B7054" s="676"/>
      <c r="C7054" s="473"/>
      <c r="D7054" s="474"/>
      <c r="E7054" s="475"/>
      <c r="F7054" s="676"/>
      <c r="G7054" s="476"/>
      <c r="H7054" s="676"/>
      <c r="I7054" s="477"/>
      <c r="J7054" s="956"/>
      <c r="K7054" s="676"/>
      <c r="L7054" s="676"/>
      <c r="M7054" s="676"/>
      <c r="N7054" s="676"/>
    </row>
  </sheetData>
  <autoFilter ref="A2:R7034" xr:uid="{9E4C531E-AD50-422A-AC7C-8C5AF4C19268}">
    <filterColumn colId="10">
      <filters blank="1"/>
    </filterColumn>
  </autoFilter>
  <mergeCells count="1841">
    <mergeCell ref="A7034:A7038"/>
    <mergeCell ref="A7039:A7040"/>
    <mergeCell ref="A7041:A7043"/>
    <mergeCell ref="A7011:A7013"/>
    <mergeCell ref="A7017:A7019"/>
    <mergeCell ref="A6999:A7003"/>
    <mergeCell ref="G6999:G7003"/>
    <mergeCell ref="A7004:A7005"/>
    <mergeCell ref="A6985:A6986"/>
    <mergeCell ref="A6987:A6988"/>
    <mergeCell ref="A6989:A6991"/>
    <mergeCell ref="G6876:G687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06:A5607"/>
    <mergeCell ref="A6785:A6786"/>
    <mergeCell ref="A6780:A678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675:A6676"/>
    <mergeCell ref="A6731:A6732"/>
    <mergeCell ref="A6680:A6681"/>
    <mergeCell ref="A6682:A6683"/>
    <mergeCell ref="A6635:A6637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09:A6712"/>
    <mergeCell ref="A6611:A6612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581:A6583"/>
    <mergeCell ref="A6585:A6586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A6601:A6602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635:A4636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89:A4890"/>
    <mergeCell ref="G4729:G4732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5029:A5030"/>
    <mergeCell ref="A5059:A506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G5531:G5532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A5286:A5289"/>
    <mergeCell ref="G5216:G5217"/>
    <mergeCell ref="A5222:A5225"/>
    <mergeCell ref="G5188:G5189"/>
    <mergeCell ref="A5275:A5276"/>
    <mergeCell ref="G5196:G5197"/>
    <mergeCell ref="G5275:G5276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441:A5442"/>
    <mergeCell ref="A5270:A5271"/>
    <mergeCell ref="A5443:A5444"/>
    <mergeCell ref="A5202:A5203"/>
    <mergeCell ref="A5507:A5508"/>
    <mergeCell ref="A5140:A5141"/>
    <mergeCell ref="G5408:G5409"/>
    <mergeCell ref="A5428:A5429"/>
    <mergeCell ref="A5272:A5273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539:A5541"/>
    <mergeCell ref="A5338:A5341"/>
    <mergeCell ref="A5504:A5505"/>
    <mergeCell ref="A5577:A5578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A5196:A5197"/>
    <mergeCell ref="A5188:A5189"/>
    <mergeCell ref="A5176:A5178"/>
    <mergeCell ref="A5385:A5386"/>
    <mergeCell ref="A5387:A5388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970:A6974"/>
    <mergeCell ref="A6975:A6978"/>
    <mergeCell ref="A6941:A6942"/>
    <mergeCell ref="A6939:A6940"/>
    <mergeCell ref="A5121:A5122"/>
    <mergeCell ref="A5153:A5154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2026-08-20T13:29:15Z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