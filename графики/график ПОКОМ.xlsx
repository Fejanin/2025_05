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5152CCB-2D8B-4A23-B552-A20C12DDEA0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Лист1!$A$2:$N$6848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6827" i="1" l="1"/>
  <c r="O6828" i="1" l="1"/>
  <c r="O6831" i="1"/>
  <c r="O6822" i="1"/>
  <c r="O6823" i="1"/>
  <c r="O6824" i="1"/>
  <c r="O6825" i="1"/>
  <c r="O6826" i="1"/>
  <c r="O6830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s="1"/>
  <c r="A6804" i="1" s="1"/>
  <c r="A6805" i="1" l="1"/>
  <c r="A6806" i="1" l="1"/>
  <c r="A6807" i="1" l="1"/>
  <c r="A6808" i="1" s="1"/>
  <c r="A6812" i="1" s="1"/>
  <c r="A6816" i="1" s="1"/>
  <c r="A6817" i="1" s="1"/>
  <c r="A6822" i="1" l="1"/>
  <c r="A6826" i="1" s="1"/>
  <c r="A6829" i="1" s="1"/>
  <c r="A6830" i="1" l="1"/>
  <c r="A6832" i="1" s="1"/>
  <c r="A6833" i="1" s="1"/>
  <c r="A6835" i="1" l="1"/>
  <c r="A6837" i="1" s="1"/>
  <c r="A6840" i="1" l="1"/>
  <c r="A6841" i="1" s="1"/>
  <c r="A6842" i="1" l="1"/>
  <c r="A6843" i="1" s="1"/>
  <c r="A6844" i="1" l="1"/>
  <c r="A6845" i="1" l="1"/>
  <c r="A6846" i="1" s="1"/>
  <c r="A6847" i="1" s="1"/>
  <c r="A6848" i="1" s="1"/>
</calcChain>
</file>

<file path=xl/sharedStrings.xml><?xml version="1.0" encoding="utf-8"?>
<sst xmlns="http://schemas.openxmlformats.org/spreadsheetml/2006/main" count="43231" uniqueCount="1798">
  <si>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</si>
  <si>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</si>
  <si>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</si>
  <si>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</si>
  <si>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</si>
  <si>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</si>
  <si>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</si>
  <si>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</si>
  <si>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</si>
  <si>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</si>
  <si>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</si>
  <si>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</si>
  <si>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</si>
  <si>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</si>
  <si>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</si>
  <si>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</si>
  <si>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</si>
  <si>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</si>
  <si>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</si>
  <si>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</si>
  <si>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</si>
  <si>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</si>
  <si>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</si>
  <si>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</si>
  <si>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</si>
  <si>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</si>
  <si>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</si>
  <si>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</si>
  <si>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</si>
  <si>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</si>
  <si>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</si>
  <si>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</si>
  <si>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</si>
  <si>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</si>
  <si>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</si>
  <si>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</si>
  <si>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</si>
  <si>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</si>
  <si>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</si>
  <si>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</si>
  <si>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</si>
  <si>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</si>
  <si>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</si>
  <si>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</si>
  <si>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</si>
  <si>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</si>
  <si>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</si>
  <si>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</si>
  <si>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</si>
  <si>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</si>
  <si>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</si>
  <si>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</si>
  <si>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</si>
  <si>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</si>
  <si>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</si>
  <si>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</si>
  <si>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</si>
  <si>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</si>
  <si>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</si>
  <si>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</si>
  <si>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</si>
  <si>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</si>
  <si>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</si>
  <si>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</si>
  <si>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</si>
  <si>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</si>
  <si>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</si>
  <si>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</si>
  <si>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</si>
  <si>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</si>
  <si>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</si>
  <si>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</si>
  <si>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</si>
  <si>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</si>
  <si>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</si>
  <si>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</si>
  <si>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</si>
  <si>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</si>
  <si>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</si>
  <si>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</si>
  <si>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</si>
  <si>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</si>
  <si>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</si>
  <si>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</si>
  <si>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</si>
  <si>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</si>
  <si>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</si>
  <si>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</si>
  <si>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</si>
  <si>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</si>
  <si>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</si>
  <si>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</si>
  <si>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</si>
  <si>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</si>
  <si>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</si>
  <si>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</si>
  <si>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</si>
  <si>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</si>
  <si>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</si>
  <si>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</si>
  <si>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</si>
  <si>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</si>
  <si>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</si>
  <si>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</si>
  <si>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</si>
  <si>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</si>
  <si>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</si>
  <si>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</si>
  <si>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</si>
  <si>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</si>
  <si>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</si>
  <si>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</si>
  <si>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</si>
  <si>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</si>
  <si>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</si>
  <si>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</si>
  <si>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</si>
  <si>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</si>
  <si>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</si>
  <si>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</si>
  <si>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</si>
  <si>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</si>
  <si>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</si>
  <si>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</si>
  <si>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</si>
  <si>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</si>
  <si>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</si>
  <si>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</si>
  <si>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</si>
  <si>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</si>
  <si>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</si>
  <si>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</si>
  <si>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</si>
  <si>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</si>
  <si>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</si>
  <si>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</si>
  <si>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</si>
  <si>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</si>
  <si>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</si>
  <si>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</si>
  <si>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</si>
  <si>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</si>
  <si>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</si>
  <si>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</si>
  <si>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</si>
  <si>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</si>
  <si>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</si>
  <si>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</si>
  <si>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</si>
  <si>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</si>
  <si>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</si>
  <si>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</si>
  <si>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</si>
  <si>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</si>
  <si>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</si>
  <si>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</si>
  <si>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</si>
  <si>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</si>
  <si>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</si>
  <si>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</si>
  <si>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</si>
  <si>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</si>
  <si>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</si>
  <si>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</si>
  <si>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</si>
  <si>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</si>
  <si>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</si>
  <si>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</si>
  <si>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</si>
  <si>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</si>
  <si>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</si>
  <si>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</si>
  <si>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</si>
  <si>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</si>
  <si>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</si>
  <si>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</si>
  <si>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</si>
  <si>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</si>
  <si>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</si>
  <si>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</si>
  <si>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</si>
  <si>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</si>
  <si>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</si>
  <si>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</si>
  <si>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</si>
  <si>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</si>
  <si>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</si>
  <si>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</si>
  <si>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</si>
  <si>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</si>
  <si>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</si>
  <si>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</si>
  <si>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</si>
  <si>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</si>
  <si>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</si>
  <si>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</si>
  <si>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</si>
  <si>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</si>
  <si>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</si>
  <si>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</si>
  <si>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</si>
  <si>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</si>
  <si>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</si>
  <si>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</si>
  <si>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</si>
  <si>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</si>
  <si>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</si>
  <si>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</si>
  <si>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</si>
  <si>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</si>
  <si>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</si>
  <si>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</si>
  <si>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</si>
  <si>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</si>
  <si>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</si>
  <si>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</si>
  <si>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</si>
  <si>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</si>
  <si>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</si>
  <si>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</si>
  <si>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</si>
  <si>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</si>
  <si>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</si>
  <si>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</si>
  <si>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</si>
  <si>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</si>
  <si>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</si>
  <si>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</si>
  <si>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</si>
  <si>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</si>
  <si>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</si>
  <si>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</si>
  <si>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</si>
  <si>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</si>
  <si>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</si>
  <si>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</si>
  <si>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</si>
  <si>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</si>
  <si>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</si>
  <si>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</si>
  <si>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</si>
  <si>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</si>
  <si>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</si>
  <si>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</si>
  <si>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</si>
  <si>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</si>
  <si>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</si>
  <si>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</si>
  <si>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</si>
  <si>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</si>
  <si>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</si>
  <si>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</si>
  <si>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</si>
  <si>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</si>
  <si>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</si>
  <si>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</si>
  <si>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</si>
  <si>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</si>
  <si>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</si>
  <si>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</si>
  <si>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</si>
  <si>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</si>
  <si>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</si>
  <si>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</si>
  <si>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</si>
  <si>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</si>
  <si>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</si>
  <si>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</si>
  <si>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</si>
  <si>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</si>
  <si>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</si>
  <si>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</si>
  <si>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</si>
  <si>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</si>
  <si>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</si>
  <si>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</si>
  <si>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</si>
  <si>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</si>
  <si>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</si>
  <si>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</si>
  <si>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</si>
  <si>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</si>
  <si>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</si>
  <si>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</si>
  <si>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</si>
  <si>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</si>
  <si>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</si>
  <si>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</si>
  <si>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</si>
  <si>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</si>
  <si>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</si>
  <si>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</si>
  <si>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</si>
  <si>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</si>
  <si>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</si>
  <si>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</si>
  <si>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</si>
  <si>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</si>
  <si>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</si>
  <si>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</si>
  <si>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</si>
  <si>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</si>
  <si>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</si>
  <si>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</si>
  <si>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</si>
  <si>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</si>
  <si>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</si>
  <si>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</si>
  <si>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</si>
  <si>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</si>
  <si>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</si>
  <si>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</si>
  <si>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</si>
  <si>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</si>
  <si>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</si>
  <si>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</si>
  <si>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</si>
  <si>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</si>
  <si>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</si>
  <si>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</si>
  <si>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</si>
  <si>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</si>
  <si>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</si>
  <si>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</si>
  <si>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</si>
  <si>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</si>
  <si>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</si>
  <si>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</si>
  <si>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</si>
  <si>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</si>
  <si>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</si>
  <si>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</si>
  <si>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</si>
  <si>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</si>
  <si>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</si>
  <si>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</si>
  <si>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</si>
  <si>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</si>
  <si>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</si>
  <si>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</si>
  <si>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</si>
  <si>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</si>
  <si>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</si>
  <si>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</si>
  <si>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</si>
  <si>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</si>
  <si>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</si>
  <si>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</si>
  <si>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</si>
  <si>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</si>
  <si>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</si>
  <si>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</si>
  <si>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</si>
  <si>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</si>
  <si>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</si>
  <si>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</si>
  <si>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</si>
  <si>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</si>
  <si>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</si>
  <si>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</si>
  <si>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</si>
  <si>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</si>
  <si>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</si>
  <si>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</si>
  <si>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</si>
  <si>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</si>
  <si>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</si>
  <si>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</si>
  <si>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</si>
  <si>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</si>
  <si>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</si>
  <si>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</si>
  <si>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</si>
  <si>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</si>
  <si>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</si>
  <si>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</si>
  <si>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</si>
  <si>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</si>
  <si>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</si>
  <si>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</si>
  <si>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</si>
  <si>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</si>
  <si>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</si>
  <si>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</si>
  <si>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</si>
  <si>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</si>
  <si>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</si>
  <si>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</si>
  <si>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</si>
  <si>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</si>
  <si>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</si>
  <si>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</si>
  <si>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</si>
  <si>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</si>
  <si>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</si>
  <si>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</si>
  <si>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</si>
  <si>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</si>
  <si>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</si>
  <si>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</si>
  <si>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</si>
  <si>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</si>
  <si>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</si>
  <si>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</si>
  <si>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</si>
  <si>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</si>
  <si>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</si>
  <si>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</si>
  <si>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</si>
  <si>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</si>
  <si>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</si>
  <si>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</si>
  <si>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</si>
  <si>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</si>
  <si>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</si>
  <si>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</si>
  <si>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</si>
  <si>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</si>
  <si>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</si>
  <si>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</si>
  <si>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</si>
  <si>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</si>
  <si>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</si>
  <si>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</si>
  <si>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</si>
  <si>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</si>
  <si>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</si>
  <si>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</si>
  <si>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</si>
  <si>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</si>
  <si>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</si>
  <si>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</si>
  <si>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</si>
  <si>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</si>
  <si>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</si>
  <si>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</si>
  <si>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</si>
  <si>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</si>
  <si>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</si>
  <si>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</si>
  <si>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</si>
  <si>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</si>
  <si>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</si>
  <si>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</si>
  <si>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</si>
  <si>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</si>
  <si>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</si>
  <si>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</si>
  <si>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</si>
  <si>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</si>
  <si>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</si>
  <si>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</si>
  <si>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</si>
  <si>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</si>
  <si>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</si>
  <si>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</si>
  <si>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</si>
  <si>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</si>
  <si>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</si>
  <si>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</si>
  <si>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</si>
  <si>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</si>
  <si>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</si>
  <si>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</si>
  <si>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</si>
  <si>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</si>
  <si>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</si>
  <si>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</si>
  <si>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</si>
  <si>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</si>
  <si>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</si>
  <si>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</si>
  <si>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</si>
  <si>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</si>
  <si>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</si>
  <si>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</si>
  <si>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</si>
  <si>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</si>
  <si>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</si>
  <si>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</si>
  <si>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</si>
  <si>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</si>
  <si>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</si>
  <si>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</si>
  <si>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</si>
  <si>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</si>
  <si>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</si>
  <si>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</si>
  <si>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</si>
  <si>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</si>
  <si>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</si>
  <si>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</si>
  <si>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</si>
  <si>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</si>
  <si>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</si>
  <si>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</si>
  <si>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</si>
  <si>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</si>
  <si>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</si>
  <si>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</si>
  <si>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</si>
  <si>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</si>
  <si>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</si>
  <si>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</si>
  <si>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</si>
  <si>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</si>
  <si>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</si>
  <si>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</si>
  <si>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</si>
  <si>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</si>
  <si>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</si>
  <si>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</si>
  <si>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</si>
  <si>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</si>
  <si>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</si>
  <si>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</si>
  <si>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</si>
  <si>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</si>
  <si>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</si>
  <si>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</si>
  <si>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</si>
  <si>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</si>
  <si>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</si>
  <si>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</si>
  <si>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</si>
  <si>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</si>
  <si>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</si>
  <si>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</si>
  <si>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</si>
  <si>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</si>
  <si>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</si>
  <si>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</si>
  <si>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</si>
  <si>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</si>
  <si>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</si>
  <si>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</si>
  <si>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</si>
  <si>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</si>
  <si>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</si>
  <si>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</si>
  <si>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</si>
  <si>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</si>
  <si>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</si>
  <si>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</si>
  <si>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</si>
  <si>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</si>
  <si>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</si>
  <si>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</si>
  <si>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</si>
  <si>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</si>
  <si>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</si>
  <si>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</si>
  <si>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</si>
  <si>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</si>
  <si>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</si>
  <si>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</si>
  <si>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</si>
  <si>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</si>
  <si>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</si>
  <si>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</si>
  <si>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</si>
  <si>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</si>
  <si>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</si>
  <si>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</si>
  <si>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</si>
  <si>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</si>
  <si>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</si>
  <si>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</si>
  <si>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</si>
  <si>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</si>
  <si>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</si>
  <si>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</si>
  <si>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</si>
  <si>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</si>
  <si>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</si>
  <si>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</si>
  <si>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</si>
  <si>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</si>
  <si>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</si>
  <si>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</si>
  <si>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</si>
  <si>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</si>
  <si>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</si>
  <si>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</si>
  <si>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</si>
  <si>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</si>
  <si>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</si>
  <si>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</si>
  <si>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</si>
  <si>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</si>
  <si>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</si>
  <si>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</si>
  <si>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</si>
  <si>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</si>
  <si>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</si>
  <si>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</si>
  <si>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</si>
  <si>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</si>
  <si>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</si>
  <si>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</si>
  <si>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</si>
  <si>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</si>
  <si>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</si>
  <si>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</si>
  <si>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</si>
  <si>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</si>
  <si>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</si>
  <si>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</si>
  <si>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</si>
  <si>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</si>
  <si>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</si>
  <si>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</si>
  <si>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</si>
  <si>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</si>
  <si>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</si>
  <si>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</si>
  <si>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</si>
  <si>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</si>
  <si>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</si>
  <si>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</si>
  <si>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</si>
  <si>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</si>
  <si>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</si>
  <si>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</si>
  <si>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</si>
  <si>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</si>
  <si>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</si>
  <si>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</si>
  <si>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</si>
  <si>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</si>
  <si>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</si>
  <si>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</si>
  <si>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</si>
  <si>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</si>
  <si>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</si>
  <si>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</si>
  <si>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</si>
  <si>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</si>
  <si>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</si>
  <si>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</si>
  <si>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</si>
  <si>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</si>
  <si>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</si>
  <si>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</si>
  <si>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</si>
  <si>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</si>
  <si>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</si>
  <si>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</si>
  <si>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</si>
  <si>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</si>
  <si>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</si>
  <si>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</si>
  <si>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</si>
  <si>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</si>
  <si>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</si>
  <si>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</si>
  <si>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</si>
  <si>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</si>
  <si>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</si>
  <si>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</si>
  <si>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</si>
  <si>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</si>
  <si>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</si>
  <si>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</si>
  <si>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</si>
  <si>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</si>
  <si>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</si>
  <si>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</si>
  <si>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</si>
  <si>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</si>
  <si>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</si>
  <si>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</si>
  <si>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</si>
  <si>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</si>
  <si>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</si>
  <si>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</si>
  <si>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</si>
  <si>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</si>
  <si>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</si>
  <si>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</si>
  <si>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</si>
  <si>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</si>
  <si>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</si>
  <si>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</si>
  <si>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</si>
  <si>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</si>
  <si>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</si>
  <si>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</si>
  <si>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</si>
  <si>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</si>
  <si>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</si>
  <si>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</si>
  <si>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</si>
  <si>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</si>
  <si>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</si>
  <si>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</si>
  <si>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</si>
  <si>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</si>
  <si>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</si>
  <si>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</si>
  <si>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</si>
  <si>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</si>
  <si>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</si>
  <si>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</si>
  <si>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</si>
  <si>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</si>
  <si>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</si>
  <si>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</si>
  <si>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</si>
  <si>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</si>
  <si>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</si>
  <si>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</si>
  <si>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</si>
  <si>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</si>
  <si>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</si>
  <si>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</si>
  <si>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</si>
  <si>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</si>
  <si>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</si>
  <si>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</si>
  <si>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</si>
  <si>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</si>
  <si>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</si>
  <si>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</si>
  <si>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</si>
  <si>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</si>
  <si>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</si>
  <si>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</si>
  <si>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</si>
  <si>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</si>
  <si>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</si>
  <si>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</si>
  <si>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</si>
  <si>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</si>
  <si>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</si>
  <si>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</si>
  <si>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</si>
  <si>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</si>
  <si>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</si>
  <si>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</si>
  <si>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</si>
  <si>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</si>
  <si>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</si>
  <si>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</si>
  <si>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</si>
  <si>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</si>
  <si>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</si>
  <si>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</si>
  <si>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</si>
  <si>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</si>
  <si>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</si>
  <si>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</si>
  <si>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</si>
  <si>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</si>
  <si>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</si>
  <si>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</si>
  <si>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</si>
  <si>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</si>
  <si>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</si>
  <si>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</si>
  <si>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</si>
  <si>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</si>
  <si>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</si>
  <si>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</si>
  <si>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</si>
  <si>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</si>
  <si>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</si>
  <si>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</si>
  <si>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</si>
  <si>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</si>
  <si>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</si>
  <si>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</si>
  <si>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</si>
  <si>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</si>
  <si>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</si>
  <si>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</si>
  <si>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</si>
  <si>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</si>
  <si>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</si>
  <si>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</si>
  <si>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</si>
  <si>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</si>
  <si>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</si>
  <si>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</si>
  <si>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</si>
  <si>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</si>
  <si>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</si>
  <si>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</si>
  <si>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</si>
  <si>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</si>
  <si>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</si>
  <si>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</si>
  <si>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</si>
  <si>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</si>
  <si>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</si>
  <si>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</si>
  <si>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</si>
  <si>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</si>
  <si>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</si>
  <si>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</si>
  <si>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</si>
  <si>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</si>
  <si>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</si>
  <si>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</si>
  <si>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</si>
  <si>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</si>
  <si>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</si>
  <si>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</si>
  <si>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</si>
  <si>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</si>
  <si>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</si>
  <si>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</si>
  <si>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</si>
  <si>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</si>
  <si>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</si>
  <si>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</si>
  <si>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</si>
  <si>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</si>
  <si>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</si>
  <si>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</si>
  <si>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</si>
  <si>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</si>
  <si>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</si>
  <si>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</si>
  <si>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</si>
  <si>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</si>
  <si>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</si>
  <si>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</si>
  <si>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</si>
  <si>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</si>
  <si>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</si>
  <si>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</si>
  <si>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</si>
  <si>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</si>
  <si>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</si>
  <si>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</si>
  <si>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</si>
  <si>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</si>
  <si>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</si>
  <si>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</si>
  <si>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</si>
  <si>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</si>
  <si>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</si>
  <si>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</si>
  <si>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</si>
  <si>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</si>
  <si>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</si>
  <si>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</si>
  <si>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</si>
  <si>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</si>
  <si>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</si>
  <si>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</si>
  <si>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</si>
  <si>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</si>
  <si>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</si>
  <si>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</si>
  <si>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</si>
  <si>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</si>
  <si>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</si>
  <si>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</si>
  <si>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</si>
  <si>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</si>
  <si>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</si>
  <si>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</si>
  <si>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</si>
  <si>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</si>
  <si>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</si>
  <si>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</si>
  <si>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</si>
  <si>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</si>
  <si>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</si>
  <si>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</si>
  <si>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</si>
  <si>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</si>
  <si>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</si>
  <si>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</si>
  <si>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</si>
  <si>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</si>
  <si>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</si>
  <si>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</si>
  <si>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</si>
  <si>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</si>
  <si>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</si>
  <si>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</si>
  <si>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</si>
  <si>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</si>
  <si>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</si>
  <si>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</si>
  <si>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</si>
  <si>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</si>
  <si>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</si>
  <si>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</si>
  <si>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</si>
  <si>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</si>
  <si>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</si>
  <si>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</si>
  <si>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</si>
  <si>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</si>
  <si>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</si>
  <si>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</si>
  <si>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</si>
  <si>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</si>
  <si>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</si>
  <si>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</si>
  <si>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</si>
  <si>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</si>
  <si>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</si>
  <si>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</si>
  <si>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</si>
  <si>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</si>
  <si>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</si>
  <si>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</si>
  <si>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</si>
  <si>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</si>
  <si>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</si>
  <si>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</si>
  <si>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</si>
  <si>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</si>
  <si>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</si>
  <si>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</si>
  <si>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</si>
  <si>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</si>
  <si>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</si>
  <si>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</si>
  <si>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</si>
  <si>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</si>
  <si>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</si>
  <si>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</si>
  <si>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</si>
  <si>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</si>
  <si>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</si>
  <si>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</si>
  <si>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</si>
  <si>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</si>
  <si>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</si>
  <si>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</si>
  <si>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</si>
  <si>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</si>
  <si>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</si>
  <si>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</si>
  <si>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</si>
  <si>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</si>
  <si>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</si>
  <si>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</si>
  <si>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</si>
  <si>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</si>
  <si>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</si>
  <si>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</si>
  <si>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</si>
  <si>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</si>
  <si>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</si>
  <si>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</si>
  <si>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</si>
  <si>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</si>
  <si>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</si>
  <si>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</si>
  <si>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</si>
  <si>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</si>
  <si>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</si>
  <si>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</si>
  <si>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</si>
  <si>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</si>
  <si>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</si>
  <si>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</si>
  <si>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</si>
  <si>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</si>
  <si>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</si>
  <si>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</si>
  <si>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</si>
  <si>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</si>
  <si>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</si>
  <si>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</si>
  <si>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</si>
  <si>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</si>
  <si>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</si>
  <si>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</si>
  <si>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</si>
  <si>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</si>
  <si>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</si>
  <si>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</si>
  <si>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</si>
  <si>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</si>
  <si>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</si>
  <si>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</si>
  <si>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</si>
  <si>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</si>
  <si>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</si>
  <si>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</si>
  <si>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</si>
  <si>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</si>
  <si>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</si>
  <si>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</si>
  <si>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</si>
  <si>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</si>
  <si>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</si>
  <si>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</si>
  <si>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</si>
  <si>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</si>
  <si>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</si>
  <si>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</si>
  <si>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</si>
  <si>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</si>
  <si>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</si>
  <si>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</si>
  <si>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</si>
  <si>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</si>
  <si>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</si>
  <si>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</si>
  <si>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</si>
  <si>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</si>
  <si>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</si>
  <si>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</si>
  <si>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</si>
  <si>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</si>
  <si>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</si>
  <si>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</si>
  <si>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</si>
  <si>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</si>
  <si>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</si>
  <si>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</si>
  <si>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</si>
  <si>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</si>
  <si>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</si>
  <si>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</si>
  <si>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</si>
  <si>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</si>
  <si>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</si>
  <si>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</si>
  <si>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</si>
  <si>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</si>
  <si>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</si>
  <si>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</si>
  <si>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</si>
  <si>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</si>
  <si>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</si>
  <si>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</si>
  <si>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</si>
  <si>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</si>
  <si>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</si>
  <si>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</si>
  <si>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</si>
  <si>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</si>
  <si>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</si>
  <si>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</si>
  <si>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</si>
  <si>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</si>
  <si>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</si>
  <si>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</si>
  <si>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</si>
  <si>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</si>
  <si>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</si>
  <si>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</si>
  <si>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</si>
  <si>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</si>
  <si>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</si>
  <si>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</si>
  <si>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</si>
  <si>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</si>
  <si>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</si>
  <si>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</si>
  <si>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</si>
  <si>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</si>
  <si>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</si>
  <si>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</si>
  <si>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</si>
  <si>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</si>
  <si>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</si>
  <si>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</si>
  <si>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</si>
  <si>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</si>
  <si>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</si>
  <si>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</si>
  <si>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</si>
  <si>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</si>
  <si>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</si>
  <si>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</si>
  <si>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</si>
  <si>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</si>
  <si>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</si>
  <si>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</si>
  <si>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</si>
  <si>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</si>
  <si>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</si>
  <si>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</si>
  <si>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</si>
  <si>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</si>
  <si>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</si>
  <si>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</si>
  <si>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</si>
  <si>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</si>
  <si>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</si>
  <si>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</si>
  <si>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</si>
  <si>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</si>
  <si>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</si>
  <si>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</si>
  <si>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</si>
  <si>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</si>
  <si>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</si>
  <si>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</si>
  <si>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</si>
  <si>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</si>
  <si>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</si>
  <si>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</si>
  <si>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</si>
  <si>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</si>
  <si>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</si>
  <si>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</si>
  <si>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</si>
  <si>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</si>
  <si>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</si>
  <si>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</si>
  <si>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</si>
  <si>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</si>
  <si>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</si>
  <si>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</si>
  <si>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</si>
  <si>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</si>
  <si>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</si>
  <si>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</si>
  <si>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</si>
  <si>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</si>
  <si>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</si>
  <si>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</si>
  <si>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</si>
  <si>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</si>
  <si>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</si>
  <si>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</si>
  <si>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</si>
  <si>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</si>
  <si>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</si>
  <si>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</si>
  <si>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</si>
  <si>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</si>
  <si>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</si>
  <si>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</si>
  <si>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</si>
  <si>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</si>
  <si>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</si>
  <si>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</si>
  <si>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</si>
  <si>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</si>
  <si>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</si>
  <si>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</si>
  <si>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</si>
  <si>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</si>
  <si>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</si>
  <si>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</si>
  <si>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</si>
  <si>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</si>
  <si>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</si>
  <si>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</si>
  <si>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</si>
  <si>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</si>
  <si>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</si>
  <si>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</si>
  <si>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</si>
  <si>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</si>
  <si>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</si>
  <si>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</si>
  <si>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</si>
  <si>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</si>
  <si>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</si>
  <si>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</si>
  <si>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</si>
  <si>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</si>
  <si>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</si>
  <si>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</si>
  <si>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</si>
  <si>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</si>
  <si>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</si>
  <si>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</si>
  <si>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</si>
  <si>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</si>
  <si>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</si>
  <si>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</si>
  <si>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</si>
  <si>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</si>
  <si>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</si>
  <si>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</si>
  <si>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</si>
  <si>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</si>
  <si>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</si>
  <si>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</si>
  <si>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</si>
  <si>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</si>
  <si>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</si>
  <si>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</si>
  <si>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</si>
  <si>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</si>
  <si>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</si>
  <si>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</si>
  <si>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</si>
  <si>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</si>
  <si>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</si>
  <si>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</si>
  <si>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</si>
  <si>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</si>
  <si>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</si>
  <si>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</si>
  <si>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</si>
  <si>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</si>
  <si>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</si>
  <si>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</si>
  <si>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</si>
  <si>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</si>
  <si>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</si>
  <si>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</si>
  <si>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</si>
  <si>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</si>
  <si>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</si>
  <si>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</si>
  <si>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</si>
  <si>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</si>
  <si>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</si>
  <si>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</si>
  <si>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</si>
  <si>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</si>
  <si>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</si>
  <si>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</si>
  <si>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</si>
  <si>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</si>
  <si>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</si>
  <si>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</si>
  <si>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</si>
  <si>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</si>
  <si>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</si>
  <si>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</si>
  <si>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</si>
  <si>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</si>
  <si>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</si>
  <si>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</si>
  <si>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</si>
  <si>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</si>
  <si>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</si>
  <si>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</si>
  <si>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</si>
  <si>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</si>
  <si>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</si>
  <si>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</si>
  <si>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</si>
  <si>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</si>
  <si>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</si>
  <si>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</si>
  <si>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</si>
  <si>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</si>
  <si>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</si>
  <si>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</si>
  <si>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</si>
  <si>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</si>
  <si>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</si>
  <si>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</si>
  <si>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</si>
  <si>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</si>
  <si>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</si>
  <si>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</si>
  <si>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</si>
  <si>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</si>
  <si>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</si>
  <si>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</si>
  <si>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</si>
  <si>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</si>
  <si>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</si>
  <si>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</si>
  <si>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</si>
  <si>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</si>
  <si>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</si>
  <si>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</si>
  <si>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</si>
  <si>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</si>
  <si>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</si>
  <si>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</si>
  <si>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</si>
  <si>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</si>
  <si>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</si>
  <si>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</si>
  <si>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</si>
  <si>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</si>
  <si>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</si>
  <si>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</si>
  <si>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</si>
  <si>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</si>
  <si>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</si>
  <si>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</si>
  <si>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</si>
  <si>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</si>
  <si>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</si>
  <si>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</si>
  <si>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</si>
  <si>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</si>
  <si>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</si>
  <si>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</si>
  <si>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</si>
  <si>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</si>
  <si>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</si>
  <si>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</si>
  <si>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</si>
  <si>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</si>
  <si>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</si>
  <si>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</si>
  <si>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</si>
  <si>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</si>
  <si>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</si>
  <si>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</si>
  <si>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</si>
  <si>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</si>
  <si>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</si>
  <si>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</si>
  <si>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</si>
  <si>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</si>
  <si>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</si>
  <si>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</si>
  <si>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</si>
  <si>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</si>
  <si>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</si>
  <si>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</si>
  <si>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</si>
  <si>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</si>
  <si>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</si>
  <si>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</si>
  <si>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</si>
  <si>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</si>
  <si>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</si>
  <si>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</si>
  <si>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</si>
  <si>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</si>
  <si>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</si>
  <si>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</si>
  <si>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</si>
  <si>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</si>
  <si>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</si>
  <si>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</si>
  <si>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</si>
  <si>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</si>
  <si>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</si>
  <si>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</si>
  <si>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</si>
  <si>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</si>
  <si>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</si>
  <si>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</si>
  <si>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</si>
  <si>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</si>
  <si>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</si>
  <si>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</si>
  <si>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</si>
  <si>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</si>
  <si>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</si>
  <si>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</si>
  <si>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</si>
  <si>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</si>
  <si>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</si>
  <si>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</si>
  <si>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</si>
  <si>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</si>
  <si>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</si>
  <si>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</si>
  <si>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</si>
  <si>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</si>
  <si>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</si>
  <si>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</si>
  <si>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</si>
  <si>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</si>
  <si>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</si>
  <si>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</si>
  <si>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</si>
  <si>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</si>
  <si>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</si>
  <si>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</si>
  <si>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</si>
  <si>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</si>
  <si>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</si>
  <si>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</si>
  <si>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</si>
  <si>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</si>
  <si>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</si>
  <si>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</si>
  <si>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</si>
  <si>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</si>
  <si>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</si>
  <si>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</si>
  <si>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</si>
  <si>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</si>
  <si>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</si>
  <si>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</si>
  <si>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</si>
  <si>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</si>
  <si>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</si>
  <si>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</si>
  <si>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</si>
  <si>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</si>
  <si>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</si>
  <si>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</si>
  <si>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</si>
  <si>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</si>
  <si>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</si>
  <si>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</si>
  <si>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</si>
  <si>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</si>
  <si>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</si>
  <si>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</si>
  <si>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</si>
  <si>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</si>
  <si>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</si>
  <si>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</si>
  <si>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</si>
  <si>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</si>
  <si>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</si>
  <si>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</si>
  <si>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</si>
  <si>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</si>
  <si>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</si>
  <si>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</si>
  <si>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</si>
  <si>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</si>
  <si>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</si>
  <si>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</si>
  <si>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</si>
  <si>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</si>
  <si>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</si>
  <si>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</si>
  <si>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</si>
  <si>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</si>
  <si>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</si>
  <si>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</si>
  <si>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</si>
  <si>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</si>
  <si>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</si>
  <si>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</si>
  <si>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</si>
  <si>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</si>
  <si>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</si>
  <si>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</si>
  <si>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</si>
  <si>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</si>
  <si>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</si>
  <si>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</si>
  <si>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</si>
  <si>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</si>
  <si>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</si>
  <si>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</si>
  <si>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</si>
  <si>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</si>
  <si>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</si>
  <si>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</si>
  <si>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</si>
  <si>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</si>
  <si>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</si>
  <si>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</si>
  <si>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</si>
  <si>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</si>
  <si>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</si>
  <si>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</si>
  <si>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</si>
  <si>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</si>
  <si>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</si>
  <si>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</si>
  <si>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</si>
  <si>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</si>
  <si>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</si>
  <si>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</si>
  <si>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</si>
  <si>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</si>
  <si>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</si>
  <si>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</si>
  <si>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</si>
  <si>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</si>
  <si>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</si>
  <si>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</si>
  <si>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</si>
  <si>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</si>
  <si>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</si>
  <si>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</si>
  <si>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</si>
  <si>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</si>
  <si>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</si>
  <si>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</si>
  <si>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</si>
  <si>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</si>
  <si>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</si>
  <si>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</si>
  <si>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</si>
  <si>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</si>
  <si>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</si>
  <si>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</si>
  <si>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</si>
  <si>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</si>
  <si>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</si>
  <si>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</si>
  <si>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</si>
  <si>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</si>
  <si>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</si>
  <si>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</si>
  <si>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</si>
  <si>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</si>
  <si>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</si>
  <si>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</si>
  <si>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</si>
  <si>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</si>
  <si>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</si>
  <si>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</si>
  <si>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</si>
  <si>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</si>
  <si>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</si>
  <si>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</si>
  <si>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</si>
  <si>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</si>
  <si>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</si>
  <si>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</si>
  <si>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</si>
  <si>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</si>
  <si>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</si>
  <si>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</si>
  <si>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</si>
  <si>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</si>
  <si>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</si>
  <si>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</si>
  <si>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</si>
  <si>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</si>
  <si>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</si>
  <si>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</si>
  <si>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</si>
  <si>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</si>
  <si>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</si>
  <si>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</si>
  <si>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</si>
  <si>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</si>
  <si>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</si>
  <si>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</si>
  <si>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</si>
  <si>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</si>
  <si>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</si>
  <si>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</si>
  <si>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</si>
  <si>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</si>
  <si>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</si>
  <si>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</si>
  <si>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</si>
  <si>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</si>
  <si>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</si>
  <si>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</si>
  <si>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</si>
  <si>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</si>
  <si>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</si>
  <si>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</si>
  <si>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</si>
  <si>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</si>
  <si>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</si>
  <si>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</si>
  <si>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</si>
  <si>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</si>
  <si>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</si>
  <si>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</si>
  <si>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</si>
  <si>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</si>
  <si>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</si>
  <si>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</si>
  <si>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</si>
  <si>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</si>
  <si>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</si>
  <si>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</si>
  <si>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</si>
  <si>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</si>
  <si>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</si>
  <si>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</si>
  <si>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</si>
  <si>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</si>
  <si>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</si>
  <si>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</si>
  <si>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</si>
  <si>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</si>
  <si>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</si>
  <si>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</si>
  <si>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</si>
  <si>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</si>
  <si>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</si>
  <si>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</si>
  <si>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</si>
  <si>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</si>
  <si>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</si>
  <si>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</si>
  <si>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</si>
  <si>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</si>
  <si>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</si>
  <si>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</si>
  <si>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</si>
  <si>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</si>
  <si>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</si>
  <si>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</si>
  <si>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</si>
  <si>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</si>
  <si>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</si>
  <si>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</si>
  <si>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</si>
  <si>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</si>
  <si>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</si>
  <si>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</si>
  <si>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</si>
  <si>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</si>
  <si>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</si>
  <si>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</si>
  <si>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</si>
  <si>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</si>
  <si>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</si>
  <si>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</si>
  <si>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</si>
  <si>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</si>
  <si>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</si>
  <si>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</si>
  <si>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</si>
  <si>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</si>
  <si>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</si>
  <si>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</si>
  <si>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</si>
  <si>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</si>
  <si>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</si>
  <si>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</si>
  <si>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</si>
  <si>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</si>
  <si>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</si>
  <si>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</si>
  <si>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</si>
  <si>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</si>
  <si>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</si>
  <si>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</si>
  <si>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</si>
  <si>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</si>
  <si>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</si>
  <si>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</si>
  <si>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</si>
  <si>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</si>
  <si>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</si>
  <si>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</si>
  <si>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</si>
  <si>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</si>
  <si>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</si>
  <si>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</si>
  <si>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</si>
  <si>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</si>
  <si>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</si>
  <si>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</si>
  <si>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</si>
  <si>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</si>
  <si>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</si>
  <si>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</si>
  <si>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</si>
  <si>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</si>
  <si>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</si>
  <si>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</si>
  <si>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</si>
  <si>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</si>
  <si>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</si>
  <si>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</si>
  <si>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</si>
  <si>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</si>
  <si>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</si>
  <si>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</si>
  <si>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</si>
  <si>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</si>
  <si>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</si>
  <si>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</si>
  <si>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</si>
  <si>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</si>
  <si>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</si>
  <si>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</si>
  <si>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</si>
  <si>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</si>
  <si>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</si>
  <si>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</si>
  <si>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</si>
  <si>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</si>
  <si>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</si>
  <si>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</si>
  <si>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</si>
  <si>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</si>
  <si>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</si>
  <si>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</si>
  <si>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</si>
  <si>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</si>
  <si>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</si>
  <si>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</si>
  <si>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</si>
  <si>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</si>
  <si>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</si>
  <si>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</si>
  <si>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</si>
  <si>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</si>
  <si>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</si>
  <si>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</si>
  <si>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</si>
  <si>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</si>
  <si>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</si>
  <si>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</si>
  <si>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</si>
  <si>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</si>
  <si>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</si>
  <si>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</si>
  <si>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</si>
  <si>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</si>
  <si>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</si>
  <si>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</si>
  <si>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</si>
  <si>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</si>
  <si>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</si>
  <si>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</si>
  <si>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</si>
  <si>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</si>
  <si>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</si>
  <si>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</si>
  <si>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</si>
  <si>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</si>
  <si>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</si>
  <si>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</si>
  <si>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</si>
  <si>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</si>
  <si>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</si>
  <si>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</si>
  <si>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</si>
  <si>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</si>
  <si>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</si>
  <si>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</si>
  <si>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</si>
  <si>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</si>
  <si>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</si>
  <si>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</si>
  <si>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</si>
  <si>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</si>
  <si>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</si>
  <si>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</si>
  <si>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</si>
  <si>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</si>
  <si>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</si>
  <si>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</si>
  <si>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</si>
  <si>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</si>
  <si>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</si>
  <si>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</si>
  <si>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</si>
  <si>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</si>
  <si>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</si>
  <si>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</si>
  <si>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</si>
  <si>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</si>
  <si>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</si>
  <si>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</si>
  <si>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</si>
  <si>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</si>
  <si>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</si>
  <si>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</si>
  <si>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</si>
  <si>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</si>
  <si>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</si>
  <si>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</si>
  <si>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</si>
  <si>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</si>
  <si>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</si>
  <si>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</si>
  <si>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</si>
  <si>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</si>
  <si>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</si>
  <si>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</si>
  <si>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</si>
  <si>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</si>
  <si>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</si>
  <si>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</si>
  <si>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</si>
  <si>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</si>
  <si>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</si>
  <si>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</si>
  <si>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</si>
  <si>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</si>
  <si>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</si>
  <si>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</si>
  <si>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</si>
  <si>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</si>
  <si>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</si>
  <si>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</si>
  <si>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</si>
  <si>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</si>
  <si>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</si>
  <si>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</si>
  <si>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</si>
  <si>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</si>
  <si>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</si>
  <si>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</si>
  <si>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</si>
  <si>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</si>
  <si>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</si>
  <si>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</si>
  <si>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</si>
  <si>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</si>
  <si>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</si>
  <si>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</si>
  <si>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</si>
  <si>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+</t>
  </si>
  <si>
    <t>1т в день</t>
  </si>
  <si>
    <t>минус 0,8т ветчины</t>
  </si>
  <si>
    <t>грузить если поместиться</t>
  </si>
  <si>
    <t>резерв (минус 800кг)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</si>
</sst>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7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166" fontId="43" fillId="0" borderId="0" xfId="0" applyNumberFormat="1" applyFont="1" applyAlignment="1">
      <alignment horizontal="left" vertical="center" wrapText="1"/>
    </xf>
    <xf numFmtId="166" fontId="43" fillId="44" borderId="0" xfId="0" applyNumberFormat="1" applyFont="1" applyFill="1" applyAlignment="1">
      <alignment horizontal="left" vertical="center" wrapText="1"/>
    </xf>
    <xf numFmtId="166" fontId="43" fillId="45" borderId="0" xfId="0" applyNumberFormat="1" applyFont="1" applyFill="1" applyAlignment="1">
      <alignment horizontal="left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14" fillId="17" borderId="79" xfId="0" applyFont="1" applyFill="1" applyBorder="1" applyAlignment="1">
      <alignment horizontal="center" vertical="center" wrapText="1"/>
    </xf>
    <xf numFmtId="166" fontId="43" fillId="46" borderId="0" xfId="0" applyNumberFormat="1" applyFont="1" applyFill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48"/>
  <sheetViews>
    <sheetView tabSelected="1" zoomScale="85" zoomScaleNormal="85" workbookViewId="0">
      <pane ySplit="2" topLeftCell="A3" activePane="bottomLeft" state="frozen"/>
      <selection pane="bottomLeft" activeCell="P2" sqref="P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68" customWidth="1"/>
    <col min="16" max="16" width="14.140625" style="847" customWidth="1"/>
    <col min="17" max="17" width="10.42578125" style="833" customWidth="1"/>
    <col min="18" max="1021" width="9.140625" style="2"/>
  </cols>
  <sheetData>
    <row r="1" spans="1:17" ht="19.5" customHeight="1" thickBot="1" x14ac:dyDescent="0.3">
      <c r="A1" s="942" t="s">
        <v>0</v>
      </c>
      <c r="B1" s="942"/>
      <c r="C1" s="942"/>
      <c r="D1" s="942"/>
      <c r="E1" s="942"/>
      <c r="F1" s="942"/>
      <c r="G1" s="942"/>
      <c r="H1" s="942"/>
      <c r="I1" s="942"/>
      <c r="J1" s="942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43">
        <v>1</v>
      </c>
      <c r="B3" s="94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43"/>
      <c r="B4" s="94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40">
        <v>3</v>
      </c>
      <c r="B6" s="94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40"/>
      <c r="B7" s="94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40"/>
      <c r="B8" s="94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40">
        <v>5</v>
      </c>
      <c r="B10" s="94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40"/>
      <c r="B11" s="94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41">
        <v>8</v>
      </c>
      <c r="B14" s="94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41"/>
      <c r="B15" s="94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40">
        <v>11</v>
      </c>
      <c r="B18" s="94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40"/>
      <c r="B19" s="94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40"/>
      <c r="B20" s="94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40"/>
      <c r="B21" s="94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40">
        <v>13</v>
      </c>
      <c r="B23" s="94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40"/>
      <c r="B24" s="94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41">
        <v>14</v>
      </c>
      <c r="B25" s="94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41"/>
      <c r="B26" s="94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40">
        <v>15</v>
      </c>
      <c r="B27" s="94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40"/>
      <c r="B28" s="94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40"/>
      <c r="B29" s="94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40"/>
      <c r="B30" s="94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41">
        <v>16</v>
      </c>
      <c r="B31" s="94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41"/>
      <c r="B32" s="94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41"/>
      <c r="B33" s="94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41"/>
      <c r="B34" s="94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40">
        <v>17</v>
      </c>
      <c r="B35" s="94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40"/>
      <c r="B36" s="94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40">
        <v>21</v>
      </c>
      <c r="B40" s="94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40"/>
      <c r="B41" s="94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40">
        <v>23</v>
      </c>
      <c r="B43" s="94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40"/>
      <c r="B44" s="94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40"/>
      <c r="B45" s="94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41">
        <v>24</v>
      </c>
      <c r="B46" s="94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41"/>
      <c r="B47" s="94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40">
        <v>25</v>
      </c>
      <c r="B48" s="94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40"/>
      <c r="B49" s="94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40"/>
      <c r="B50" s="94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41">
        <v>26</v>
      </c>
      <c r="B51" s="94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41"/>
      <c r="B52" s="94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40">
        <v>29</v>
      </c>
      <c r="B55" s="94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40"/>
      <c r="B56" s="94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41">
        <v>32</v>
      </c>
      <c r="B59" s="94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41"/>
      <c r="B60" s="94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41">
        <v>34</v>
      </c>
      <c r="B62" s="94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41"/>
      <c r="B63" s="94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41"/>
      <c r="B64" s="94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41"/>
      <c r="B65" s="94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41"/>
      <c r="B66" s="94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40">
        <v>35</v>
      </c>
      <c r="B67" s="94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40"/>
      <c r="B68" s="94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31">
        <v>40</v>
      </c>
      <c r="B73" s="94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31"/>
      <c r="B74" s="94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32">
        <v>41</v>
      </c>
      <c r="B75" s="94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32"/>
      <c r="B76" s="94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32"/>
      <c r="B77" s="94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31">
        <v>42</v>
      </c>
      <c r="B78" s="94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31"/>
      <c r="B79" s="94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32">
        <v>49</v>
      </c>
      <c r="B86" s="94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32"/>
      <c r="B87" s="94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32"/>
      <c r="B88" s="94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31">
        <v>50</v>
      </c>
      <c r="B89" s="94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31"/>
      <c r="B90" s="94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32">
        <v>51</v>
      </c>
      <c r="B91" s="94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32"/>
      <c r="B92" s="94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32">
        <v>53</v>
      </c>
      <c r="B94" s="94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32"/>
      <c r="B95" s="94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31">
        <v>54</v>
      </c>
      <c r="B96" s="94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31"/>
      <c r="B97" s="94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31"/>
      <c r="B98" s="94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31">
        <v>58</v>
      </c>
      <c r="B102" s="94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31"/>
      <c r="B103" s="94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31">
        <v>60</v>
      </c>
      <c r="B105" s="94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31"/>
      <c r="B106" s="94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31"/>
      <c r="B107" s="94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32">
        <v>61</v>
      </c>
      <c r="B108" s="94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32"/>
      <c r="B109" s="94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32"/>
      <c r="B110" s="94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31">
        <v>64</v>
      </c>
      <c r="B113" s="94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31"/>
      <c r="B114" s="94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31">
        <v>66</v>
      </c>
      <c r="B116" s="94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31"/>
      <c r="B117" s="94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32">
        <v>67</v>
      </c>
      <c r="B118" s="94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32"/>
      <c r="B119" s="94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32"/>
      <c r="B120" s="94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31">
        <v>68</v>
      </c>
      <c r="B121" s="94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31"/>
      <c r="B122" s="94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32">
        <v>69</v>
      </c>
      <c r="B123" s="94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32"/>
      <c r="B124" s="94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31">
        <v>72</v>
      </c>
      <c r="B127" s="941" t="s">
        <v>65</v>
      </c>
      <c r="C127" s="119" t="s">
        <v>26</v>
      </c>
      <c r="D127" s="120">
        <v>3.3</v>
      </c>
      <c r="E127" s="121"/>
      <c r="F127" s="122" t="s">
        <v>30</v>
      </c>
      <c r="G127" s="94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31"/>
      <c r="B128" s="941"/>
      <c r="C128" s="103" t="s">
        <v>26</v>
      </c>
      <c r="D128" s="88">
        <v>12.9</v>
      </c>
      <c r="E128" s="106"/>
      <c r="F128" s="107" t="s">
        <v>16</v>
      </c>
      <c r="G128" s="94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31">
        <v>76</v>
      </c>
      <c r="B132" s="94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31"/>
      <c r="B133" s="94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31"/>
      <c r="B134" s="94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31"/>
      <c r="B135" s="94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31">
        <v>78</v>
      </c>
      <c r="B137" s="94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31"/>
      <c r="B138" s="94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3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3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3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3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3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3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3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3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3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3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3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3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3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3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3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3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3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3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3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3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3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3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3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3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3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3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3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3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3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3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3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3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3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3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3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3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3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3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3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3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3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3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3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3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3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3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3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3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3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3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3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3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3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3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3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3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3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3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3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3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3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3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3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3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3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3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3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3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3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3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3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3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3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3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3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3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3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3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3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3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3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3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3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3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3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3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3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3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3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3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3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3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3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3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3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3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3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3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3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4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3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46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3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3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3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3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3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3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3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3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3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3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3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3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3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3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3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3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3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3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3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3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3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3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3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3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3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3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3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3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3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3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3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3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3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3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3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3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3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3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3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3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3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3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3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3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3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3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3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3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3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3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3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3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3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3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3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3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3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3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3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3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3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3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3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3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3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3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3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3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3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3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3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3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3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3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3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3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3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3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3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3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3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3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3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3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3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3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3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3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3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3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3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3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3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3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3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3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3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3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3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3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3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3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3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3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3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3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3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3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3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3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3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3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3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3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3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3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50" t="s">
        <v>133</v>
      </c>
      <c r="J420" s="950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3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3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3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3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3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3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3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3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3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3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3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3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3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3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3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3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3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3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3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3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3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3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3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3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3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3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3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3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3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3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3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3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3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3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3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3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3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3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3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3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3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3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3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3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3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3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3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3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3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3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3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3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3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3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3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3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3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3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3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3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3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3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3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3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3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3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3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4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3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49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3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49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3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49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3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49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3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3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3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3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3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3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3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3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3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3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3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3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3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3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3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3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3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3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3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3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3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3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3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3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3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3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3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3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3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3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3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3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3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3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3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3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3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3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3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3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3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3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3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3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3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3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3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3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3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3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3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3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3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3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3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3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3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3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3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3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3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3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3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3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3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3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3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3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3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3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3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3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3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3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3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3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3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3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3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3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3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3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3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3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3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3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3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3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3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3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3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3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3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3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3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3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3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3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3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3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3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3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3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3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3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3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3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3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3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3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3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3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3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3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3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3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3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3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3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3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3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3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3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3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3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3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3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3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5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3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51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3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3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3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3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3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3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3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3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3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3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3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3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3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3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3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3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3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3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3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3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3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3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3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3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3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3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3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3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3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3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3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3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3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3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3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3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3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3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3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3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3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3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3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3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3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3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3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3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3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3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3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3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3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3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3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3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3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3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3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3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3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3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3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3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3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3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3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5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3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52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3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3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3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3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3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3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3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3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3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3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3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3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3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3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3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3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3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3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3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3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3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3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3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3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3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3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3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3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3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3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3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3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3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3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3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3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3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3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3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3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3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3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3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3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3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3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3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3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3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3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3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3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3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3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3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3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3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3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3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3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3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3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3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3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3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3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3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3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3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3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3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3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3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3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3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3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3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3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3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3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3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3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3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3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3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3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3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3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3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3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3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3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3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3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3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3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3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3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3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3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3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3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3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3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3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3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3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3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3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3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3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3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3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3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3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3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3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3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3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3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3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3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3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3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3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3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3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3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3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3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3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3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3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3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3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3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3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3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3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3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3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3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3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3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3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3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3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3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3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3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3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3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3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3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3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3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3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3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3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3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3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3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3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3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3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3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3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3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3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3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3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3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3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3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3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3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3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3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3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3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3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3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3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3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3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3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3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3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3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5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5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3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3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3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3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3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3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3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3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3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3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3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3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3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3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3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3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3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3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3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3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3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3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3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3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3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3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3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3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3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3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3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3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3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3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3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3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3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3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3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3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3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3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3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3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3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3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3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3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3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3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3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3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3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3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3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3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3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3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3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3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3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3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3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3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3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3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3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3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3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3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3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3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3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3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3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3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3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3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3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3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3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3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3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3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3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3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3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3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3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3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3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3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3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3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3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3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3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3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3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3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3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3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3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3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3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3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3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3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3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3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3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3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3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3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3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3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3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3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3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3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3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3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3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3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3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3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3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3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3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3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3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3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3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3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3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3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3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3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3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3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3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3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3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3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3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3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3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3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3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3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3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3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3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3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3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3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3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3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3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3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3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3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3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3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3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3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3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3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3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3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3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3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3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3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3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3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3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3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3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3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3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3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3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3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3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3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3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3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3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3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3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3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3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3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3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3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3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3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3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3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3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3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3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3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3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3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3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3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3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3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3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3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3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3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3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3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3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3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3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3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3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3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3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3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3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3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3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3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3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3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3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3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3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3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3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3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3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3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3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3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3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3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3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3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3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3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3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3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3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3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3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3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3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3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3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3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3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3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3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3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3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3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3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3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3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3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3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3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3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3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3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3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3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3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3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3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3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3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3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3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3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3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3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3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3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3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3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3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3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3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3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3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3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3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3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3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3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3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3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3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3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3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3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5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3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5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3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3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3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3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3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3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3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3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3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3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3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3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3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3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3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3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3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3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3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3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3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3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3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3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3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3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3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3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3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3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3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3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3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3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3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3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3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3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3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3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3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3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3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3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3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3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3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3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3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3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3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3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3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3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3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3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3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3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3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3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3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3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3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3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3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3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3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3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3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3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3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3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3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3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3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3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3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3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3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3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3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3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3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3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3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3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3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3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3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3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3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3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3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3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3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3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3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3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3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3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3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3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3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3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3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3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3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3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3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3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3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3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3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3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3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3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3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3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3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3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3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3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3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3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3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3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3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3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3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3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3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3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3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3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3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3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3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3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3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3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3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3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3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3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3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3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3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3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3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3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3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3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3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3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3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3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3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3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3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3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3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3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3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3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3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3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3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3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3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3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3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3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3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3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3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3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3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3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3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3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3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3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3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3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3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3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3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3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3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3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3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3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3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3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3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3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3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3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3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3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3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3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3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3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3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3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3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3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3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3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3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3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3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3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3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3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3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3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3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3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3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3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3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3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3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3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3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3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3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3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3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3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3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3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3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3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3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3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3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3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3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3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3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3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3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3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3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3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3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3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3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3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3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3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3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3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3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3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3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3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3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3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3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3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3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3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3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3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3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3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3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3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3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3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3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3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3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3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3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3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3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3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3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3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3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3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3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3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3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3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3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3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3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3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3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3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3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3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3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3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3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3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3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3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3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3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3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3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3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3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3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3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3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3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3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3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31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3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31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3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3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3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3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3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3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3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3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31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3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3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3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3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3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3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3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3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3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3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3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3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3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3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3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3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3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3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3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3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3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3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3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3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3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3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3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3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3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3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3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3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3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3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3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3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3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3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3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3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3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3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3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3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3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3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3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3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3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3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3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3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3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3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3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3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3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3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3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3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3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3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3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3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3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3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3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3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3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3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3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3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3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3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3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3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3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3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3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3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3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3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3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3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3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3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3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3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3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3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3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3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3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3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3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3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3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3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3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3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3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31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3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3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3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3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31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3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3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3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3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3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3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3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3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3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3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3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3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3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3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3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3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3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3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3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3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3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3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3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3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3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3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3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3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3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3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3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3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3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3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3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3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3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3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3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3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3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3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3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3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3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3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3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3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3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3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3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3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3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3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3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3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3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3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3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3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3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3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3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3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3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3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3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3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3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3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3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3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3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3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3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3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3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3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31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3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3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3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3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3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3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3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3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3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3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3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3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3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3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3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3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3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3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3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3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3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3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3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3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3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31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3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3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3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3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3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3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3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3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3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3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3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3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5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6" t="s">
        <v>467</v>
      </c>
      <c r="H2160" s="414" t="s">
        <v>515</v>
      </c>
      <c r="I2160" s="415" t="s">
        <v>516</v>
      </c>
      <c r="J2160" s="95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5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6"/>
      <c r="H2161" s="421" t="s">
        <v>515</v>
      </c>
      <c r="I2161" s="422" t="s">
        <v>516</v>
      </c>
      <c r="J2161" s="95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5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6"/>
      <c r="H2162" s="429" t="s">
        <v>515</v>
      </c>
      <c r="I2162" s="430" t="s">
        <v>516</v>
      </c>
      <c r="J2162" s="95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5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6" t="s">
        <v>467</v>
      </c>
      <c r="H2165" s="414" t="s">
        <v>516</v>
      </c>
      <c r="I2165" s="415" t="s">
        <v>516</v>
      </c>
      <c r="J2165" s="95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5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6"/>
      <c r="H2166" s="429" t="s">
        <v>516</v>
      </c>
      <c r="I2166" s="430" t="s">
        <v>516</v>
      </c>
      <c r="J2166" s="95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3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3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3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3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3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3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3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3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3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3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3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3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3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3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3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3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3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3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3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3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3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3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3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5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3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5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3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4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3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4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3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3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3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3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3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3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3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3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3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3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3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3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3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3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3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3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3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3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3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3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3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3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3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3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3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3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3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3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3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3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3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3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3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3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3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3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31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3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3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31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3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3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3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3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3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3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3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3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3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3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3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3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3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3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3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3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3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3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3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3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3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3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3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3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31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3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3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3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3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3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3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3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3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3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3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3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3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3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3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3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3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3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3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3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3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3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3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3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3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3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3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3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3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3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3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3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3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3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3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3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3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3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3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3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3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3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3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3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3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3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3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3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3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3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3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3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3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3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3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3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3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3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3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3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3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3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3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3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3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3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3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3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3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3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3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3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3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3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3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3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3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3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3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3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3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3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3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3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3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3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3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3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3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3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3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3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3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3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3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3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3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3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3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3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3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3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3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3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3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3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3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3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3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3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3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3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3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3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3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3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3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3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3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3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3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3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3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3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3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3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3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3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31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3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3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3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3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3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3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3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3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3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3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3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3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3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3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3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3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3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3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3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3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3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3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3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3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3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3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3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3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3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3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3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5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6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5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6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3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3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3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3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3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3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3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3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3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3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31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3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3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3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3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3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3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3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3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3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3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3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3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3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6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3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6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3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3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3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3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3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3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3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3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3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3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3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3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31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3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3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3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3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3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3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3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3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3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3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3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3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3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3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3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3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3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3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3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3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3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3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3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3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3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3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3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3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3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3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3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3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3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3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3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3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3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3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3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3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3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3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3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6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6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3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3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3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3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3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3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3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3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3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3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3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3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3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3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3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3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3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3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3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3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3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3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3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3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3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3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3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3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3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3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3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3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3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3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3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3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3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3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3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3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3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3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3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3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3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3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3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3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3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3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3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3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3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3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3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3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3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3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3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3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3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3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3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3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3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3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3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3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3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3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3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3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3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3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3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3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3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3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3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3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3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3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3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3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3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3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3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3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3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3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3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3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3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3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3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3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6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3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6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3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3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3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3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3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3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3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3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3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3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3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3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3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3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3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3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3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3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3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3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3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3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3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3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3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3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3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3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3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3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3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3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3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3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3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3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3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3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3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3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3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3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3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3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3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3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3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3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3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3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3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3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3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3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3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3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3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3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3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3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3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3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3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3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3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3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3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3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3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3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3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3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3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3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3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3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3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3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3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3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3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3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3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3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3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3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3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3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3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3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3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3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3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3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3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3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3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3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3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3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3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3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3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3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3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3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3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3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3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3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3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3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3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3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3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3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3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3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3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3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3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3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3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3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3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3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3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3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3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3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3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3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3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3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3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3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3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3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3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3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3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3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3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3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3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3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3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3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3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3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3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3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3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3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3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3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3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3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3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3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3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3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3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3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3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3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3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3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3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3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3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3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3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3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3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3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3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3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3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3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3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3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3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3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3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3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3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3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3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3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3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3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3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3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3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3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3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3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3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3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3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3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3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3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3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3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3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3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3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3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3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3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3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3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3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3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3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3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3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3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3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3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3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3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3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3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3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3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3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3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3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3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3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3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3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3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3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3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3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3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3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3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3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3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3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3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3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3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3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3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3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3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3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3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3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3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3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3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3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3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3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3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3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3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3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3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3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3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3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3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3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3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3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3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3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3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3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3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3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3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3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3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3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3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3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3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3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3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3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3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3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3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3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3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3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3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3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3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3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3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3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3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3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6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3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6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3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6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3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6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3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6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3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6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3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3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3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3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3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3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3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3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3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3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3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3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31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3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3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3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3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3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3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3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3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3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3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3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3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3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3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3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3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3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3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3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3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3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3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3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3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3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3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3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3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3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3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3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3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3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3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3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3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3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3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3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3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3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3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3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3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3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3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3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3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3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3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3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3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3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3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3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3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3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3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3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3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3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3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3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3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3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3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3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3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3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3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3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3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3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3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3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3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3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3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3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3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3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3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3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3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3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3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3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3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3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3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3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3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3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3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3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3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3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3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3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3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3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3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3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3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3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3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3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3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3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3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3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3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3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3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3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3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3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3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3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3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3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3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3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3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3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3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3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3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3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3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3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3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3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3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3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3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3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3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3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3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3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3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3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3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3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3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3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3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3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3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3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3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3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3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3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3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3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3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3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3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3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3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3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6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3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6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3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6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3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3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3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3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3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3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3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3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3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3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3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3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3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3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3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3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3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3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3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3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3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3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3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3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3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3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3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3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3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3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3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3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3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3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3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3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3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3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3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3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3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3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3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3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3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3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3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3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3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3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3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3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3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3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3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3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3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3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3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3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3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3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3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3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3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3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3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3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3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3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90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2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90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2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90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2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90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2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90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2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90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2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90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6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90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6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90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2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6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6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90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90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90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90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90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90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90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90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6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90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6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90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6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90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90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90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90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90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90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90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1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6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6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90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6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90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1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6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6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90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90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90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6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90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90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90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90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90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6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90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90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90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90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90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90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90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90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90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90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6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90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2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6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6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90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2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6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6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90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6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90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6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90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90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90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6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90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6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90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90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6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90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90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6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90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90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90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90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90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90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90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6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90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1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6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6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90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6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90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6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90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90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90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6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90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2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6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6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90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90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6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90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6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90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1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6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6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90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90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90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90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90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90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90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6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90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6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90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1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6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6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90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90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6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90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90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6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90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90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6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90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90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90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90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90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6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90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90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6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90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90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90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90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90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90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90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90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90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90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90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90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90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6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90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2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90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2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6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6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90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90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6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90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90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6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90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90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90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90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2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6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6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90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90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90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6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90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6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90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6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90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6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90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90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90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90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90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90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6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90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90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6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90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6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90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6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90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6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90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2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6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6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90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90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90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90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6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90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6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90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6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90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6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90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6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90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90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90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90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90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90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90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90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90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6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90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6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90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90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90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6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90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90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90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90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90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6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90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6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90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90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90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6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90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90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90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90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90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90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90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6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90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2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6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6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90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90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6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90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90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90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6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90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90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6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90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2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90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2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6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6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90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1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6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6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90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6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90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6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90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90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90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90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90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90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90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6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90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6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90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90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6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90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90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90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6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90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6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90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2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6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6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90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6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90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90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6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90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6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90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90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90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90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90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90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90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90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90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90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6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90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90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90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1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6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6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90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90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90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90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90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90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6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90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90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90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90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90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90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6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90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6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90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6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90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90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6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90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6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1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6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6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90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90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90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90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90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6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90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6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90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90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6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90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6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90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6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90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6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90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90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90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90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90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90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90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90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90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2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90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90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90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90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1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90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1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90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90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90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90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90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90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90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90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90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90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90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90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90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90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90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90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90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90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1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90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2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90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1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90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90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90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90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90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90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90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90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90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90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90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90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90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90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90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90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90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90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90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90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90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90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90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90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90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90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90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90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90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90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90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90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90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90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90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90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90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90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90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90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90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90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90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90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90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90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90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90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90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90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90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90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90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90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90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90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90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90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90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90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90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90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90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90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90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90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90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90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90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90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90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90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90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90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90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90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90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90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90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90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90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90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90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90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90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2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90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90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90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90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90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90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90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90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90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90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90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90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90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90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1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90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2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90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2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90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1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90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90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90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90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90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90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90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90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90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90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90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90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90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90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1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90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1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90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90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90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90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90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90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90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90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90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90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90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90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90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90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90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90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90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90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90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90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90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90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2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90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2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90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2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90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90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90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90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90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90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90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90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90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90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90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90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90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1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90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1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90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90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90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90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90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90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90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90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90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90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90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90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90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90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90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90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90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90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90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90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90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90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90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90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90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90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90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90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90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90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90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90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90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90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90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90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90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90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90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1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90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1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90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90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90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90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90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90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90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90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90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90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90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90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90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90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90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90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90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90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90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90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90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90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90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90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90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90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90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90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90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90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90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90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90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90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90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90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90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90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90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90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90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90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90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90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90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90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90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90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90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90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90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90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90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90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90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90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90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90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90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90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1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90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2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90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90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90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90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90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90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90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90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90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90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90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90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90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90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90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90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90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90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90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90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90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90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90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90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90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90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90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90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90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90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90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90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90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90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90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90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90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90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90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90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90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90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90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90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90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90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90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90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90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90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90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90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90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90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90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90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90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90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90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90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2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90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2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90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90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90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90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90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90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90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90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90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90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90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90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90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90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90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90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90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90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90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90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90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90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2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90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90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90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90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90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90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90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90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90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90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90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90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90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90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90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90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90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90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90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90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90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90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90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90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90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90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90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90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90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90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90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90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90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90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90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90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90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90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90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90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90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90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90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90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90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90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90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90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90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90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90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90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90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90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2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90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90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90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90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90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90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90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90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90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90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90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90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90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90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90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90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90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90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90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90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90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1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90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2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90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2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90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1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90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90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90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90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1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90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1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90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90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90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90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90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90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90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90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90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2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90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90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90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90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90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90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90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90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90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90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2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90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2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90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90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90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90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90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90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90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90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90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2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90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90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90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90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90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90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90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90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1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90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1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90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90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90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90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90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90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90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90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90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90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90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90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90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90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90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90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90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1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90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2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90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1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90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90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90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2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90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90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90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90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90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90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90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90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1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90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1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90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90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90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90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90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90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90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90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90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2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90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90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90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90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90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90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90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2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90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90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90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90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90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90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90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90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90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90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90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90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90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90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90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90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90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90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90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90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90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2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90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90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90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90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90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90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90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2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90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2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90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90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90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90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90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90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90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90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90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90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90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90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90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90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90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90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90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2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90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90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90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90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1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90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1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90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90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90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90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90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90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90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90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90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90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2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90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90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90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90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90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90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1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90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1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90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90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90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90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90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90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90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90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90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90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90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1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90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1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90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90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90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90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90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90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90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90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90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90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90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90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90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90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1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90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1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90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1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90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1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90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90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90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90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90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90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90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90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90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90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90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90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90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1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90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1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90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90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90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90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90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90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1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90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1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90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90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90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90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90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90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2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90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2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90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2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90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1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90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1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90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90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90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90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90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90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90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90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90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90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90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2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90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90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90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90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90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90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90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90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90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90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90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90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90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90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90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90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1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90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2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90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1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90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90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90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1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90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1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90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90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90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90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90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90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90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90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90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90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90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2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90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2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90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2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90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2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90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90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90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2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90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90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90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90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90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90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90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2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90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90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90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90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90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90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90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90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90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90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2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90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90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90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90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90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90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90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90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90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90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90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90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90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90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90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90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90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90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90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90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90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90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90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90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90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90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90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90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90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90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90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90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90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2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90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2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90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90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90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90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90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2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90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90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90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90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2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90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90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90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90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90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90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90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90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90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1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90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1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90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90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90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90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90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90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90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90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90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90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90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90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90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2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90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90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90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90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90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90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90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90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90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90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90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90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90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90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90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90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90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90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90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90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90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90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90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90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90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90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90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90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90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1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90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2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90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90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90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90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90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90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90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90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90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90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90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90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90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90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90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90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90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90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90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90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90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90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90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90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90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90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90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90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90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90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2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90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2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90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2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90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2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90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2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90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90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90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90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90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90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90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90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90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90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90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90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90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90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90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90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90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90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90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90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90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90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90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90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1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90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1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90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1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90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2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90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2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90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2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90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90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90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90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90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90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90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90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90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90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90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90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90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90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90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90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90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90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90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2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90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2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90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90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90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2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90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90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90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90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2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90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2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90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90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90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90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90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90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90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90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90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90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90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2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90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90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90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90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90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90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90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90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90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90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90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90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90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90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90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90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90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90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90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90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90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90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90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90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90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90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90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90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90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90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90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90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90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90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90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90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90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90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1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90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1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90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90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90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90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90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90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90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90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90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90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2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90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90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90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90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90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90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90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90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1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90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1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90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90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90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90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90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90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90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90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90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90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90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1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90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1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90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1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90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2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90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2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90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2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90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1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90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90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90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90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90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90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90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90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90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2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90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90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90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90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90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90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90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90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90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90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90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90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90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90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90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90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90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90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90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90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90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90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90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90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90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90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90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90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90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90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90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90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90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1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90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1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90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90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90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90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90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90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90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90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90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90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90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90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90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90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90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90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90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1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90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1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90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90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2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2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7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7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7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90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90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7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7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7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7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7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90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90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1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90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1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1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90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1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1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1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1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1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90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90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90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90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90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90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90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90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90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90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90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90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90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90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90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90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90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90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90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90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90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90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90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90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90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90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90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90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90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90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90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90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90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90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90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90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90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90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90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90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90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90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90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90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90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90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1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90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1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90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90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1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1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90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90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90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91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4"/>
    </row>
    <row r="6674" spans="1:17" ht="18.75" hidden="1" customHeight="1" thickBot="1" x14ac:dyDescent="0.3">
      <c r="A6674" s="91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4"/>
    </row>
    <row r="6675" spans="1:17" ht="19.5" hidden="1" thickBot="1" x14ac:dyDescent="0.3">
      <c r="A6675" s="90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4"/>
    </row>
    <row r="6676" spans="1:17" ht="19.5" hidden="1" thickBot="1" x14ac:dyDescent="0.3">
      <c r="A6676" s="909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4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4"/>
    </row>
    <row r="6678" spans="1:17" ht="19.5" hidden="1" thickBot="1" x14ac:dyDescent="0.3">
      <c r="A6678" s="90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90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91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4" t="s">
        <v>1647</v>
      </c>
      <c r="Q6680" s="833" t="s">
        <v>1648</v>
      </c>
    </row>
    <row r="6681" spans="1:17" ht="18.75" hidden="1" customHeight="1" thickBot="1" x14ac:dyDescent="0.3">
      <c r="A6681" s="91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4"/>
    </row>
    <row r="6682" spans="1:17" ht="19.5" hidden="1" thickBot="1" x14ac:dyDescent="0.3">
      <c r="A6682" s="90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4" t="s">
        <v>1651</v>
      </c>
      <c r="Q6682" s="833" t="s">
        <v>1652</v>
      </c>
    </row>
    <row r="6683" spans="1:17" ht="18.75" hidden="1" customHeight="1" thickBot="1" x14ac:dyDescent="0.3">
      <c r="A6683" s="90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4"/>
    </row>
    <row r="6684" spans="1:17" ht="19.5" hidden="1" thickBot="1" x14ac:dyDescent="0.3">
      <c r="A6684" s="91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92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758" t="s">
        <v>1679</v>
      </c>
    </row>
    <row r="6686" spans="1:17" ht="19.5" hidden="1" thickBot="1" x14ac:dyDescent="0.3">
      <c r="A6686" s="92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758" t="s">
        <v>1680</v>
      </c>
    </row>
    <row r="6687" spans="1:17" ht="19.5" hidden="1" thickBot="1" x14ac:dyDescent="0.3">
      <c r="A6687" s="91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90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90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4"/>
    </row>
    <row r="6690" spans="1:16" ht="19.5" hidden="1" thickBot="1" x14ac:dyDescent="0.3">
      <c r="A6690" s="90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4"/>
    </row>
    <row r="6691" spans="1:16" ht="19.5" hidden="1" thickBot="1" x14ac:dyDescent="0.3">
      <c r="A6691" s="91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1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90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90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91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4"/>
    </row>
    <row r="6696" spans="1:16" ht="19.5" hidden="1" thickBot="1" x14ac:dyDescent="0.3">
      <c r="A6696" s="92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758" t="s">
        <v>1655</v>
      </c>
      <c r="P6696" s="834"/>
    </row>
    <row r="6697" spans="1:16" ht="19.5" hidden="1" thickBot="1" x14ac:dyDescent="0.3">
      <c r="A6697" s="91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4"/>
    </row>
    <row r="6698" spans="1:16" ht="19.5" hidden="1" thickBot="1" x14ac:dyDescent="0.3">
      <c r="A6698" s="90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4"/>
    </row>
    <row r="6699" spans="1:16" ht="18.75" hidden="1" customHeight="1" thickBot="1" x14ac:dyDescent="0.3">
      <c r="A6699" s="90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4"/>
    </row>
    <row r="6700" spans="1:16" ht="19.5" hidden="1" thickBot="1" x14ac:dyDescent="0.3">
      <c r="A6700" s="91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4"/>
    </row>
    <row r="6701" spans="1:16" ht="19.5" hidden="1" thickBot="1" x14ac:dyDescent="0.3">
      <c r="A6701" s="92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758" t="s">
        <v>1638</v>
      </c>
    </row>
    <row r="6702" spans="1:16" ht="19.5" hidden="1" thickBot="1" x14ac:dyDescent="0.3">
      <c r="A6702" s="91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90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8" t="s">
        <v>1666</v>
      </c>
    </row>
    <row r="6704" spans="1:16" ht="19.5" hidden="1" thickBot="1" x14ac:dyDescent="0.3">
      <c r="A6704" s="90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8" t="s">
        <v>1667</v>
      </c>
    </row>
    <row r="6705" spans="1:16" ht="19.5" hidden="1" thickBot="1" x14ac:dyDescent="0.3">
      <c r="A6705" s="90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8" t="s">
        <v>1668</v>
      </c>
    </row>
    <row r="6706" spans="1:16" ht="19.5" hidden="1" thickBot="1" x14ac:dyDescent="0.3">
      <c r="A6706" s="90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8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8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8" t="s">
        <v>1659</v>
      </c>
    </row>
    <row r="6709" spans="1:16" ht="19.5" hidden="1" thickBot="1" x14ac:dyDescent="0.3">
      <c r="A6709" s="90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8" t="s">
        <v>1673</v>
      </c>
      <c r="P6709" s="847" t="s">
        <v>1675</v>
      </c>
    </row>
    <row r="6710" spans="1:16" ht="19.5" hidden="1" thickBot="1" x14ac:dyDescent="0.3">
      <c r="A6710" s="90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8" t="s">
        <v>1671</v>
      </c>
    </row>
    <row r="6711" spans="1:16" ht="19.5" hidden="1" thickBot="1" x14ac:dyDescent="0.3">
      <c r="A6711" s="90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8" t="s">
        <v>1672</v>
      </c>
    </row>
    <row r="6712" spans="1:16" ht="19.5" hidden="1" thickBot="1" x14ac:dyDescent="0.3">
      <c r="A6712" s="902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868" t="s">
        <v>1674</v>
      </c>
    </row>
    <row r="6713" spans="1:16" ht="19.5" hidden="1" thickBot="1" x14ac:dyDescent="0.3">
      <c r="A6713" s="90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8" t="s">
        <v>1698</v>
      </c>
    </row>
    <row r="6714" spans="1:16" ht="19.5" hidden="1" thickBot="1" x14ac:dyDescent="0.3">
      <c r="A6714" s="90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8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8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8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8" t="s">
        <v>1664</v>
      </c>
      <c r="P6717" s="847" t="s">
        <v>1665</v>
      </c>
    </row>
    <row r="6718" spans="1:16" ht="19.5" hidden="1" thickBot="1" x14ac:dyDescent="0.3">
      <c r="A6718" s="90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5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8" t="s">
        <v>1690</v>
      </c>
    </row>
    <row r="6719" spans="1:16" ht="19.5" hidden="1" thickBot="1" x14ac:dyDescent="0.3">
      <c r="A6719" s="90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6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8" t="s">
        <v>1689</v>
      </c>
    </row>
    <row r="6720" spans="1:16" ht="19.5" hidden="1" thickBot="1" x14ac:dyDescent="0.3">
      <c r="A6720" s="90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8" t="s">
        <v>1691</v>
      </c>
    </row>
    <row r="6721" spans="1:17" ht="19.5" hidden="1" thickBot="1" x14ac:dyDescent="0.3">
      <c r="A6721" s="90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2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8" t="s">
        <v>1682</v>
      </c>
    </row>
    <row r="6722" spans="1:17" ht="19.5" hidden="1" thickBot="1" x14ac:dyDescent="0.3">
      <c r="A6722" s="902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22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868" t="s">
        <v>1683</v>
      </c>
    </row>
    <row r="6723" spans="1:17" ht="19.5" hidden="1" thickBot="1" x14ac:dyDescent="0.3">
      <c r="A6723" s="90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20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8" t="s">
        <v>1669</v>
      </c>
    </row>
    <row r="6724" spans="1:17" ht="19.5" hidden="1" thickBot="1" x14ac:dyDescent="0.3">
      <c r="A6724" s="905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2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868" t="s">
        <v>1670</v>
      </c>
      <c r="Q6724" s="835"/>
    </row>
    <row r="6725" spans="1:17" ht="19.5" hidden="1" thickBot="1" x14ac:dyDescent="0.3">
      <c r="A6725" s="91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8" t="s">
        <v>1685</v>
      </c>
      <c r="P6725" s="834"/>
    </row>
    <row r="6726" spans="1:17" ht="19.5" hidden="1" thickBot="1" x14ac:dyDescent="0.3">
      <c r="A6726" s="91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8" t="s">
        <v>1686</v>
      </c>
      <c r="P6726" s="834"/>
    </row>
    <row r="6727" spans="1:17" ht="19.5" hidden="1" thickBot="1" x14ac:dyDescent="0.3">
      <c r="A6727" s="90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8" t="s">
        <v>1687</v>
      </c>
    </row>
    <row r="6728" spans="1:17" ht="19.5" hidden="1" thickBot="1" x14ac:dyDescent="0.3">
      <c r="A6728" s="909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8" t="s">
        <v>1688</v>
      </c>
    </row>
    <row r="6729" spans="1:17" ht="19.5" hidden="1" thickBot="1" x14ac:dyDescent="0.3">
      <c r="A6729" s="90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8" t="s">
        <v>1696</v>
      </c>
    </row>
    <row r="6730" spans="1:17" ht="19.5" hidden="1" thickBot="1" x14ac:dyDescent="0.3">
      <c r="A6730" s="902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8" t="s">
        <v>1697</v>
      </c>
      <c r="P6730" s="834"/>
    </row>
    <row r="6731" spans="1:17" ht="19.5" hidden="1" thickBot="1" x14ac:dyDescent="0.3">
      <c r="A6731" s="90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8" t="s">
        <v>1694</v>
      </c>
    </row>
    <row r="6732" spans="1:17" ht="19.5" hidden="1" thickBot="1" x14ac:dyDescent="0.3">
      <c r="A6732" s="90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8" t="s">
        <v>1695</v>
      </c>
      <c r="P6732" s="834"/>
    </row>
    <row r="6733" spans="1:17" ht="19.5" hidden="1" thickBot="1" x14ac:dyDescent="0.3">
      <c r="A6733" s="91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0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8" t="s">
        <v>1692</v>
      </c>
      <c r="P6733" s="834"/>
    </row>
    <row r="6734" spans="1:17" ht="19.5" hidden="1" thickBot="1" x14ac:dyDescent="0.3">
      <c r="A6734" s="978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8" t="s">
        <v>1693</v>
      </c>
      <c r="P6734" s="834"/>
    </row>
    <row r="6735" spans="1:17" ht="19.5" hidden="1" thickBot="1" x14ac:dyDescent="0.3">
      <c r="A6735" s="90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8" t="s">
        <v>1709</v>
      </c>
      <c r="P6735" s="834"/>
    </row>
    <row r="6736" spans="1:17" ht="19.5" hidden="1" thickBot="1" x14ac:dyDescent="0.3">
      <c r="A6736" s="90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8" t="s">
        <v>1710</v>
      </c>
      <c r="P6736" s="834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8" t="s">
        <v>1706</v>
      </c>
      <c r="P6737" s="834"/>
    </row>
    <row r="6738" spans="1:16" ht="19.5" hidden="1" thickBot="1" x14ac:dyDescent="0.3">
      <c r="A6738" s="90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8" t="s">
        <v>1707</v>
      </c>
      <c r="P6738" s="834"/>
    </row>
    <row r="6739" spans="1:16" ht="19.5" hidden="1" thickBot="1" x14ac:dyDescent="0.3">
      <c r="A6739" s="90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8" t="s">
        <v>1708</v>
      </c>
      <c r="P6739" s="834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8" t="s">
        <v>1716</v>
      </c>
    </row>
    <row r="6741" spans="1:16" ht="19.5" hidden="1" thickBot="1" x14ac:dyDescent="0.3">
      <c r="A6741" s="90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8" t="s">
        <v>1728</v>
      </c>
      <c r="P6741" s="847" t="s">
        <v>1731</v>
      </c>
    </row>
    <row r="6742" spans="1:16" ht="19.5" hidden="1" thickBot="1" x14ac:dyDescent="0.3">
      <c r="A6742" s="90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2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868" t="s">
        <v>1730</v>
      </c>
    </row>
    <row r="6743" spans="1:16" ht="19.5" hidden="1" thickBot="1" x14ac:dyDescent="0.3">
      <c r="A6743" s="905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2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868" t="s">
        <v>1729</v>
      </c>
    </row>
    <row r="6744" spans="1:16" ht="19.5" hidden="1" thickBot="1" x14ac:dyDescent="0.3">
      <c r="A6744" s="90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8" t="s">
        <v>1712</v>
      </c>
      <c r="P6744" s="847" t="s">
        <v>1715</v>
      </c>
    </row>
    <row r="6745" spans="1:16" ht="19.5" hidden="1" thickBot="1" x14ac:dyDescent="0.3">
      <c r="A6745" s="908"/>
      <c r="B6745" s="853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1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868" t="s">
        <v>1714</v>
      </c>
    </row>
    <row r="6746" spans="1:16" ht="19.5" hidden="1" thickBot="1" x14ac:dyDescent="0.3">
      <c r="A6746" s="902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8" t="s">
        <v>1713</v>
      </c>
      <c r="P6746" s="847" t="s">
        <v>1720</v>
      </c>
    </row>
    <row r="6747" spans="1:16" ht="19.5" hidden="1" thickBot="1" x14ac:dyDescent="0.3">
      <c r="A6747" s="90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8" t="s">
        <v>1717</v>
      </c>
    </row>
    <row r="6748" spans="1:16" ht="19.5" hidden="1" thickBot="1" x14ac:dyDescent="0.3">
      <c r="A6748" s="90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2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868" t="s">
        <v>1719</v>
      </c>
    </row>
    <row r="6749" spans="1:16" ht="19.5" hidden="1" thickBot="1" x14ac:dyDescent="0.3">
      <c r="A6749" s="909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8" t="s">
        <v>1718</v>
      </c>
    </row>
    <row r="6750" spans="1:16" ht="19.5" hidden="1" thickBot="1" x14ac:dyDescent="0.3">
      <c r="A6750" s="90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8" t="s">
        <v>1747</v>
      </c>
    </row>
    <row r="6751" spans="1:16" ht="19.5" hidden="1" thickBot="1" x14ac:dyDescent="0.3">
      <c r="A6751" s="90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8" t="s">
        <v>1748</v>
      </c>
    </row>
    <row r="6752" spans="1:16" ht="19.5" hidden="1" thickBot="1" x14ac:dyDescent="0.3">
      <c r="A6752" s="902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8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8" t="s">
        <v>1711</v>
      </c>
    </row>
    <row r="6754" spans="1:15" ht="19.5" hidden="1" thickBot="1" x14ac:dyDescent="0.3">
      <c r="A6754" s="90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8" t="s">
        <v>1736</v>
      </c>
    </row>
    <row r="6755" spans="1:15" ht="19.5" hidden="1" thickBot="1" x14ac:dyDescent="0.3">
      <c r="A6755" s="902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1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868" t="s">
        <v>1737</v>
      </c>
    </row>
    <row r="6756" spans="1:15" ht="19.5" hidden="1" thickBot="1" x14ac:dyDescent="0.3">
      <c r="A6756" s="90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8" t="s">
        <v>1738</v>
      </c>
    </row>
    <row r="6757" spans="1:15" ht="19.5" hidden="1" thickBot="1" x14ac:dyDescent="0.3">
      <c r="A6757" s="904"/>
      <c r="B6757" s="865" t="s">
        <v>1703</v>
      </c>
      <c r="C6757" s="862" t="s">
        <v>26</v>
      </c>
      <c r="D6757" s="863">
        <v>0.3</v>
      </c>
      <c r="E6757" s="863">
        <v>0.29899999999999999</v>
      </c>
      <c r="F6757" s="861" t="s">
        <v>16</v>
      </c>
      <c r="G6757" s="864"/>
      <c r="H6757" s="861" t="s">
        <v>1703</v>
      </c>
      <c r="I6757" s="861" t="s">
        <v>1703</v>
      </c>
      <c r="J6757" s="866"/>
      <c r="K6757" s="861" t="str">
        <f t="shared" si="203"/>
        <v>07,26</v>
      </c>
      <c r="L6757" s="861" t="s">
        <v>265</v>
      </c>
      <c r="M6757" s="861">
        <v>300</v>
      </c>
      <c r="N6757" s="770">
        <v>0.41666666666666669</v>
      </c>
      <c r="O6757" s="868" t="s">
        <v>1740</v>
      </c>
    </row>
    <row r="6758" spans="1:15" ht="19.5" hidden="1" thickBot="1" x14ac:dyDescent="0.3">
      <c r="A6758" s="905"/>
      <c r="B6758" s="854" t="s">
        <v>1701</v>
      </c>
      <c r="C6758" s="855" t="s">
        <v>26</v>
      </c>
      <c r="D6758" s="856">
        <v>4</v>
      </c>
      <c r="E6758" s="856">
        <v>4.0330000000000004</v>
      </c>
      <c r="F6758" s="857" t="s">
        <v>16</v>
      </c>
      <c r="G6758" s="858" t="s">
        <v>76</v>
      </c>
      <c r="H6758" s="857" t="s">
        <v>1703</v>
      </c>
      <c r="I6758" s="857" t="s">
        <v>1703</v>
      </c>
      <c r="J6758" s="859"/>
      <c r="K6758" s="857" t="str">
        <f t="shared" si="203"/>
        <v>07,26</v>
      </c>
      <c r="L6758" s="857" t="s">
        <v>265</v>
      </c>
      <c r="M6758" s="857">
        <v>4020</v>
      </c>
      <c r="N6758" s="653">
        <v>0.41666666666666669</v>
      </c>
      <c r="O6758" s="868" t="s">
        <v>1739</v>
      </c>
    </row>
    <row r="6759" spans="1:15" ht="19.5" hidden="1" thickBot="1" x14ac:dyDescent="0.3">
      <c r="A6759" s="91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8" t="s">
        <v>1732</v>
      </c>
    </row>
    <row r="6760" spans="1:15" ht="19.5" hidden="1" thickBot="1" x14ac:dyDescent="0.3">
      <c r="A6760" s="92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868" t="s">
        <v>1733</v>
      </c>
    </row>
    <row r="6761" spans="1:15" ht="19.5" hidden="1" thickBot="1" x14ac:dyDescent="0.3">
      <c r="A6761" s="92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868" t="s">
        <v>1734</v>
      </c>
    </row>
    <row r="6762" spans="1:15" ht="19.5" hidden="1" thickBot="1" x14ac:dyDescent="0.3">
      <c r="A6762" s="91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868" t="s">
        <v>1735</v>
      </c>
    </row>
    <row r="6763" spans="1:15" ht="19.5" hidden="1" thickBot="1" x14ac:dyDescent="0.3">
      <c r="A6763" s="903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8" t="s">
        <v>1725</v>
      </c>
    </row>
    <row r="6764" spans="1:15" ht="19.5" hidden="1" thickBot="1" x14ac:dyDescent="0.3">
      <c r="A6764" s="90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8" t="s">
        <v>1726</v>
      </c>
    </row>
    <row r="6765" spans="1:15" ht="19.5" hidden="1" thickBot="1" x14ac:dyDescent="0.3">
      <c r="A6765" s="90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8" t="s">
        <v>1727</v>
      </c>
    </row>
    <row r="6766" spans="1:15" ht="19.5" hidden="1" thickBot="1" x14ac:dyDescent="0.3">
      <c r="A6766" s="90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8" t="s">
        <v>1741</v>
      </c>
    </row>
    <row r="6767" spans="1:15" ht="19.5" hidden="1" thickBot="1" x14ac:dyDescent="0.3">
      <c r="A6767" s="90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1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868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9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8" t="s">
        <v>1749</v>
      </c>
    </row>
    <row r="6769" spans="1:15" ht="19.5" hidden="1" thickBot="1" x14ac:dyDescent="0.3">
      <c r="A6769" s="90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8" t="s">
        <v>1753</v>
      </c>
    </row>
    <row r="6770" spans="1:15" ht="19.5" hidden="1" thickBot="1" x14ac:dyDescent="0.3">
      <c r="A6770" s="902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8" t="s">
        <v>1752</v>
      </c>
    </row>
    <row r="6771" spans="1:15" ht="19.5" hidden="1" thickBot="1" x14ac:dyDescent="0.3">
      <c r="A6771" s="903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868" t="s">
        <v>1743</v>
      </c>
    </row>
    <row r="6772" spans="1:15" ht="19.5" hidden="1" thickBot="1" x14ac:dyDescent="0.3">
      <c r="A6772" s="904"/>
      <c r="B6772" s="867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868" t="s">
        <v>1745</v>
      </c>
    </row>
    <row r="6773" spans="1:15" ht="19.5" hidden="1" thickBot="1" x14ac:dyDescent="0.3">
      <c r="A6773" s="90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868" t="s">
        <v>1744</v>
      </c>
    </row>
    <row r="6774" spans="1:15" ht="19.5" hidden="1" thickBot="1" x14ac:dyDescent="0.3">
      <c r="A6774" s="905"/>
      <c r="B6774" s="854" t="s">
        <v>1703</v>
      </c>
      <c r="C6774" s="855" t="s">
        <v>26</v>
      </c>
      <c r="D6774" s="856">
        <v>2.9</v>
      </c>
      <c r="E6774" s="856">
        <v>2.9129999999999998</v>
      </c>
      <c r="F6774" s="857" t="s">
        <v>16</v>
      </c>
      <c r="G6774" s="858" t="s">
        <v>76</v>
      </c>
      <c r="H6774" s="857" t="s">
        <v>1704</v>
      </c>
      <c r="I6774" s="857" t="s">
        <v>1704</v>
      </c>
      <c r="J6774" s="859"/>
      <c r="K6774" s="857" t="str">
        <f t="shared" si="203"/>
        <v>07,26</v>
      </c>
      <c r="L6774" s="857" t="s">
        <v>265</v>
      </c>
      <c r="M6774" s="857">
        <v>2910</v>
      </c>
      <c r="N6774" s="653">
        <v>0.375</v>
      </c>
      <c r="O6774" s="868" t="s">
        <v>1746</v>
      </c>
    </row>
    <row r="6775" spans="1:15" ht="19.5" hidden="1" thickBot="1" x14ac:dyDescent="0.3">
      <c r="A6775" s="91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868" t="s">
        <v>1754</v>
      </c>
    </row>
    <row r="6776" spans="1:15" ht="19.5" hidden="1" thickBot="1" x14ac:dyDescent="0.3">
      <c r="A6776" s="92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868" t="s">
        <v>1755</v>
      </c>
    </row>
    <row r="6777" spans="1:15" ht="19.5" hidden="1" thickBot="1" x14ac:dyDescent="0.3">
      <c r="A6777" s="92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868" t="s">
        <v>1756</v>
      </c>
    </row>
    <row r="6778" spans="1:15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868" t="s">
        <v>1757</v>
      </c>
    </row>
    <row r="6779" spans="1:15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868" t="s">
        <v>1751</v>
      </c>
    </row>
    <row r="6780" spans="1:15" ht="19.5" hidden="1" thickBot="1" x14ac:dyDescent="0.3">
      <c r="A6780" s="903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868" t="s">
        <v>1760</v>
      </c>
    </row>
    <row r="6781" spans="1:15" ht="19.5" hidden="1" thickBot="1" x14ac:dyDescent="0.3">
      <c r="A6781" s="90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868" t="s">
        <v>1761</v>
      </c>
    </row>
    <row r="6782" spans="1:15" ht="19.5" hidden="1" thickBot="1" x14ac:dyDescent="0.3">
      <c r="A6782" s="91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868" t="s">
        <v>1762</v>
      </c>
    </row>
    <row r="6783" spans="1:15" ht="19.5" hidden="1" thickBot="1" x14ac:dyDescent="0.3">
      <c r="A6783" s="92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868" t="s">
        <v>1763</v>
      </c>
    </row>
    <row r="6784" spans="1:15" ht="19.5" hidden="1" thickBot="1" x14ac:dyDescent="0.3">
      <c r="A6784" s="924"/>
      <c r="B6784" s="853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1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868" t="s">
        <v>1764</v>
      </c>
    </row>
    <row r="6785" spans="1:15" ht="18.75" hidden="1" customHeight="1" x14ac:dyDescent="0.25">
      <c r="A6785" s="903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20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868" t="s">
        <v>1767</v>
      </c>
    </row>
    <row r="6786" spans="1:15" ht="19.5" hidden="1" thickBot="1" x14ac:dyDescent="0.3">
      <c r="A6786" s="90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868" t="s">
        <v>1768</v>
      </c>
    </row>
    <row r="6787" spans="1:15" ht="49.5" hidden="1" customHeight="1" x14ac:dyDescent="0.25">
      <c r="A6787" s="90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1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868" t="s">
        <v>1780</v>
      </c>
    </row>
    <row r="6788" spans="1:15" ht="49.5" hidden="1" customHeight="1" thickBot="1" x14ac:dyDescent="0.3">
      <c r="A6788" s="90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1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868" t="s">
        <v>1781</v>
      </c>
    </row>
    <row r="6789" spans="1:15" ht="19.5" hidden="1" thickBot="1" x14ac:dyDescent="0.3">
      <c r="A6789" s="90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868" t="s">
        <v>1765</v>
      </c>
    </row>
    <row r="6790" spans="1:15" ht="19.5" hidden="1" thickBot="1" x14ac:dyDescent="0.3">
      <c r="A6790" s="909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868" t="s">
        <v>1766</v>
      </c>
    </row>
    <row r="6791" spans="1:15" x14ac:dyDescent="0.25">
      <c r="A6791" s="90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1"/>
      <c r="L6791" s="535" t="s">
        <v>265</v>
      </c>
      <c r="M6791" s="535">
        <v>17478.29</v>
      </c>
      <c r="N6791" s="539">
        <v>0.375</v>
      </c>
      <c r="O6791" s="868" t="s">
        <v>1772</v>
      </c>
    </row>
    <row r="6792" spans="1:15" x14ac:dyDescent="0.25">
      <c r="A6792" s="90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50"/>
      <c r="L6792" s="816" t="s">
        <v>265</v>
      </c>
      <c r="M6792" s="816">
        <v>150</v>
      </c>
      <c r="N6792" s="811">
        <v>0.375</v>
      </c>
      <c r="O6792" s="868" t="s">
        <v>1024</v>
      </c>
    </row>
    <row r="6793" spans="1:15" ht="19.5" thickBot="1" x14ac:dyDescent="0.3">
      <c r="A6793" s="90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1"/>
      <c r="H6793" s="839" t="s">
        <v>1723</v>
      </c>
      <c r="I6793" s="839" t="s">
        <v>1723</v>
      </c>
      <c r="J6793" s="840"/>
      <c r="K6793" s="836"/>
      <c r="L6793" s="839" t="s">
        <v>265</v>
      </c>
      <c r="M6793" s="839">
        <v>1110</v>
      </c>
      <c r="N6793" s="804">
        <v>0.375</v>
      </c>
      <c r="O6793" s="868" t="s">
        <v>1773</v>
      </c>
    </row>
    <row r="6794" spans="1:15" ht="38.25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4"/>
      <c r="L6794" s="518" t="s">
        <v>28</v>
      </c>
      <c r="M6794" s="518">
        <v>14641.119999999999</v>
      </c>
      <c r="N6794" s="522">
        <v>0.41666666666666669</v>
      </c>
      <c r="O6794" s="868" t="s">
        <v>1782</v>
      </c>
    </row>
    <row r="6795" spans="1:15" ht="19.5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4"/>
      <c r="L6795" s="508" t="s">
        <v>28</v>
      </c>
      <c r="M6795" s="508">
        <v>17585.059999999998</v>
      </c>
      <c r="N6795" s="512">
        <v>0.45833333333333331</v>
      </c>
      <c r="O6795" s="868" t="s">
        <v>1771</v>
      </c>
    </row>
    <row r="6796" spans="1:15" ht="19.5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3"/>
      <c r="L6796" s="577" t="s">
        <v>266</v>
      </c>
      <c r="M6796" s="577">
        <v>18026.280000000002</v>
      </c>
      <c r="N6796" s="581">
        <v>0.5</v>
      </c>
      <c r="O6796" s="868" t="s">
        <v>1788</v>
      </c>
    </row>
    <row r="6797" spans="1:15" x14ac:dyDescent="0.25">
      <c r="A6797" s="91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1"/>
      <c r="L6797" s="535" t="s">
        <v>265</v>
      </c>
      <c r="M6797" s="535">
        <v>17476.72</v>
      </c>
      <c r="N6797" s="539">
        <v>0.58333333333333337</v>
      </c>
      <c r="O6797" s="868" t="s">
        <v>1776</v>
      </c>
    </row>
    <row r="6798" spans="1:15" x14ac:dyDescent="0.25">
      <c r="A6798" s="92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50"/>
      <c r="L6798" s="816" t="s">
        <v>265</v>
      </c>
      <c r="M6798" s="816">
        <v>1620</v>
      </c>
      <c r="N6798" s="811">
        <v>0.58333333333333337</v>
      </c>
      <c r="O6798" s="868" t="s">
        <v>1778</v>
      </c>
    </row>
    <row r="6799" spans="1:15" x14ac:dyDescent="0.25">
      <c r="A6799" s="92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50"/>
      <c r="L6799" s="816" t="s">
        <v>265</v>
      </c>
      <c r="M6799" s="816">
        <v>210</v>
      </c>
      <c r="N6799" s="811">
        <v>0.58333333333333337</v>
      </c>
      <c r="O6799" s="868" t="s">
        <v>1779</v>
      </c>
    </row>
    <row r="6800" spans="1:15" ht="19.5" thickBot="1" x14ac:dyDescent="0.3">
      <c r="A6800" s="92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32"/>
      <c r="L6800" s="829" t="s">
        <v>265</v>
      </c>
      <c r="M6800" s="829">
        <v>1205.2</v>
      </c>
      <c r="N6800" s="644">
        <v>0.58333333333333337</v>
      </c>
      <c r="O6800" s="868" t="s">
        <v>1777</v>
      </c>
    </row>
    <row r="6801" spans="1:16" x14ac:dyDescent="0.25">
      <c r="A6801" s="90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79"/>
      <c r="L6801" s="483" t="s">
        <v>266</v>
      </c>
      <c r="M6801" s="483">
        <v>2601.0499999999997</v>
      </c>
      <c r="N6801" s="486">
        <v>0.5</v>
      </c>
      <c r="O6801" s="868" t="s">
        <v>1790</v>
      </c>
    </row>
    <row r="6802" spans="1:16" ht="19.5" thickBot="1" x14ac:dyDescent="0.3">
      <c r="A6802" s="90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5"/>
      <c r="L6802" s="499" t="s">
        <v>266</v>
      </c>
      <c r="M6802" s="499">
        <v>11756.989999999996</v>
      </c>
      <c r="N6802" s="502">
        <v>0.5</v>
      </c>
      <c r="O6802" s="868" t="s">
        <v>1789</v>
      </c>
    </row>
    <row r="6803" spans="1:16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6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14"/>
      <c r="L6804" s="518" t="s">
        <v>266</v>
      </c>
      <c r="M6804" s="518">
        <v>18171.45</v>
      </c>
      <c r="N6804" s="522">
        <v>0.45833333333333331</v>
      </c>
      <c r="O6804" s="868" t="s">
        <v>1791</v>
      </c>
    </row>
    <row r="6805" spans="1:16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  <c r="O6805" s="868" t="s">
        <v>1793</v>
      </c>
      <c r="P6805" s="847" t="s">
        <v>1793</v>
      </c>
    </row>
    <row r="6806" spans="1:16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/>
      <c r="F6806" s="518" t="s">
        <v>16</v>
      </c>
      <c r="G6806" s="519"/>
      <c r="H6806" s="518" t="s">
        <v>1769</v>
      </c>
      <c r="I6806" s="520"/>
      <c r="J6806" s="521"/>
      <c r="K6806" s="514"/>
      <c r="L6806" s="518" t="s">
        <v>266</v>
      </c>
      <c r="M6806" s="518">
        <v>18182.159999999996</v>
      </c>
      <c r="N6806" s="522">
        <v>0.54166666666666663</v>
      </c>
    </row>
    <row r="6807" spans="1:16" ht="19.5" thickBot="1" x14ac:dyDescent="0.3">
      <c r="A6807" s="870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/>
      <c r="F6807" s="556" t="s">
        <v>16</v>
      </c>
      <c r="G6807" s="871"/>
      <c r="H6807" s="556" t="s">
        <v>1769</v>
      </c>
      <c r="I6807" s="558"/>
      <c r="J6807" s="559"/>
      <c r="K6807" s="552"/>
      <c r="L6807" s="556" t="s">
        <v>266</v>
      </c>
      <c r="M6807" s="556">
        <v>18167.34</v>
      </c>
      <c r="N6807" s="560">
        <v>0.58333333333333337</v>
      </c>
    </row>
    <row r="6808" spans="1:16" ht="56.25" x14ac:dyDescent="0.25">
      <c r="A6808" s="90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872" t="s">
        <v>794</v>
      </c>
      <c r="H6808" s="483" t="s">
        <v>1769</v>
      </c>
      <c r="I6808" s="484" t="s">
        <v>1769</v>
      </c>
      <c r="J6808" s="485"/>
      <c r="K6808" s="479"/>
      <c r="L6808" s="483" t="s">
        <v>28</v>
      </c>
      <c r="M6808" s="483">
        <v>1104.48</v>
      </c>
      <c r="N6808" s="486">
        <v>0.625</v>
      </c>
      <c r="O6808" s="868" t="s">
        <v>1784</v>
      </c>
    </row>
    <row r="6809" spans="1:16" x14ac:dyDescent="0.25">
      <c r="A6809" s="90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873" t="s">
        <v>47</v>
      </c>
      <c r="H6809" s="763" t="s">
        <v>1769</v>
      </c>
      <c r="I6809" s="768" t="s">
        <v>1769</v>
      </c>
      <c r="J6809" s="779"/>
      <c r="K6809" s="791"/>
      <c r="L6809" s="763" t="s">
        <v>28</v>
      </c>
      <c r="M6809" s="763">
        <v>8809.7200000000012</v>
      </c>
      <c r="N6809" s="770">
        <v>0.625</v>
      </c>
      <c r="O6809" s="868" t="s">
        <v>1785</v>
      </c>
    </row>
    <row r="6810" spans="1:16" x14ac:dyDescent="0.25">
      <c r="A6810" s="90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873"/>
      <c r="H6810" s="763" t="s">
        <v>1769</v>
      </c>
      <c r="I6810" s="768" t="s">
        <v>1769</v>
      </c>
      <c r="J6810" s="779"/>
      <c r="K6810" s="791"/>
      <c r="L6810" s="763" t="s">
        <v>28</v>
      </c>
      <c r="M6810" s="763">
        <v>8130.0599999999995</v>
      </c>
      <c r="N6810" s="770">
        <v>0.625</v>
      </c>
      <c r="O6810" s="868" t="s">
        <v>1786</v>
      </c>
    </row>
    <row r="6811" spans="1:16" ht="19.5" thickBot="1" x14ac:dyDescent="0.3">
      <c r="A6811" s="909"/>
      <c r="B6811" s="860" t="s">
        <v>1759</v>
      </c>
      <c r="C6811" s="806" t="s">
        <v>47</v>
      </c>
      <c r="D6811" s="856">
        <v>5.7</v>
      </c>
      <c r="E6811" s="856">
        <v>5.7220000000000004</v>
      </c>
      <c r="F6811" s="808" t="s">
        <v>16</v>
      </c>
      <c r="G6811" s="858" t="s">
        <v>76</v>
      </c>
      <c r="H6811" s="808" t="s">
        <v>1769</v>
      </c>
      <c r="I6811" s="857" t="s">
        <v>1769</v>
      </c>
      <c r="J6811" s="859"/>
      <c r="K6811" s="860"/>
      <c r="L6811" s="808" t="s">
        <v>28</v>
      </c>
      <c r="M6811" s="857">
        <v>5715</v>
      </c>
      <c r="N6811" s="778">
        <v>0.625</v>
      </c>
      <c r="O6811" s="868" t="s">
        <v>1787</v>
      </c>
    </row>
    <row r="6812" spans="1:16" x14ac:dyDescent="0.25">
      <c r="A6812" s="90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/>
      <c r="F6812" s="535" t="s">
        <v>16</v>
      </c>
      <c r="G6812" s="536"/>
      <c r="H6812" s="535" t="s">
        <v>1774</v>
      </c>
      <c r="I6812" s="537"/>
      <c r="J6812" s="538"/>
      <c r="K6812" s="531"/>
      <c r="L6812" s="535" t="s">
        <v>265</v>
      </c>
      <c r="M6812" s="535">
        <v>13866.84</v>
      </c>
      <c r="N6812" s="539">
        <v>0.375</v>
      </c>
    </row>
    <row r="6813" spans="1:16" x14ac:dyDescent="0.25">
      <c r="A6813" s="908"/>
      <c r="B6813" s="563" t="s">
        <v>1759</v>
      </c>
      <c r="C6813" s="564" t="s">
        <v>1358</v>
      </c>
      <c r="D6813" s="565">
        <v>2.4279999999999999</v>
      </c>
      <c r="E6813" s="566"/>
      <c r="F6813" s="567" t="s">
        <v>16</v>
      </c>
      <c r="G6813" s="568" t="s">
        <v>844</v>
      </c>
      <c r="H6813" s="567" t="s">
        <v>1774</v>
      </c>
      <c r="I6813" s="569"/>
      <c r="J6813" s="570"/>
      <c r="K6813" s="563"/>
      <c r="L6813" s="567" t="s">
        <v>265</v>
      </c>
      <c r="M6813" s="567">
        <v>2539.8399999999997</v>
      </c>
      <c r="N6813" s="571">
        <v>0.375</v>
      </c>
    </row>
    <row r="6814" spans="1:16" x14ac:dyDescent="0.25">
      <c r="A6814" s="908"/>
      <c r="B6814" s="849" t="s">
        <v>1759</v>
      </c>
      <c r="C6814" s="820" t="s">
        <v>1358</v>
      </c>
      <c r="D6814" s="821">
        <v>1.173</v>
      </c>
      <c r="E6814" s="822"/>
      <c r="F6814" s="819" t="s">
        <v>16</v>
      </c>
      <c r="G6814" s="823" t="s">
        <v>845</v>
      </c>
      <c r="H6814" s="819" t="s">
        <v>1774</v>
      </c>
      <c r="I6814" s="782"/>
      <c r="J6814" s="825"/>
      <c r="K6814" s="849"/>
      <c r="L6814" s="819" t="s">
        <v>265</v>
      </c>
      <c r="M6814" s="819">
        <v>1265.2599999999995</v>
      </c>
      <c r="N6814" s="811">
        <v>0.375</v>
      </c>
    </row>
    <row r="6815" spans="1:16" ht="19.5" thickBot="1" x14ac:dyDescent="0.3">
      <c r="A6815" s="902"/>
      <c r="B6815" s="883" t="s">
        <v>1769</v>
      </c>
      <c r="C6815" s="786" t="s">
        <v>26</v>
      </c>
      <c r="D6815" s="787">
        <v>1.8</v>
      </c>
      <c r="E6815" s="787"/>
      <c r="F6815" s="788" t="s">
        <v>16</v>
      </c>
      <c r="G6815" s="789"/>
      <c r="H6815" s="788" t="s">
        <v>1774</v>
      </c>
      <c r="I6815" s="788"/>
      <c r="J6815" s="790"/>
      <c r="K6815" s="883"/>
      <c r="L6815" s="788" t="s">
        <v>265</v>
      </c>
      <c r="M6815" s="788">
        <v>1815</v>
      </c>
      <c r="N6815" s="784">
        <v>0.375</v>
      </c>
    </row>
    <row r="6816" spans="1:16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/>
      <c r="F6816" s="518" t="s">
        <v>30</v>
      </c>
      <c r="G6816" s="519"/>
      <c r="H6816" s="518" t="s">
        <v>1774</v>
      </c>
      <c r="I6816" s="520"/>
      <c r="J6816" s="521"/>
      <c r="K6816" s="514"/>
      <c r="L6816" s="518" t="s">
        <v>28</v>
      </c>
      <c r="M6816" s="518">
        <v>11131.199999999999</v>
      </c>
      <c r="N6816" s="522">
        <v>0.41666666666666669</v>
      </c>
    </row>
    <row r="6817" spans="1:17" x14ac:dyDescent="0.25">
      <c r="A6817" s="90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/>
      <c r="F6817" s="535" t="s">
        <v>16</v>
      </c>
      <c r="G6817" s="536"/>
      <c r="H6817" s="535" t="s">
        <v>1774</v>
      </c>
      <c r="I6817" s="537"/>
      <c r="J6817" s="538"/>
      <c r="K6817" s="531"/>
      <c r="L6817" s="535" t="s">
        <v>266</v>
      </c>
      <c r="M6817" s="535">
        <v>10512.859999999997</v>
      </c>
      <c r="N6817" s="539">
        <v>0.41666666666666669</v>
      </c>
    </row>
    <row r="6818" spans="1:17" x14ac:dyDescent="0.25">
      <c r="A6818" s="908"/>
      <c r="B6818" s="849" t="s">
        <v>1759</v>
      </c>
      <c r="C6818" s="820" t="s">
        <v>32</v>
      </c>
      <c r="D6818" s="821">
        <v>1.7490000000000001</v>
      </c>
      <c r="E6818" s="822"/>
      <c r="F6818" s="819" t="s">
        <v>16</v>
      </c>
      <c r="G6818" s="823" t="s">
        <v>1702</v>
      </c>
      <c r="H6818" s="819" t="s">
        <v>1774</v>
      </c>
      <c r="I6818" s="782"/>
      <c r="J6818" s="825"/>
      <c r="K6818" s="849"/>
      <c r="L6818" s="819" t="s">
        <v>266</v>
      </c>
      <c r="M6818" s="819">
        <v>1752.3000000000002</v>
      </c>
      <c r="N6818" s="811">
        <v>0.41666666666666669</v>
      </c>
    </row>
    <row r="6819" spans="1:17" x14ac:dyDescent="0.25">
      <c r="A6819" s="908"/>
      <c r="B6819" s="848" t="s">
        <v>1774</v>
      </c>
      <c r="C6819" s="799" t="s">
        <v>41</v>
      </c>
      <c r="D6819" s="800">
        <v>1.98</v>
      </c>
      <c r="E6819" s="800"/>
      <c r="F6819" s="801" t="s">
        <v>16</v>
      </c>
      <c r="G6819" s="802" t="s">
        <v>76</v>
      </c>
      <c r="H6819" s="816" t="s">
        <v>1783</v>
      </c>
      <c r="I6819" s="801"/>
      <c r="J6819" s="803"/>
      <c r="K6819" s="848"/>
      <c r="L6819" s="816" t="s">
        <v>266</v>
      </c>
      <c r="M6819" s="801">
        <v>1981.2</v>
      </c>
      <c r="N6819" s="811">
        <v>0.41666666666666669</v>
      </c>
    </row>
    <row r="6820" spans="1:17" x14ac:dyDescent="0.25">
      <c r="A6820" s="908"/>
      <c r="B6820" s="848" t="s">
        <v>1774</v>
      </c>
      <c r="C6820" s="799" t="s">
        <v>32</v>
      </c>
      <c r="D6820" s="800">
        <v>6.32</v>
      </c>
      <c r="E6820" s="800"/>
      <c r="F6820" s="801" t="s">
        <v>16</v>
      </c>
      <c r="G6820" s="802" t="s">
        <v>1792</v>
      </c>
      <c r="H6820" s="816" t="s">
        <v>1783</v>
      </c>
      <c r="I6820" s="801"/>
      <c r="J6820" s="803"/>
      <c r="K6820" s="848"/>
      <c r="L6820" s="816" t="s">
        <v>266</v>
      </c>
      <c r="M6820" s="801">
        <v>6325.8</v>
      </c>
      <c r="N6820" s="811">
        <v>0.41666666666666669</v>
      </c>
    </row>
    <row r="6821" spans="1:17" ht="19.5" thickBot="1" x14ac:dyDescent="0.3">
      <c r="A6821" s="902"/>
      <c r="B6821" s="874" t="s">
        <v>1759</v>
      </c>
      <c r="C6821" s="875" t="s">
        <v>32</v>
      </c>
      <c r="D6821" s="876">
        <v>5.7</v>
      </c>
      <c r="E6821" s="877" t="s">
        <v>1496</v>
      </c>
      <c r="F6821" s="878" t="s">
        <v>16</v>
      </c>
      <c r="G6821" s="879" t="s">
        <v>1024</v>
      </c>
      <c r="H6821" s="878" t="s">
        <v>1774</v>
      </c>
      <c r="I6821" s="880" t="s">
        <v>1496</v>
      </c>
      <c r="J6821" s="881"/>
      <c r="K6821" s="874"/>
      <c r="L6821" s="878" t="s">
        <v>266</v>
      </c>
      <c r="M6821" s="878">
        <v>5701.8</v>
      </c>
      <c r="N6821" s="784">
        <v>0.41666666666666669</v>
      </c>
      <c r="O6821" s="868" t="s">
        <v>1024</v>
      </c>
    </row>
    <row r="6822" spans="1:17" x14ac:dyDescent="0.25">
      <c r="A6822" s="90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/>
      <c r="F6822" s="483" t="s">
        <v>16</v>
      </c>
      <c r="G6822" s="886" t="s">
        <v>1775</v>
      </c>
      <c r="H6822" s="483" t="s">
        <v>1770</v>
      </c>
      <c r="I6822" s="484"/>
      <c r="J6822" s="485"/>
      <c r="K6822" s="479"/>
      <c r="L6822" s="483" t="s">
        <v>28</v>
      </c>
      <c r="M6822" s="483">
        <v>5401.7999999999993</v>
      </c>
      <c r="N6822" s="486">
        <v>0.5</v>
      </c>
      <c r="O6822" s="900">
        <f t="shared" ref="O6822:O6830" si="205">M6822+P6822</f>
        <v>4195.7999999999993</v>
      </c>
      <c r="P6822" s="847">
        <v>-1206</v>
      </c>
    </row>
    <row r="6823" spans="1:17" x14ac:dyDescent="0.25">
      <c r="A6823" s="907"/>
      <c r="B6823" s="791" t="s">
        <v>1759</v>
      </c>
      <c r="C6823" s="764" t="s">
        <v>15</v>
      </c>
      <c r="D6823" s="765">
        <v>2.6219999999999999</v>
      </c>
      <c r="E6823" s="766"/>
      <c r="F6823" s="763" t="s">
        <v>16</v>
      </c>
      <c r="G6823" s="887"/>
      <c r="H6823" s="763" t="s">
        <v>1770</v>
      </c>
      <c r="I6823" s="768"/>
      <c r="J6823" s="779"/>
      <c r="K6823" s="791"/>
      <c r="L6823" s="763" t="s">
        <v>28</v>
      </c>
      <c r="M6823" s="763">
        <v>2720.36</v>
      </c>
      <c r="N6823" s="770">
        <v>0.5</v>
      </c>
      <c r="O6823" s="900">
        <f t="shared" si="205"/>
        <v>2690.36</v>
      </c>
      <c r="P6823" s="847">
        <v>-30</v>
      </c>
    </row>
    <row r="6824" spans="1:17" x14ac:dyDescent="0.25">
      <c r="A6824" s="907"/>
      <c r="B6824" s="791" t="s">
        <v>1723</v>
      </c>
      <c r="C6824" s="764" t="s">
        <v>24</v>
      </c>
      <c r="D6824" s="765">
        <v>5.4240000000000004</v>
      </c>
      <c r="E6824" s="766"/>
      <c r="F6824" s="763" t="s">
        <v>16</v>
      </c>
      <c r="G6824" s="887" t="s">
        <v>1775</v>
      </c>
      <c r="H6824" s="763" t="s">
        <v>1770</v>
      </c>
      <c r="I6824" s="768"/>
      <c r="J6824" s="779"/>
      <c r="K6824" s="791"/>
      <c r="L6824" s="763" t="s">
        <v>28</v>
      </c>
      <c r="M6824" s="763">
        <v>5454.6</v>
      </c>
      <c r="N6824" s="770">
        <v>0.54166666666666663</v>
      </c>
      <c r="O6824" s="900">
        <f t="shared" si="205"/>
        <v>4446.6000000000004</v>
      </c>
      <c r="P6824" s="847">
        <v>-1008</v>
      </c>
      <c r="Q6824" s="833" t="s">
        <v>1794</v>
      </c>
    </row>
    <row r="6825" spans="1:17" ht="19.5" thickBot="1" x14ac:dyDescent="0.3">
      <c r="A6825" s="909"/>
      <c r="B6825" s="891" t="s">
        <v>1759</v>
      </c>
      <c r="C6825" s="892" t="s">
        <v>24</v>
      </c>
      <c r="D6825" s="893">
        <v>4.1840000000000002</v>
      </c>
      <c r="E6825" s="894"/>
      <c r="F6825" s="895" t="s">
        <v>16</v>
      </c>
      <c r="G6825" s="896"/>
      <c r="H6825" s="895" t="s">
        <v>1770</v>
      </c>
      <c r="I6825" s="897"/>
      <c r="J6825" s="898"/>
      <c r="K6825" s="891"/>
      <c r="L6825" s="895" t="s">
        <v>28</v>
      </c>
      <c r="M6825" s="895">
        <v>4295.45</v>
      </c>
      <c r="N6825" s="846">
        <v>0.54166666666666663</v>
      </c>
      <c r="O6825" s="900">
        <f t="shared" si="205"/>
        <v>2775.45</v>
      </c>
      <c r="P6825" s="847">
        <v>-1520</v>
      </c>
    </row>
    <row r="6826" spans="1:17" ht="37.5" x14ac:dyDescent="0.25">
      <c r="A6826" s="918">
        <f>MAX(A6789:A6825)+1</f>
        <v>4267</v>
      </c>
      <c r="B6826" s="759" t="s">
        <v>1723</v>
      </c>
      <c r="C6826" s="532" t="s">
        <v>47</v>
      </c>
      <c r="D6826" s="533">
        <v>15.48</v>
      </c>
      <c r="E6826" s="534"/>
      <c r="F6826" s="535" t="s">
        <v>16</v>
      </c>
      <c r="G6826" s="536" t="s">
        <v>1797</v>
      </c>
      <c r="H6826" s="535" t="s">
        <v>1770</v>
      </c>
      <c r="I6826" s="537"/>
      <c r="J6826" s="538"/>
      <c r="K6826" s="531"/>
      <c r="L6826" s="535" t="s">
        <v>28</v>
      </c>
      <c r="M6826" s="535">
        <v>15500.699999999999</v>
      </c>
      <c r="N6826" s="539">
        <v>0.58333333333333337</v>
      </c>
      <c r="O6826" s="890">
        <f t="shared" si="205"/>
        <v>11900.699999999999</v>
      </c>
      <c r="P6826" s="847">
        <v>-3600</v>
      </c>
      <c r="Q6826" s="833" t="s">
        <v>1795</v>
      </c>
    </row>
    <row r="6827" spans="1:17" x14ac:dyDescent="0.25">
      <c r="A6827" s="924"/>
      <c r="B6827" s="824" t="s">
        <v>1723</v>
      </c>
      <c r="C6827" s="820" t="s">
        <v>23</v>
      </c>
      <c r="D6827" s="821">
        <v>12.407999999999999</v>
      </c>
      <c r="E6827" s="822"/>
      <c r="F6827" s="819" t="s">
        <v>16</v>
      </c>
      <c r="G6827" s="823" t="s">
        <v>1775</v>
      </c>
      <c r="H6827" s="819" t="s">
        <v>1770</v>
      </c>
      <c r="I6827" s="782"/>
      <c r="J6827" s="825"/>
      <c r="K6827" s="849"/>
      <c r="L6827" s="819" t="s">
        <v>28</v>
      </c>
      <c r="M6827" s="819">
        <v>12426.6</v>
      </c>
      <c r="N6827" s="811">
        <v>0.45833333333333331</v>
      </c>
      <c r="O6827" s="890">
        <f>M6827+P6827</f>
        <v>6423.6</v>
      </c>
      <c r="P6827" s="847">
        <v>-6003</v>
      </c>
    </row>
    <row r="6828" spans="1:17" ht="38.25" thickBot="1" x14ac:dyDescent="0.3">
      <c r="A6828" s="919"/>
      <c r="B6828" s="899" t="s">
        <v>1759</v>
      </c>
      <c r="C6828" s="875" t="s">
        <v>47</v>
      </c>
      <c r="D6828" s="876">
        <v>2.2669999999999999</v>
      </c>
      <c r="E6828" s="877"/>
      <c r="F6828" s="878" t="s">
        <v>16</v>
      </c>
      <c r="G6828" s="789" t="s">
        <v>1796</v>
      </c>
      <c r="H6828" s="878" t="s">
        <v>1770</v>
      </c>
      <c r="I6828" s="880"/>
      <c r="J6828" s="881"/>
      <c r="K6828" s="874"/>
      <c r="L6828" s="878" t="s">
        <v>28</v>
      </c>
      <c r="M6828" s="878">
        <v>2371.2200000000003</v>
      </c>
      <c r="N6828" s="784">
        <v>0.58333333333333337</v>
      </c>
      <c r="O6828" s="890">
        <f>M6828</f>
        <v>2371.2200000000003</v>
      </c>
      <c r="P6828" s="847" t="s">
        <v>1793</v>
      </c>
    </row>
    <row r="6829" spans="1:17" ht="19.5" thickBot="1" x14ac:dyDescent="0.3">
      <c r="A6829" s="513">
        <f>MAX(A6790:A6828)+1</f>
        <v>4268</v>
      </c>
      <c r="B6829" s="645" t="s">
        <v>1759</v>
      </c>
      <c r="C6829" s="646" t="s">
        <v>26</v>
      </c>
      <c r="D6829" s="647">
        <v>17.286999999999999</v>
      </c>
      <c r="E6829" s="648"/>
      <c r="F6829" s="649" t="s">
        <v>16</v>
      </c>
      <c r="G6829" s="650"/>
      <c r="H6829" s="649" t="s">
        <v>1770</v>
      </c>
      <c r="I6829" s="651"/>
      <c r="J6829" s="652"/>
      <c r="K6829" s="645"/>
      <c r="L6829" s="649" t="s">
        <v>265</v>
      </c>
      <c r="M6829" s="649">
        <v>17441.560000000001</v>
      </c>
      <c r="N6829" s="653">
        <v>0.375</v>
      </c>
      <c r="O6829" s="888"/>
    </row>
    <row r="6830" spans="1:17" x14ac:dyDescent="0.25">
      <c r="A6830" s="901">
        <f>MAX(A6791:A6829)+1</f>
        <v>4269</v>
      </c>
      <c r="B6830" s="552" t="s">
        <v>1759</v>
      </c>
      <c r="C6830" s="553" t="s">
        <v>23</v>
      </c>
      <c r="D6830" s="554">
        <v>17.472000000000001</v>
      </c>
      <c r="E6830" s="555"/>
      <c r="F6830" s="556" t="s">
        <v>16</v>
      </c>
      <c r="G6830" s="884"/>
      <c r="H6830" s="556" t="s">
        <v>1770</v>
      </c>
      <c r="I6830" s="558"/>
      <c r="J6830" s="559"/>
      <c r="K6830" s="552"/>
      <c r="L6830" s="556" t="s">
        <v>28</v>
      </c>
      <c r="M6830" s="556">
        <v>17649.77</v>
      </c>
      <c r="N6830" s="560">
        <v>0.625</v>
      </c>
      <c r="O6830" s="889">
        <f t="shared" si="205"/>
        <v>16443.77</v>
      </c>
      <c r="P6830" s="847">
        <v>-1206</v>
      </c>
    </row>
    <row r="6831" spans="1:17" ht="19.5" thickBot="1" x14ac:dyDescent="0.3">
      <c r="A6831" s="902"/>
      <c r="B6831" s="849" t="s">
        <v>1723</v>
      </c>
      <c r="C6831" s="820" t="s">
        <v>1382</v>
      </c>
      <c r="D6831" s="821">
        <v>1.4139999999999999</v>
      </c>
      <c r="E6831" s="822"/>
      <c r="F6831" s="819" t="s">
        <v>16</v>
      </c>
      <c r="G6831" s="823"/>
      <c r="H6831" s="819" t="s">
        <v>1770</v>
      </c>
      <c r="I6831" s="782"/>
      <c r="J6831" s="825"/>
      <c r="K6831" s="849"/>
      <c r="L6831" s="819" t="s">
        <v>28</v>
      </c>
      <c r="M6831" s="819">
        <v>1472.01</v>
      </c>
      <c r="N6831" s="811">
        <v>0.45833333333333331</v>
      </c>
      <c r="O6831" s="889">
        <f>M6831+P6831</f>
        <v>1244.01</v>
      </c>
      <c r="P6831" s="847">
        <v>-228</v>
      </c>
    </row>
    <row r="6832" spans="1:17" ht="19.5" thickBot="1" x14ac:dyDescent="0.3">
      <c r="A6832" s="513">
        <f>MAX(A6792:A6830)+1</f>
        <v>4270</v>
      </c>
      <c r="B6832" s="514" t="s">
        <v>1769</v>
      </c>
      <c r="C6832" s="515" t="s">
        <v>26</v>
      </c>
      <c r="D6832" s="516">
        <v>15.28</v>
      </c>
      <c r="E6832" s="517"/>
      <c r="F6832" s="518" t="s">
        <v>30</v>
      </c>
      <c r="G6832" s="519"/>
      <c r="H6832" s="518" t="s">
        <v>1770</v>
      </c>
      <c r="I6832" s="520"/>
      <c r="J6832" s="521"/>
      <c r="K6832" s="514"/>
      <c r="L6832" s="518" t="s">
        <v>265</v>
      </c>
      <c r="M6832" s="518">
        <v>15280.68</v>
      </c>
      <c r="N6832" s="522">
        <v>0.375</v>
      </c>
    </row>
    <row r="6833" spans="1:14" x14ac:dyDescent="0.25">
      <c r="A6833" s="901">
        <f>MAX(A6793:A6832)+1</f>
        <v>4271</v>
      </c>
      <c r="B6833" s="531" t="s">
        <v>1769</v>
      </c>
      <c r="C6833" s="532" t="s">
        <v>26</v>
      </c>
      <c r="D6833" s="533">
        <v>15.718</v>
      </c>
      <c r="E6833" s="534"/>
      <c r="F6833" s="535" t="s">
        <v>16</v>
      </c>
      <c r="G6833" s="536"/>
      <c r="H6833" s="535" t="s">
        <v>1783</v>
      </c>
      <c r="I6833" s="537"/>
      <c r="J6833" s="538"/>
      <c r="K6833" s="531"/>
      <c r="L6833" s="535" t="s">
        <v>265</v>
      </c>
      <c r="M6833" s="535">
        <v>15820.990000000002</v>
      </c>
      <c r="N6833" s="539">
        <v>0.375</v>
      </c>
    </row>
    <row r="6834" spans="1:14" ht="19.5" thickBot="1" x14ac:dyDescent="0.3">
      <c r="A6834" s="902"/>
      <c r="B6834" s="636" t="s">
        <v>1769</v>
      </c>
      <c r="C6834" s="637" t="s">
        <v>952</v>
      </c>
      <c r="D6834" s="638">
        <v>1.66</v>
      </c>
      <c r="E6834" s="639"/>
      <c r="F6834" s="640" t="s">
        <v>16</v>
      </c>
      <c r="G6834" s="885"/>
      <c r="H6834" s="640" t="s">
        <v>1783</v>
      </c>
      <c r="I6834" s="642"/>
      <c r="J6834" s="643"/>
      <c r="K6834" s="636"/>
      <c r="L6834" s="640" t="s">
        <v>265</v>
      </c>
      <c r="M6834" s="640">
        <v>1743.48</v>
      </c>
      <c r="N6834" s="644">
        <v>0.375</v>
      </c>
    </row>
    <row r="6835" spans="1:14" x14ac:dyDescent="0.25">
      <c r="A6835" s="906">
        <f>MAX(A6795:A6834)+1</f>
        <v>4272</v>
      </c>
      <c r="B6835" s="479" t="s">
        <v>1769</v>
      </c>
      <c r="C6835" s="480" t="s">
        <v>587</v>
      </c>
      <c r="D6835" s="481">
        <v>9.4969999999999999</v>
      </c>
      <c r="E6835" s="482"/>
      <c r="F6835" s="483" t="s">
        <v>16</v>
      </c>
      <c r="G6835" s="886" t="s">
        <v>47</v>
      </c>
      <c r="H6835" s="483" t="s">
        <v>1783</v>
      </c>
      <c r="I6835" s="484"/>
      <c r="J6835" s="485"/>
      <c r="K6835" s="479"/>
      <c r="L6835" s="483" t="s">
        <v>28</v>
      </c>
      <c r="M6835" s="483">
        <v>9497.5999999999985</v>
      </c>
      <c r="N6835" s="486">
        <v>0.41666666666666669</v>
      </c>
    </row>
    <row r="6836" spans="1:14" ht="19.5" thickBot="1" x14ac:dyDescent="0.3">
      <c r="A6836" s="909"/>
      <c r="B6836" s="645" t="s">
        <v>1769</v>
      </c>
      <c r="C6836" s="646" t="s">
        <v>47</v>
      </c>
      <c r="D6836" s="647">
        <v>8.5619999999999994</v>
      </c>
      <c r="E6836" s="648"/>
      <c r="F6836" s="649" t="s">
        <v>16</v>
      </c>
      <c r="G6836" s="650"/>
      <c r="H6836" s="649" t="s">
        <v>1783</v>
      </c>
      <c r="I6836" s="651"/>
      <c r="J6836" s="652"/>
      <c r="K6836" s="645"/>
      <c r="L6836" s="649" t="s">
        <v>28</v>
      </c>
      <c r="M6836" s="649">
        <v>8634.7800000000007</v>
      </c>
      <c r="N6836" s="653">
        <v>0.41666666666666669</v>
      </c>
    </row>
    <row r="6837" spans="1:14" x14ac:dyDescent="0.25">
      <c r="A6837" s="901">
        <f>MAX(A6797:A6836)+1</f>
        <v>4273</v>
      </c>
      <c r="B6837" s="531" t="s">
        <v>1769</v>
      </c>
      <c r="C6837" s="532" t="s">
        <v>840</v>
      </c>
      <c r="D6837" s="533">
        <v>13.709</v>
      </c>
      <c r="E6837" s="534"/>
      <c r="F6837" s="535" t="s">
        <v>16</v>
      </c>
      <c r="G6837" s="536"/>
      <c r="H6837" s="535" t="s">
        <v>1783</v>
      </c>
      <c r="I6837" s="537"/>
      <c r="J6837" s="538"/>
      <c r="K6837" s="531"/>
      <c r="L6837" s="535" t="s">
        <v>266</v>
      </c>
      <c r="M6837" s="535">
        <v>13800.840000000002</v>
      </c>
      <c r="N6837" s="539">
        <v>0.45833333333333331</v>
      </c>
    </row>
    <row r="6838" spans="1:14" x14ac:dyDescent="0.25">
      <c r="A6838" s="908"/>
      <c r="B6838" s="563" t="s">
        <v>1769</v>
      </c>
      <c r="C6838" s="564" t="s">
        <v>913</v>
      </c>
      <c r="D6838" s="565">
        <v>2.3730000000000002</v>
      </c>
      <c r="E6838" s="566"/>
      <c r="F6838" s="567" t="s">
        <v>16</v>
      </c>
      <c r="G6838" s="568"/>
      <c r="H6838" s="567" t="s">
        <v>1783</v>
      </c>
      <c r="I6838" s="569"/>
      <c r="J6838" s="570"/>
      <c r="K6838" s="563"/>
      <c r="L6838" s="567" t="s">
        <v>266</v>
      </c>
      <c r="M6838" s="567">
        <v>2417.71</v>
      </c>
      <c r="N6838" s="571">
        <v>0.45833333333333331</v>
      </c>
    </row>
    <row r="6839" spans="1:14" ht="19.5" thickBot="1" x14ac:dyDescent="0.3">
      <c r="A6839" s="902"/>
      <c r="B6839" s="636" t="s">
        <v>1769</v>
      </c>
      <c r="C6839" s="637" t="s">
        <v>23</v>
      </c>
      <c r="D6839" s="638">
        <v>1.6</v>
      </c>
      <c r="E6839" s="639"/>
      <c r="F6839" s="640" t="s">
        <v>16</v>
      </c>
      <c r="G6839" s="885"/>
      <c r="H6839" s="640" t="s">
        <v>1783</v>
      </c>
      <c r="I6839" s="642"/>
      <c r="J6839" s="643"/>
      <c r="K6839" s="636"/>
      <c r="L6839" s="640" t="s">
        <v>28</v>
      </c>
      <c r="M6839" s="640">
        <v>1612.56</v>
      </c>
      <c r="N6839" s="644">
        <v>0.45833333333333331</v>
      </c>
    </row>
    <row r="6840" spans="1:14" ht="19.5" thickBot="1" x14ac:dyDescent="0.3">
      <c r="A6840" s="513">
        <f t="shared" ref="A6840:A6848" si="206">MAX(A6800:A6839)+1</f>
        <v>4274</v>
      </c>
      <c r="B6840" s="514" t="s">
        <v>1769</v>
      </c>
      <c r="C6840" s="515" t="s">
        <v>23</v>
      </c>
      <c r="D6840" s="516">
        <v>17.567</v>
      </c>
      <c r="E6840" s="517"/>
      <c r="F6840" s="518" t="s">
        <v>16</v>
      </c>
      <c r="G6840" s="519"/>
      <c r="H6840" s="518" t="s">
        <v>1783</v>
      </c>
      <c r="I6840" s="520"/>
      <c r="J6840" s="521"/>
      <c r="K6840" s="514"/>
      <c r="L6840" s="518" t="s">
        <v>28</v>
      </c>
      <c r="M6840" s="518">
        <v>17606.16</v>
      </c>
      <c r="N6840" s="522">
        <v>0.5</v>
      </c>
    </row>
    <row r="6841" spans="1:14" x14ac:dyDescent="0.25">
      <c r="A6841" s="676">
        <f t="shared" si="206"/>
        <v>4275</v>
      </c>
      <c r="B6841" s="676"/>
      <c r="C6841" s="473"/>
      <c r="D6841" s="474"/>
      <c r="E6841" s="475"/>
      <c r="F6841" s="676"/>
      <c r="G6841" s="476"/>
      <c r="H6841" s="676"/>
      <c r="I6841" s="477"/>
      <c r="J6841" s="882"/>
      <c r="K6841" s="676"/>
      <c r="L6841" s="676"/>
      <c r="M6841" s="676"/>
      <c r="N6841" s="676"/>
    </row>
    <row r="6842" spans="1:14" x14ac:dyDescent="0.25">
      <c r="A6842" s="676">
        <f t="shared" si="206"/>
        <v>4276</v>
      </c>
      <c r="B6842" s="676"/>
      <c r="C6842" s="473"/>
      <c r="D6842" s="474"/>
      <c r="E6842" s="475"/>
      <c r="F6842" s="676"/>
      <c r="G6842" s="476"/>
      <c r="H6842" s="676"/>
      <c r="I6842" s="477"/>
      <c r="J6842" s="882"/>
      <c r="K6842" s="676"/>
      <c r="L6842" s="676"/>
      <c r="M6842" s="676"/>
      <c r="N6842" s="676"/>
    </row>
    <row r="6843" spans="1:14" x14ac:dyDescent="0.25">
      <c r="A6843" s="676">
        <f t="shared" si="206"/>
        <v>4277</v>
      </c>
      <c r="B6843" s="676"/>
      <c r="C6843" s="473"/>
      <c r="D6843" s="474"/>
      <c r="E6843" s="475"/>
      <c r="F6843" s="676"/>
      <c r="G6843" s="476"/>
      <c r="H6843" s="676"/>
      <c r="I6843" s="477"/>
      <c r="J6843" s="882"/>
      <c r="K6843" s="676"/>
      <c r="L6843" s="676"/>
      <c r="M6843" s="676"/>
      <c r="N6843" s="676"/>
    </row>
    <row r="6844" spans="1:14" x14ac:dyDescent="0.25">
      <c r="A6844" s="676">
        <f t="shared" si="206"/>
        <v>4278</v>
      </c>
      <c r="B6844" s="676"/>
      <c r="C6844" s="473"/>
      <c r="D6844" s="474"/>
      <c r="E6844" s="475"/>
      <c r="F6844" s="676"/>
      <c r="G6844" s="476"/>
      <c r="H6844" s="676"/>
      <c r="I6844" s="477"/>
      <c r="J6844" s="882"/>
      <c r="K6844" s="676"/>
      <c r="L6844" s="676"/>
      <c r="M6844" s="676"/>
      <c r="N6844" s="676"/>
    </row>
    <row r="6845" spans="1:14" x14ac:dyDescent="0.25">
      <c r="A6845" s="676">
        <f t="shared" si="206"/>
        <v>4279</v>
      </c>
      <c r="B6845" s="676"/>
      <c r="C6845" s="473"/>
      <c r="D6845" s="474"/>
      <c r="E6845" s="475"/>
      <c r="F6845" s="676"/>
      <c r="G6845" s="476"/>
      <c r="H6845" s="676"/>
      <c r="I6845" s="477"/>
      <c r="J6845" s="882"/>
      <c r="K6845" s="676"/>
      <c r="L6845" s="676"/>
      <c r="M6845" s="676"/>
      <c r="N6845" s="676"/>
    </row>
    <row r="6846" spans="1:14" x14ac:dyDescent="0.25">
      <c r="A6846" s="676">
        <f t="shared" si="206"/>
        <v>4280</v>
      </c>
      <c r="B6846" s="676"/>
      <c r="C6846" s="473"/>
      <c r="D6846" s="474"/>
      <c r="E6846" s="475"/>
      <c r="F6846" s="676"/>
      <c r="G6846" s="476"/>
      <c r="H6846" s="676"/>
      <c r="I6846" s="477"/>
      <c r="J6846" s="882"/>
      <c r="K6846" s="676"/>
      <c r="L6846" s="676"/>
      <c r="M6846" s="676"/>
      <c r="N6846" s="676"/>
    </row>
    <row r="6847" spans="1:14" x14ac:dyDescent="0.25">
      <c r="A6847" s="676">
        <f t="shared" si="206"/>
        <v>4281</v>
      </c>
      <c r="B6847" s="676"/>
      <c r="C6847" s="473"/>
      <c r="D6847" s="474"/>
      <c r="E6847" s="475"/>
      <c r="F6847" s="676"/>
      <c r="G6847" s="476"/>
      <c r="H6847" s="676"/>
      <c r="I6847" s="477"/>
      <c r="J6847" s="882"/>
      <c r="K6847" s="676"/>
      <c r="L6847" s="676"/>
      <c r="M6847" s="676"/>
      <c r="N6847" s="676"/>
    </row>
    <row r="6848" spans="1:14" x14ac:dyDescent="0.25">
      <c r="A6848" s="676">
        <f t="shared" si="206"/>
        <v>4282</v>
      </c>
      <c r="B6848" s="676"/>
      <c r="C6848" s="473"/>
      <c r="D6848" s="474"/>
      <c r="E6848" s="475"/>
      <c r="F6848" s="676"/>
      <c r="G6848" s="476"/>
      <c r="H6848" s="676"/>
      <c r="I6848" s="477"/>
      <c r="J6848" s="882"/>
      <c r="K6848" s="676"/>
      <c r="L6848" s="676"/>
      <c r="M6848" s="676"/>
      <c r="N6848" s="676"/>
    </row>
  </sheetData>
  <autoFilter ref="A2:N6848" xr:uid="{00000000-0009-0000-0000-000000000000}">
    <filterColumn colId="10">
      <filters blank="1"/>
    </filterColumn>
  </autoFilter>
  <mergeCells count="1779">
    <mergeCell ref="A6830:A6831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589:A6590"/>
    <mergeCell ref="A6750:A6752"/>
    <mergeCell ref="A6733:A6734"/>
    <mergeCell ref="A6817:A6821"/>
    <mergeCell ref="A6822:A6825"/>
    <mergeCell ref="A6826:A6828"/>
    <mergeCell ref="A6808:A6811"/>
    <mergeCell ref="A6797:A6800"/>
    <mergeCell ref="A6780:A6781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1:A6692"/>
    <mergeCell ref="A6693:A6694"/>
    <mergeCell ref="A6673:A6674"/>
    <mergeCell ref="A6695:A6697"/>
    <mergeCell ref="A6700:A6702"/>
    <mergeCell ref="A6698:A6699"/>
    <mergeCell ref="A5219:A5221"/>
    <mergeCell ref="A5140:A5141"/>
    <mergeCell ref="A5212:A5213"/>
    <mergeCell ref="A5262:A5263"/>
    <mergeCell ref="A5172:A5175"/>
    <mergeCell ref="A5202:A520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150:A5152"/>
    <mergeCell ref="A5146:A5147"/>
    <mergeCell ref="A5199:A5200"/>
    <mergeCell ref="G5202:G5203"/>
    <mergeCell ref="G5232:G5233"/>
    <mergeCell ref="A5232:A5233"/>
    <mergeCell ref="A5298:A5299"/>
    <mergeCell ref="A5302:A5304"/>
    <mergeCell ref="A5305:A5308"/>
    <mergeCell ref="A5309:A5310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A5070:A5071"/>
    <mergeCell ref="A5082:A5083"/>
    <mergeCell ref="A5035:A5036"/>
    <mergeCell ref="G5047:G5048"/>
    <mergeCell ref="A5029:A5030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77:G4978"/>
    <mergeCell ref="G4996:G4997"/>
    <mergeCell ref="A4905:A4906"/>
    <mergeCell ref="A4844:A4845"/>
    <mergeCell ref="A4846:A4847"/>
    <mergeCell ref="A4887:A4888"/>
    <mergeCell ref="A4838:A4839"/>
    <mergeCell ref="A4745:A4747"/>
    <mergeCell ref="A4748:A4750"/>
    <mergeCell ref="A4751:A4752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A4842:A4843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311:A4314"/>
    <mergeCell ref="A4501:A4502"/>
    <mergeCell ref="A4543:A4544"/>
    <mergeCell ref="A4539:A4541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776:A4777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G4776:G4777"/>
    <mergeCell ref="A4709:A4711"/>
    <mergeCell ref="A4767:A4768"/>
    <mergeCell ref="A4719:A4720"/>
    <mergeCell ref="A4402:A4405"/>
    <mergeCell ref="A4507:A4508"/>
    <mergeCell ref="A4512:A4514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700:A4701"/>
    <mergeCell ref="A4414:A4415"/>
    <mergeCell ref="A4723:A4724"/>
    <mergeCell ref="A4727:A4728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294:A1295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299:A1300"/>
    <mergeCell ref="A1301:A1302"/>
    <mergeCell ref="A1305:A1306"/>
    <mergeCell ref="A1308:A1309"/>
    <mergeCell ref="A1311:A1312"/>
    <mergeCell ref="A957:A958"/>
    <mergeCell ref="A912:A914"/>
    <mergeCell ref="A915:A916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087:A1090"/>
    <mergeCell ref="A1110:A1112"/>
    <mergeCell ref="A1221:A1222"/>
    <mergeCell ref="G1030:G1031"/>
    <mergeCell ref="A955:A956"/>
    <mergeCell ref="A1223:A1224"/>
    <mergeCell ref="A1172:A1173"/>
    <mergeCell ref="A1199:A1200"/>
    <mergeCell ref="A1202:A1203"/>
    <mergeCell ref="G1167:G1168"/>
    <mergeCell ref="A1170:A1171"/>
    <mergeCell ref="A1232:A1233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1021:A1022"/>
    <mergeCell ref="A1046:A1047"/>
    <mergeCell ref="A1075:A1077"/>
    <mergeCell ref="A988:A989"/>
    <mergeCell ref="A990:A992"/>
    <mergeCell ref="A959:A960"/>
    <mergeCell ref="A1096:A1097"/>
    <mergeCell ref="A1102:A1105"/>
    <mergeCell ref="A1106:A1107"/>
    <mergeCell ref="A1115:A1116"/>
    <mergeCell ref="A1117:A1120"/>
    <mergeCell ref="A1070:A1071"/>
    <mergeCell ref="A1072:A1074"/>
    <mergeCell ref="A1062:A1063"/>
    <mergeCell ref="A1065:A1067"/>
    <mergeCell ref="A1035:A1036"/>
    <mergeCell ref="A1041:A1042"/>
    <mergeCell ref="A1043:A1045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078:A1079"/>
    <mergeCell ref="A1080:A1081"/>
    <mergeCell ref="G983:G984"/>
    <mergeCell ref="A985:A987"/>
    <mergeCell ref="G1202:G1203"/>
    <mergeCell ref="G1080:G1081"/>
    <mergeCell ref="A1082:A1083"/>
    <mergeCell ref="A1030:A1031"/>
    <mergeCell ref="A1121:A1122"/>
    <mergeCell ref="G1121:G1122"/>
    <mergeCell ref="A1092:A1093"/>
    <mergeCell ref="A490:A492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G654:G65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556:A557"/>
    <mergeCell ref="A221:A222"/>
    <mergeCell ref="A227:A230"/>
    <mergeCell ref="A105:A107"/>
    <mergeCell ref="B105:B107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B62:B66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169:A170"/>
    <mergeCell ref="A174:A178"/>
    <mergeCell ref="A205:A206"/>
    <mergeCell ref="A207:A208"/>
    <mergeCell ref="A209:A210"/>
    <mergeCell ref="A211:A212"/>
    <mergeCell ref="B31:B34"/>
    <mergeCell ref="A198:A199"/>
    <mergeCell ref="A200:A202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167:A168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G556:G557"/>
    <mergeCell ref="A341:A342"/>
    <mergeCell ref="G408:G409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897:A898"/>
    <mergeCell ref="A917:A918"/>
    <mergeCell ref="A923:A924"/>
    <mergeCell ref="A789:A790"/>
    <mergeCell ref="A791:A792"/>
    <mergeCell ref="A793:A796"/>
    <mergeCell ref="A846:A849"/>
    <mergeCell ref="A755:A760"/>
    <mergeCell ref="A823:A829"/>
    <mergeCell ref="A836:A838"/>
    <mergeCell ref="A774:A778"/>
    <mergeCell ref="A779:A783"/>
    <mergeCell ref="A850:A852"/>
    <mergeCell ref="A855:A860"/>
    <mergeCell ref="A872:A874"/>
    <mergeCell ref="A876:A877"/>
    <mergeCell ref="A891:A893"/>
    <mergeCell ref="A784:A785"/>
    <mergeCell ref="A815:A816"/>
    <mergeCell ref="A762:A763"/>
    <mergeCell ref="A766:A768"/>
    <mergeCell ref="A769:A771"/>
    <mergeCell ref="A894:A896"/>
    <mergeCell ref="A1218:A1219"/>
    <mergeCell ref="A1032:A1034"/>
    <mergeCell ref="A1028:A1029"/>
    <mergeCell ref="A1052:A1059"/>
    <mergeCell ref="A4825:A4826"/>
    <mergeCell ref="A5128:A51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5114:A5115"/>
    <mergeCell ref="A925:A928"/>
    <mergeCell ref="A809:A812"/>
    <mergeCell ref="A939:A941"/>
    <mergeCell ref="A943:A947"/>
    <mergeCell ref="A839:A841"/>
    <mergeCell ref="A948:A949"/>
    <mergeCell ref="A951:A954"/>
    <mergeCell ref="A5063:A5064"/>
    <mergeCell ref="A5065:A5069"/>
    <mergeCell ref="A5156:A5159"/>
    <mergeCell ref="A5161:A5162"/>
    <mergeCell ref="A5183:A5184"/>
    <mergeCell ref="A5282:A5283"/>
    <mergeCell ref="A5472:A5474"/>
    <mergeCell ref="G762:G763"/>
    <mergeCell ref="A881:A882"/>
    <mergeCell ref="A968:A969"/>
    <mergeCell ref="A971:A973"/>
    <mergeCell ref="A995:A999"/>
    <mergeCell ref="A1000:A1001"/>
    <mergeCell ref="A1002:A1003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5091:A5092"/>
    <mergeCell ref="G5140:G5141"/>
    <mergeCell ref="A5229:A5230"/>
    <mergeCell ref="A5260:A5261"/>
    <mergeCell ref="A5254:A5255"/>
    <mergeCell ref="A5243:A5244"/>
    <mergeCell ref="A5247:A5249"/>
    <mergeCell ref="A5449:A5451"/>
    <mergeCell ref="A5123:A5125"/>
    <mergeCell ref="A4893:A489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116:G5117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78:A5379"/>
    <mergeCell ref="A5338:A5341"/>
    <mergeCell ref="A5342:A5343"/>
    <mergeCell ref="A5348:A5350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6718:A6720"/>
    <mergeCell ref="A5380:A5381"/>
    <mergeCell ref="A5523:A5525"/>
    <mergeCell ref="A5531:A5532"/>
    <mergeCell ref="G5408:G5409"/>
    <mergeCell ref="G6718:G6720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G5623:G5624"/>
    <mergeCell ref="A5606:A5607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549:G5550"/>
    <mergeCell ref="A5549:A5550"/>
    <mergeCell ref="A6833:A6834"/>
    <mergeCell ref="A6835:A6836"/>
    <mergeCell ref="A6837:A6839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G6721:G6722"/>
    <mergeCell ref="A6721:A6722"/>
    <mergeCell ref="A6723:A6724"/>
    <mergeCell ref="G6723:G6724"/>
    <mergeCell ref="A6725:A6726"/>
    <mergeCell ref="A6782:A6784"/>
    <mergeCell ref="A6812:A6815"/>
    <mergeCell ref="A6754:A6755"/>
    <mergeCell ref="A6756:A6758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5511:A551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2026-07-31T13:32:42Z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