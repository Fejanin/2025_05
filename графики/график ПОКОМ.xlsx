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графики\"/>
    </mc:Choice>
  </mc:AlternateContent>
  <xr:revisionPtr revIDLastSave="0" documentId="13_ncr:1_{A48E708E-DF75-407C-98B3-7644BC1D2EE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Лист1!$A$2:$N$5620</definedName>
    <definedName name="_xlnm.Print_Area" localSheetId="0">Лист1!$A$1:$J$5689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7" i="1" l="1"/>
  <c r="A5595" i="1"/>
  <c r="A5598" i="1"/>
  <c r="A5599" i="1" s="1"/>
  <c r="A5601" i="1" s="1"/>
  <c r="A5602" i="1" l="1"/>
  <c r="A5604" i="1" s="1"/>
  <c r="A5605" i="1" l="1"/>
  <c r="A5606" i="1" s="1"/>
  <c r="A5608" i="1" l="1"/>
  <c r="A5609" i="1" s="1"/>
  <c r="A5610" i="1" s="1"/>
  <c r="A5611" i="1" l="1"/>
  <c r="A5612" i="1" s="1"/>
  <c r="A5613" i="1" l="1"/>
  <c r="A5614" i="1" s="1"/>
  <c r="A5615" i="1" s="1"/>
  <c r="A5616" i="1" s="1"/>
  <c r="A5617" i="1" s="1"/>
  <c r="A5618" i="1" s="1"/>
  <c r="A5619" i="1" s="1"/>
  <c r="A5620" i="1" s="1"/>
</calcChain>
</file>

<file path=xl/sharedStrings.xml><?xml version="1.0" encoding="utf-8"?>
<sst xmlns="http://schemas.openxmlformats.org/spreadsheetml/2006/main" count="34337" uniqueCount="1232">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</sst>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39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</fonts>
  <fills count="41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35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</cellXfs>
  <cellStyles count="143">
    <cellStyle name="20% - Акцент1 2" xfId="1" xr:uid="{00000000-0005-0000-0000-000006000000}"/>
    <cellStyle name="20% - Акцент1 2 2" xfId="2" xr:uid="{00000000-0005-0000-0000-000007000000}"/>
    <cellStyle name="20% - Акцент1 2 3" xfId="98" xr:uid="{38E9EE2C-3C50-47FA-A293-C47F40B1D9C8}"/>
    <cellStyle name="20% - Акцент2 2" xfId="3" xr:uid="{00000000-0005-0000-0000-000008000000}"/>
    <cellStyle name="20% - Акцент2 2 2" xfId="4" xr:uid="{00000000-0005-0000-0000-000009000000}"/>
    <cellStyle name="20% - Акцент2 2 3" xfId="99" xr:uid="{3067C154-91A2-41E2-9D7F-47E48E88BF77}"/>
    <cellStyle name="20% - Акцент3 2" xfId="5" xr:uid="{00000000-0005-0000-0000-00000A000000}"/>
    <cellStyle name="20% - Акцент3 2 2" xfId="6" xr:uid="{00000000-0005-0000-0000-00000B000000}"/>
    <cellStyle name="20% - Акцент3 2 3" xfId="100" xr:uid="{405A6A40-8EAE-4FD7-8CAE-4DCFA253F2AD}"/>
    <cellStyle name="20% - Акцент4 2" xfId="7" xr:uid="{00000000-0005-0000-0000-00000C000000}"/>
    <cellStyle name="20% - Акцент4 2 2" xfId="8" xr:uid="{00000000-0005-0000-0000-00000D000000}"/>
    <cellStyle name="20% - Акцент4 2 3" xfId="101" xr:uid="{C21A7C22-00BF-450C-A529-482534E047C1}"/>
    <cellStyle name="20% - Акцент5 2" xfId="9" xr:uid="{00000000-0005-0000-0000-00000E000000}"/>
    <cellStyle name="20% - Акцент5 2 2" xfId="10" xr:uid="{00000000-0005-0000-0000-00000F000000}"/>
    <cellStyle name="20% - Акцент5 2 3" xfId="102" xr:uid="{BD9C3B6A-5C83-489B-A89F-D6A916E44181}"/>
    <cellStyle name="20% - Акцент6 2" xfId="11" xr:uid="{00000000-0005-0000-0000-000010000000}"/>
    <cellStyle name="20% - Акцент6 2 2" xfId="12" xr:uid="{00000000-0005-0000-0000-000011000000}"/>
    <cellStyle name="20% - Акцент6 2 3" xfId="103" xr:uid="{2BC39FB0-758A-41D7-936E-4877C8253FC6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30AE854A-58FA-47D1-8478-A0E0E14A5FD7}"/>
    <cellStyle name="40% - Акцент2 2" xfId="15" xr:uid="{00000000-0005-0000-0000-000014000000}"/>
    <cellStyle name="40% - Акцент2 2 2" xfId="16" xr:uid="{00000000-0005-0000-0000-000015000000}"/>
    <cellStyle name="40% - Акцент2 2 3" xfId="105" xr:uid="{0AD25933-B52D-42D0-94F5-001B7C56CD81}"/>
    <cellStyle name="40% - Акцент3 2" xfId="17" xr:uid="{00000000-0005-0000-0000-000016000000}"/>
    <cellStyle name="40% - Акцент3 2 2" xfId="18" xr:uid="{00000000-0005-0000-0000-000017000000}"/>
    <cellStyle name="40% - Акцент3 2 3" xfId="106" xr:uid="{DB95D3D4-D407-47DD-B22A-6555B300083F}"/>
    <cellStyle name="40% - Акцент4 2" xfId="19" xr:uid="{00000000-0005-0000-0000-000018000000}"/>
    <cellStyle name="40% - Акцент4 2 2" xfId="20" xr:uid="{00000000-0005-0000-0000-000019000000}"/>
    <cellStyle name="40% - Акцент4 2 3" xfId="107" xr:uid="{8DADBD81-4384-4798-BF90-67558F366BC5}"/>
    <cellStyle name="40% - Акцент5 2" xfId="21" xr:uid="{00000000-0005-0000-0000-00001A000000}"/>
    <cellStyle name="40% - Акцент5 2 2" xfId="22" xr:uid="{00000000-0005-0000-0000-00001B000000}"/>
    <cellStyle name="40% - Акцент5 2 3" xfId="108" xr:uid="{399C8B83-3BE6-43EA-98C2-AAA226CC69B1}"/>
    <cellStyle name="40% - Акцент6 2" xfId="23" xr:uid="{00000000-0005-0000-0000-00001C000000}"/>
    <cellStyle name="40% - Акцент6 2 2" xfId="24" xr:uid="{00000000-0005-0000-0000-00001D000000}"/>
    <cellStyle name="40% - Акцент6 2 3" xfId="109" xr:uid="{9BAA890B-8F0B-4934-8768-657F1AEFD514}"/>
    <cellStyle name="60% - Акцент1 2" xfId="25" xr:uid="{00000000-0005-0000-0000-00001E000000}"/>
    <cellStyle name="60% - Акцент1 2 2" xfId="26" xr:uid="{00000000-0005-0000-0000-00001F000000}"/>
    <cellStyle name="60% - Акцент1 2 3" xfId="110" xr:uid="{99BC3605-36BA-4DBB-83B6-942BB9B7C2B1}"/>
    <cellStyle name="60% - Акцент2 2" xfId="27" xr:uid="{00000000-0005-0000-0000-000020000000}"/>
    <cellStyle name="60% - Акцент2 2 2" xfId="28" xr:uid="{00000000-0005-0000-0000-000021000000}"/>
    <cellStyle name="60% - Акцент2 2 3" xfId="111" xr:uid="{2363D722-D377-43B0-9D96-D85AE61AF94D}"/>
    <cellStyle name="60% - Акцент3 2" xfId="29" xr:uid="{00000000-0005-0000-0000-000022000000}"/>
    <cellStyle name="60% - Акцент3 2 2" xfId="30" xr:uid="{00000000-0005-0000-0000-000023000000}"/>
    <cellStyle name="60% - Акцент3 2 3" xfId="112" xr:uid="{59563BDC-A8B5-4A14-B7BC-EB2E21A1E737}"/>
    <cellStyle name="60% - Акцент4 2" xfId="31" xr:uid="{00000000-0005-0000-0000-000024000000}"/>
    <cellStyle name="60% - Акцент4 2 2" xfId="32" xr:uid="{00000000-0005-0000-0000-000025000000}"/>
    <cellStyle name="60% - Акцент4 2 3" xfId="113" xr:uid="{A8C08424-3BB0-42BD-8DF4-14C1C4017776}"/>
    <cellStyle name="60% - Акцент5 2" xfId="33" xr:uid="{00000000-0005-0000-0000-000026000000}"/>
    <cellStyle name="60% - Акцент5 2 2" xfId="34" xr:uid="{00000000-0005-0000-0000-000027000000}"/>
    <cellStyle name="60% - Акцент5 2 3" xfId="114" xr:uid="{1CA645FC-D1C7-425F-A4DF-F9946FF26DCE}"/>
    <cellStyle name="60% - Акцент6 2" xfId="35" xr:uid="{00000000-0005-0000-0000-000028000000}"/>
    <cellStyle name="60% - Акцент6 2 2" xfId="36" xr:uid="{00000000-0005-0000-0000-000029000000}"/>
    <cellStyle name="60% - Акцент6 2 3" xfId="115" xr:uid="{94415AC9-4AE7-481B-8446-C48EF30513C7}"/>
    <cellStyle name="Акцент1 2" xfId="37" xr:uid="{00000000-0005-0000-0000-00002A000000}"/>
    <cellStyle name="Акцент1 2 2" xfId="38" xr:uid="{00000000-0005-0000-0000-00002B000000}"/>
    <cellStyle name="Акцент1 2 3" xfId="116" xr:uid="{B727AA7A-30D4-477C-A52C-AD2E714DFDB0}"/>
    <cellStyle name="Акцент2 2" xfId="39" xr:uid="{00000000-0005-0000-0000-00002C000000}"/>
    <cellStyle name="Акцент2 2 2" xfId="40" xr:uid="{00000000-0005-0000-0000-00002D000000}"/>
    <cellStyle name="Акцент2 2 3" xfId="117" xr:uid="{2728DD73-3A2D-4FC8-83D8-FC945BAF1594}"/>
    <cellStyle name="Акцент3 2" xfId="41" xr:uid="{00000000-0005-0000-0000-00002E000000}"/>
    <cellStyle name="Акцент3 2 2" xfId="42" xr:uid="{00000000-0005-0000-0000-00002F000000}"/>
    <cellStyle name="Акцент3 2 3" xfId="118" xr:uid="{47C1146E-AF96-4404-A6BA-698E988F8EDE}"/>
    <cellStyle name="Акцент4 2" xfId="43" xr:uid="{00000000-0005-0000-0000-000030000000}"/>
    <cellStyle name="Акцент4 2 2" xfId="44" xr:uid="{00000000-0005-0000-0000-000031000000}"/>
    <cellStyle name="Акцент4 2 3" xfId="119" xr:uid="{247FD7D2-3DE0-4AC1-87E6-3A6AF1B84620}"/>
    <cellStyle name="Акцент5 2" xfId="45" xr:uid="{00000000-0005-0000-0000-000032000000}"/>
    <cellStyle name="Акцент5 2 2" xfId="46" xr:uid="{00000000-0005-0000-0000-000033000000}"/>
    <cellStyle name="Акцент5 2 3" xfId="120" xr:uid="{9274E4AD-16BB-4272-A83A-C1C1189917B8}"/>
    <cellStyle name="Акцент6 2" xfId="47" xr:uid="{00000000-0005-0000-0000-000034000000}"/>
    <cellStyle name="Акцент6 2 2" xfId="48" xr:uid="{00000000-0005-0000-0000-000035000000}"/>
    <cellStyle name="Акцент6 2 3" xfId="121" xr:uid="{6FB8E061-2F81-45BA-A042-4462FBF64DF5}"/>
    <cellStyle name="Ввод  2" xfId="49" xr:uid="{00000000-0005-0000-0000-000036000000}"/>
    <cellStyle name="Ввод  2 2" xfId="50" xr:uid="{00000000-0005-0000-0000-000037000000}"/>
    <cellStyle name="Ввод  2 3" xfId="122" xr:uid="{CAE5111F-5AC7-45C5-84D8-F6CB46267FF2}"/>
    <cellStyle name="Вывод 2" xfId="51" xr:uid="{00000000-0005-0000-0000-000038000000}"/>
    <cellStyle name="Вывод 2 2" xfId="52" xr:uid="{00000000-0005-0000-0000-000039000000}"/>
    <cellStyle name="Вывод 2 3" xfId="123" xr:uid="{FBDD0DF7-3218-4E2A-AAAF-40B499109144}"/>
    <cellStyle name="Вычисление 2" xfId="53" xr:uid="{00000000-0005-0000-0000-00003A000000}"/>
    <cellStyle name="Вычисление 2 2" xfId="54" xr:uid="{00000000-0005-0000-0000-00003B000000}"/>
    <cellStyle name="Вычисление 2 3" xfId="124" xr:uid="{FAF9E820-CC1E-4E05-8D40-A07C06173026}"/>
    <cellStyle name="Заголовок 1 2" xfId="55" xr:uid="{00000000-0005-0000-0000-00003C000000}"/>
    <cellStyle name="Заголовок 1 2 2" xfId="56" xr:uid="{00000000-0005-0000-0000-00003D000000}"/>
    <cellStyle name="Заголовок 1 2 3" xfId="125" xr:uid="{486BEB3A-EA09-4EAA-98D8-84148FD9CCEB}"/>
    <cellStyle name="Заголовок 2 2" xfId="57" xr:uid="{00000000-0005-0000-0000-00003E000000}"/>
    <cellStyle name="Заголовок 2 2 2" xfId="58" xr:uid="{00000000-0005-0000-0000-00003F000000}"/>
    <cellStyle name="Заголовок 2 2 3" xfId="126" xr:uid="{D7D242CB-B973-4842-B8AE-92176E24C80E}"/>
    <cellStyle name="Заголовок 3 2" xfId="59" xr:uid="{00000000-0005-0000-0000-000040000000}"/>
    <cellStyle name="Заголовок 3 2 2" xfId="60" xr:uid="{00000000-0005-0000-0000-000041000000}"/>
    <cellStyle name="Заголовок 3 2 3" xfId="127" xr:uid="{BAC2F478-2290-4241-80BB-BE74010B2258}"/>
    <cellStyle name="Заголовок 4 2" xfId="61" xr:uid="{00000000-0005-0000-0000-000042000000}"/>
    <cellStyle name="Заголовок 4 2 2" xfId="62" xr:uid="{00000000-0005-0000-0000-000043000000}"/>
    <cellStyle name="Заголовок 4 2 3" xfId="128" xr:uid="{9BA7AB16-D016-4100-904D-9E07C393F9F4}"/>
    <cellStyle name="Итог 2" xfId="63" xr:uid="{00000000-0005-0000-0000-000044000000}"/>
    <cellStyle name="Итог 2 2" xfId="64" xr:uid="{00000000-0005-0000-0000-000045000000}"/>
    <cellStyle name="Итог 2 3" xfId="129" xr:uid="{39729586-5F9D-44E3-9DBF-B37C991A668F}"/>
    <cellStyle name="Контрольная ячейка 2" xfId="65" xr:uid="{00000000-0005-0000-0000-000046000000}"/>
    <cellStyle name="Контрольная ячейка 2 2" xfId="66" xr:uid="{00000000-0005-0000-0000-000047000000}"/>
    <cellStyle name="Контрольная ячейка 2 3" xfId="130" xr:uid="{8EE0FC6A-A4E4-47B1-8D7C-0340BBFB4FA5}"/>
    <cellStyle name="Название 2" xfId="67" xr:uid="{00000000-0005-0000-0000-000048000000}"/>
    <cellStyle name="Название 2 2" xfId="68" xr:uid="{00000000-0005-0000-0000-000049000000}"/>
    <cellStyle name="Название 2 3" xfId="131" xr:uid="{13D7014B-CD5F-4E07-9D73-F8DA11D5C101}"/>
    <cellStyle name="Нейтральный 2" xfId="69" xr:uid="{00000000-0005-0000-0000-00004A000000}"/>
    <cellStyle name="Нейтральный 2 2" xfId="70" xr:uid="{00000000-0005-0000-0000-00004B000000}"/>
    <cellStyle name="Нейтральный 2 3" xfId="132" xr:uid="{FB3FE591-FF05-4B15-8C21-0AF0FD8138A6}"/>
    <cellStyle name="Обычный" xfId="0" builtinId="0"/>
    <cellStyle name="Обычный 16" xfId="71" xr:uid="{00000000-0005-0000-0000-00004C000000}"/>
    <cellStyle name="Обычный 16 2" xfId="72" xr:uid="{00000000-0005-0000-0000-00004D000000}"/>
    <cellStyle name="Обычный 16 2 2" xfId="73" xr:uid="{00000000-0005-0000-0000-00004E000000}"/>
    <cellStyle name="Обычный 2" xfId="74" xr:uid="{00000000-0005-0000-0000-00004F000000}"/>
    <cellStyle name="Обычный 2 2" xfId="75" xr:uid="{00000000-0005-0000-0000-000050000000}"/>
    <cellStyle name="Обычный 2 2 2" xfId="76" xr:uid="{00000000-0005-0000-0000-000051000000}"/>
    <cellStyle name="Обычный 3" xfId="77" xr:uid="{00000000-0005-0000-0000-000052000000}"/>
    <cellStyle name="Обычный 3 2" xfId="78" xr:uid="{00000000-0005-0000-0000-000053000000}"/>
    <cellStyle name="Обычный 3 2 2" xfId="79" xr:uid="{00000000-0005-0000-0000-000054000000}"/>
    <cellStyle name="Обычный 3 2 3" xfId="134" xr:uid="{91BF6509-48BB-46C8-9645-B0EB15E7F179}"/>
    <cellStyle name="Обычный 3 3" xfId="80" xr:uid="{00000000-0005-0000-0000-000055000000}"/>
    <cellStyle name="Обычный 3 3 2" xfId="81" xr:uid="{00000000-0005-0000-0000-000056000000}"/>
    <cellStyle name="Обычный 3 3 3" xfId="135" xr:uid="{CE1ADC23-9F76-4A2F-B6C9-F381DD781546}"/>
    <cellStyle name="Обычный 3 4" xfId="82" xr:uid="{00000000-0005-0000-0000-000057000000}"/>
    <cellStyle name="Обычный 3 5" xfId="133" xr:uid="{23A57EFF-6151-4E24-A740-15C049A6E3FC}"/>
    <cellStyle name="Обычный 4" xfId="83" xr:uid="{00000000-0005-0000-0000-000058000000}"/>
    <cellStyle name="Плохой 2" xfId="84" xr:uid="{00000000-0005-0000-0000-000059000000}"/>
    <cellStyle name="Плохой 2 2" xfId="85" xr:uid="{00000000-0005-0000-0000-00005A000000}"/>
    <cellStyle name="Плохой 2 3" xfId="136" xr:uid="{CADB3B2E-8891-441E-8A32-3E2D1264CB20}"/>
    <cellStyle name="Пояснение 2" xfId="86" xr:uid="{00000000-0005-0000-0000-00005B000000}"/>
    <cellStyle name="Пояснение 2 2" xfId="87" xr:uid="{00000000-0005-0000-0000-00005C000000}"/>
    <cellStyle name="Пояснение 2 3" xfId="137" xr:uid="{12694B84-03EF-4102-8DE0-C0D9AD69DD4E}"/>
    <cellStyle name="Примечание 2" xfId="88" xr:uid="{00000000-0005-0000-0000-00005D000000}"/>
    <cellStyle name="Примечание 2 2" xfId="89" xr:uid="{00000000-0005-0000-0000-00005E000000}"/>
    <cellStyle name="Примечание 2 2 2" xfId="90" xr:uid="{00000000-0005-0000-0000-00005F000000}"/>
    <cellStyle name="Примечание 2 2 3" xfId="139" xr:uid="{0600ED88-F779-4997-B925-99E7C1CC39A8}"/>
    <cellStyle name="Примечание 2 3" xfId="91" xr:uid="{00000000-0005-0000-0000-000060000000}"/>
    <cellStyle name="Примечание 2 4" xfId="138" xr:uid="{77252238-88D8-4F7B-A5F1-5FA5A444163B}"/>
    <cellStyle name="Связанная ячейка 2" xfId="92" xr:uid="{00000000-0005-0000-0000-000061000000}"/>
    <cellStyle name="Связанная ячейка 2 2" xfId="93" xr:uid="{00000000-0005-0000-0000-000062000000}"/>
    <cellStyle name="Связанная ячейка 2 3" xfId="140" xr:uid="{0718DAC9-A13B-42B7-953F-92CC6DD89151}"/>
    <cellStyle name="Текст предупреждения 2" xfId="94" xr:uid="{00000000-0005-0000-0000-000063000000}"/>
    <cellStyle name="Текст предупреждения 2 2" xfId="95" xr:uid="{00000000-0005-0000-0000-000064000000}"/>
    <cellStyle name="Текст предупреждения 2 3" xfId="141" xr:uid="{0BC21E34-E66A-4284-9927-3100F9DFC94E}"/>
    <cellStyle name="Хороший 2" xfId="96" xr:uid="{00000000-0005-0000-0000-000065000000}"/>
    <cellStyle name="Хороший 2 2" xfId="97" xr:uid="{00000000-0005-0000-0000-000066000000}"/>
    <cellStyle name="Хороший 2 3" xfId="142" xr:uid="{1DBABB78-AD8B-483A-ACA6-16B32005B80F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5620"/>
  <sheetViews>
    <sheetView tabSelected="1" zoomScale="85" zoomScaleNormal="85" workbookViewId="0">
      <pane ySplit="2" topLeftCell="A5586" activePane="bottomLeft" state="frozen"/>
      <selection pane="bottomLeft" activeCell="Q5613" sqref="Q5613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8.7109375" style="4" customWidth="1"/>
    <col min="6" max="6" width="8.5703125" style="1" customWidth="1"/>
    <col min="7" max="7" width="21.42578125" style="5" customWidth="1"/>
    <col min="8" max="8" width="15.7109375" style="1" customWidth="1"/>
    <col min="9" max="9" width="16.42578125" style="6" customWidth="1"/>
    <col min="10" max="10" width="24.28515625" style="7" customWidth="1"/>
    <col min="11" max="11" width="9.85546875" style="1" customWidth="1"/>
    <col min="12" max="12" width="16.28515625" style="1" customWidth="1"/>
    <col min="13" max="13" width="15.5703125" style="1" customWidth="1"/>
    <col min="14" max="14" width="16.28515625" style="1" customWidth="1"/>
    <col min="15" max="1021" width="9.140625" style="2"/>
  </cols>
  <sheetData>
    <row r="1" spans="1:14" ht="19.5" customHeight="1" thickBot="1" x14ac:dyDescent="0.3">
      <c r="A1" s="731" t="s">
        <v>0</v>
      </c>
      <c r="B1" s="731"/>
      <c r="C1" s="731"/>
      <c r="D1" s="731"/>
      <c r="E1" s="731"/>
      <c r="F1" s="731"/>
      <c r="G1" s="731"/>
      <c r="H1" s="731"/>
      <c r="I1" s="731"/>
      <c r="J1" s="731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2">
        <v>1</v>
      </c>
      <c r="B3" s="732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2"/>
      <c r="B4" s="732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30">
        <v>3</v>
      </c>
      <c r="B6" s="730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30"/>
      <c r="B7" s="730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30"/>
      <c r="B8" s="730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30">
        <v>5</v>
      </c>
      <c r="B10" s="730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30"/>
      <c r="B11" s="730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29">
        <v>8</v>
      </c>
      <c r="B14" s="72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29"/>
      <c r="B15" s="72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30">
        <v>11</v>
      </c>
      <c r="B18" s="730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30"/>
      <c r="B19" s="730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30"/>
      <c r="B20" s="730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30"/>
      <c r="B21" s="730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30">
        <v>13</v>
      </c>
      <c r="B23" s="730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30"/>
      <c r="B24" s="730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29">
        <v>14</v>
      </c>
      <c r="B25" s="72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29"/>
      <c r="B26" s="72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30">
        <v>15</v>
      </c>
      <c r="B27" s="730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30"/>
      <c r="B28" s="730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30"/>
      <c r="B29" s="730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30"/>
      <c r="B30" s="730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29">
        <v>16</v>
      </c>
      <c r="B31" s="72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29"/>
      <c r="B32" s="72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29"/>
      <c r="B33" s="72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29"/>
      <c r="B34" s="72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30">
        <v>17</v>
      </c>
      <c r="B35" s="730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30"/>
      <c r="B36" s="730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30">
        <v>21</v>
      </c>
      <c r="B40" s="730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30"/>
      <c r="B41" s="730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30">
        <v>23</v>
      </c>
      <c r="B43" s="730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30"/>
      <c r="B44" s="730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30"/>
      <c r="B45" s="730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29">
        <v>24</v>
      </c>
      <c r="B46" s="72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29"/>
      <c r="B47" s="72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30">
        <v>25</v>
      </c>
      <c r="B48" s="730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30"/>
      <c r="B49" s="730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30"/>
      <c r="B50" s="730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29">
        <v>26</v>
      </c>
      <c r="B51" s="72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29"/>
      <c r="B52" s="72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30">
        <v>29</v>
      </c>
      <c r="B55" s="730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30"/>
      <c r="B56" s="730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29">
        <v>32</v>
      </c>
      <c r="B59" s="72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29"/>
      <c r="B60" s="72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29">
        <v>34</v>
      </c>
      <c r="B62" s="72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29"/>
      <c r="B63" s="72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29"/>
      <c r="B64" s="72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29"/>
      <c r="B65" s="72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29"/>
      <c r="B66" s="72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30">
        <v>35</v>
      </c>
      <c r="B67" s="730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30"/>
      <c r="B68" s="730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01">
        <v>40</v>
      </c>
      <c r="B73" s="72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01"/>
      <c r="B74" s="72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02">
        <v>41</v>
      </c>
      <c r="B75" s="730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02"/>
      <c r="B76" s="730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02"/>
      <c r="B77" s="730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01">
        <v>42</v>
      </c>
      <c r="B78" s="72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01"/>
      <c r="B79" s="72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02">
        <v>49</v>
      </c>
      <c r="B86" s="730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02"/>
      <c r="B87" s="730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02"/>
      <c r="B88" s="730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01">
        <v>50</v>
      </c>
      <c r="B89" s="72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01"/>
      <c r="B90" s="72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02">
        <v>51</v>
      </c>
      <c r="B91" s="730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02"/>
      <c r="B92" s="730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02">
        <v>53</v>
      </c>
      <c r="B94" s="730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02"/>
      <c r="B95" s="730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01">
        <v>54</v>
      </c>
      <c r="B96" s="72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01"/>
      <c r="B97" s="72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01"/>
      <c r="B98" s="72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01">
        <v>58</v>
      </c>
      <c r="B102" s="72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01"/>
      <c r="B103" s="72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01">
        <v>60</v>
      </c>
      <c r="B105" s="72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01"/>
      <c r="B106" s="72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01"/>
      <c r="B107" s="72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02">
        <v>61</v>
      </c>
      <c r="B108" s="730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02"/>
      <c r="B109" s="730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02"/>
      <c r="B110" s="730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01">
        <v>64</v>
      </c>
      <c r="B113" s="72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01"/>
      <c r="B114" s="72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01">
        <v>66</v>
      </c>
      <c r="B116" s="72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01"/>
      <c r="B117" s="72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02">
        <v>67</v>
      </c>
      <c r="B118" s="730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02"/>
      <c r="B119" s="730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02"/>
      <c r="B120" s="730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01">
        <v>68</v>
      </c>
      <c r="B121" s="72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01"/>
      <c r="B122" s="72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02">
        <v>69</v>
      </c>
      <c r="B123" s="730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02"/>
      <c r="B124" s="730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01">
        <v>72</v>
      </c>
      <c r="B127" s="729" t="s">
        <v>65</v>
      </c>
      <c r="C127" s="119" t="s">
        <v>26</v>
      </c>
      <c r="D127" s="120">
        <v>3.3</v>
      </c>
      <c r="E127" s="121"/>
      <c r="F127" s="122" t="s">
        <v>30</v>
      </c>
      <c r="G127" s="724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01"/>
      <c r="B128" s="729"/>
      <c r="C128" s="103" t="s">
        <v>26</v>
      </c>
      <c r="D128" s="88">
        <v>12.9</v>
      </c>
      <c r="E128" s="106"/>
      <c r="F128" s="107" t="s">
        <v>16</v>
      </c>
      <c r="G128" s="724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01">
        <v>76</v>
      </c>
      <c r="B132" s="72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01"/>
      <c r="B133" s="72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01"/>
      <c r="B134" s="72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01"/>
      <c r="B135" s="72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01">
        <v>78</v>
      </c>
      <c r="B137" s="72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01"/>
      <c r="B138" s="72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28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28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0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0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0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0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0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0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0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0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0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0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0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0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0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0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0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0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0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0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0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0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0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0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5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0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5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0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0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0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0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0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0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0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0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0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0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0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0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0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0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0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0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0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0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0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0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0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0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0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0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0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0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0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0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0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0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0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0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0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0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0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0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0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0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0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0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0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24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0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24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0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0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0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0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0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0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0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0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0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0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0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0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0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0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0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0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0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0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0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0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0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0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0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0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0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0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0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0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0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0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0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0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12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0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12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0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0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0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24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0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24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0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0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0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38.2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0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0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0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0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0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0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0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0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0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0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0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0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0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0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0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0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0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0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0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0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0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0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0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0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0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0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5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0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5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0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0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0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0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0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0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0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0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0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0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0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0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0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0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0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0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0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0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0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0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0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0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0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0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0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0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0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0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0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0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0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0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0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0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07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0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07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0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0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0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0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0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0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0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0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38.25" hidden="1" thickBot="1" x14ac:dyDescent="0.3">
      <c r="A376" s="70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38.25" hidden="1" thickBot="1" x14ac:dyDescent="0.3">
      <c r="A377" s="70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0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0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0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0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0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0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0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0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0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0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0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0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0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0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0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0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0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0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0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0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0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0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0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0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07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0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07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0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0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0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0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0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0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23" t="s">
        <v>133</v>
      </c>
      <c r="J420" s="723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0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0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0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19.5" hidden="1" thickBot="1" x14ac:dyDescent="0.3">
      <c r="A424" s="70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0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0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38.2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0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0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0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0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0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0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0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0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0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0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0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0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0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0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0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0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0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0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0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04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0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04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38.25" hidden="1" thickBot="1" x14ac:dyDescent="0.3">
      <c r="A453" s="70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38.25" hidden="1" thickBot="1" x14ac:dyDescent="0.3">
      <c r="A454" s="70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0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0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0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0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0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0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0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0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0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0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0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0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0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0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0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0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0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0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0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0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0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0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0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0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0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0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0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0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0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0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0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07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0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07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0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0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0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22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0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22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0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22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0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22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0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22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0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0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0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0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0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0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0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0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0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0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0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0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0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0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19.5" hidden="1" thickBot="1" x14ac:dyDescent="0.3">
      <c r="A523" s="70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0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0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0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0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0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0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0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0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0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0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0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0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0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0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0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0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0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0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38.25" hidden="1" thickBot="1" x14ac:dyDescent="0.3">
      <c r="A548" s="70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38.25" hidden="1" thickBot="1" x14ac:dyDescent="0.3">
      <c r="A549" s="70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38.25" hidden="1" thickBot="1" x14ac:dyDescent="0.3">
      <c r="A550" s="70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0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0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0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0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04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0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04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19.5" hidden="1" thickBot="1" x14ac:dyDescent="0.3">
      <c r="A559" s="70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19.5" hidden="1" thickBot="1" x14ac:dyDescent="0.3">
      <c r="A560" s="70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0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19.5" hidden="1" thickBot="1" x14ac:dyDescent="0.3">
      <c r="A562" s="70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19.5" hidden="1" thickBot="1" x14ac:dyDescent="0.3">
      <c r="A563" s="70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0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0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0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0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0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0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0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0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0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0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0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0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0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0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0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0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0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0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0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0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0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0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0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0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0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0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0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0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07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0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07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0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0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0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0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0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0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0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0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0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0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0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0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0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0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0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0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0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0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0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0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0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0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0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0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0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38.25" hidden="1" thickBot="1" x14ac:dyDescent="0.3">
      <c r="A629" s="70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0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0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0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0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0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0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0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0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0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0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0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0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0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0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38.25" hidden="1" thickBot="1" x14ac:dyDescent="0.3">
      <c r="A651" s="70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0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38.25" hidden="1" thickBot="1" x14ac:dyDescent="0.3">
      <c r="A653" s="70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0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07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0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07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19.5" hidden="1" thickBot="1" x14ac:dyDescent="0.3">
      <c r="A659" s="70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0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19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0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19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0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0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0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0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0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0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0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0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0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0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0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0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0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0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0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0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0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0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0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0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0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0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0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0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0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0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0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0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0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07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0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07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20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20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20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0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0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0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20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20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0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0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0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20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20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0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0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0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0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0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0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19.5" hidden="1" thickBot="1" x14ac:dyDescent="0.3">
      <c r="A719" s="70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19.5" hidden="1" thickBot="1" x14ac:dyDescent="0.3">
      <c r="A720" s="70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19.5" hidden="1" thickBot="1" x14ac:dyDescent="0.3">
      <c r="A721" s="70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19.5" hidden="1" thickBot="1" x14ac:dyDescent="0.3">
      <c r="A722" s="70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19.5" hidden="1" thickBot="1" x14ac:dyDescent="0.3">
      <c r="A723" s="70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19.5" hidden="1" thickBot="1" x14ac:dyDescent="0.3">
      <c r="A724" s="70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19.5" hidden="1" thickBot="1" x14ac:dyDescent="0.3">
      <c r="A725" s="70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19.5" hidden="1" thickBot="1" x14ac:dyDescent="0.3">
      <c r="A726" s="70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0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0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0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0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0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0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0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0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21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0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21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0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0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0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0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0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0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0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0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0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0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0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0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0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0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0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0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33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33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33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33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33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33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0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07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0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07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0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0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0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0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0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0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0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0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0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0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0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19.5" hidden="1" thickBot="1" x14ac:dyDescent="0.3">
      <c r="A779" s="70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38.25" hidden="1" thickBot="1" x14ac:dyDescent="0.3">
      <c r="A780" s="70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19.5" hidden="1" thickBot="1" x14ac:dyDescent="0.3">
      <c r="A781" s="70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0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0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0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0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0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0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0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0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0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0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0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0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0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0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0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0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0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0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0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0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0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0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0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0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0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0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0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04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0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04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38.25" hidden="1" thickBot="1" x14ac:dyDescent="0.3">
      <c r="A817" s="70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0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38.25" hidden="1" thickBot="1" x14ac:dyDescent="0.3">
      <c r="A819" s="70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0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0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0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0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0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0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0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0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0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0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0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0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0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0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0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0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0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0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0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0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0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0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0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0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0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0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0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0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0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0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0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0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0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0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0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0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0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0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0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0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0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0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0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0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0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0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0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0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0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0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0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0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0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0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0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0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0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0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0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0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0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0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0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0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0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0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0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0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0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0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0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0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0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0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0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0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0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0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0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0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0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0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0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0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0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0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0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0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0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0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04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0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04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38.25" hidden="1" thickBot="1" x14ac:dyDescent="0.3">
      <c r="A931" s="70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38.25" hidden="1" thickBot="1" x14ac:dyDescent="0.3">
      <c r="A932" s="70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38.25" hidden="1" thickBot="1" x14ac:dyDescent="0.3">
      <c r="A933" s="70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0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0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0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0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0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0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0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0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0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0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0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0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0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0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0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0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0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19.5" hidden="1" thickBot="1" x14ac:dyDescent="0.3">
      <c r="A954" s="70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18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18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0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0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0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0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0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0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0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0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0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0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0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0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0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0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0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0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0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0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0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0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0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0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0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0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07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0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07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0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0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0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0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0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0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0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0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0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0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0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0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0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0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0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0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0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0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0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0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0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0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0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0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0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0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0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0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0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0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0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0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38.25" hidden="1" thickBot="1" x14ac:dyDescent="0.3">
      <c r="A1021" s="70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38.25" hidden="1" thickBot="1" x14ac:dyDescent="0.3">
      <c r="A1022" s="70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0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0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0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0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0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0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0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0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07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0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07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0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0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0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0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0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0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0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0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0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0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0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0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0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0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0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0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0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75.75" hidden="1" thickBot="1" x14ac:dyDescent="0.3">
      <c r="A1057" s="70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0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0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0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0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0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0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0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0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0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0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0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0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0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0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0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0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0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0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0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0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04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0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04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0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0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0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0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0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0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0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0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0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0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38.25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0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0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0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0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0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0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0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0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0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57" hidden="1" thickBot="1" x14ac:dyDescent="0.3">
      <c r="A1115" s="70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0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0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19.5" hidden="1" thickBot="1" x14ac:dyDescent="0.3">
      <c r="A1118" s="70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19.5" hidden="1" thickBot="1" x14ac:dyDescent="0.3">
      <c r="A1119" s="70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19.5" hidden="1" thickBot="1" x14ac:dyDescent="0.3">
      <c r="A1120" s="70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0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04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0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04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38.25" hidden="1" thickBot="1" x14ac:dyDescent="0.3">
      <c r="A1125" s="70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0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0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0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0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0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0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0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0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0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0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0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0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0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0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0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0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0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0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0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0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0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0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0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0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0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0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0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0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0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0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04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0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04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38.25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0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0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0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0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0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0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0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0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0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0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0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0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0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0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0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0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0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0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0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0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0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0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0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0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0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0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04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0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04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0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0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0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0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0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0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0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0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0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0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0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0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0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0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0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0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0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0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0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0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0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0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0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0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0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0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0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0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0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0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0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0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0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0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0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0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04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0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04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0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0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38.25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0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0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0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0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0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0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0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0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0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0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0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0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0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0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0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0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0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0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0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0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0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0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0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0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0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0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0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07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0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07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0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0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0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0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0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0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0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0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0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0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0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0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0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0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0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0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0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0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0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0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0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0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0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0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0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0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38.25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0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17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0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17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0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0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0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0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0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0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0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0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0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0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0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0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0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0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0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0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0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0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0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0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0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0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0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0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0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0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0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07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0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07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0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0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0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0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0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0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0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0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0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0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0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0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0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0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0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07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0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07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0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07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0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07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0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0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0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0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0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0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0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0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0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07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0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07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0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0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0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0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0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0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0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0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0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38.25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0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0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0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0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0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0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0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0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0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0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0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0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0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0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0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0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07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0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07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0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0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0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0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0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0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0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0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0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0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0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0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0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0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0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0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0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0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0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0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04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0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04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0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0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0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0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0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0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0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0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0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0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0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0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0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38.25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0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0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0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0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0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0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0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0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07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0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07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0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0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0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0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0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0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0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0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0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0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0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0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0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0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0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0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0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0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0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0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0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0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0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0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0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0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0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0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0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0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0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0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38.25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0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0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0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0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0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0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0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0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0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0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0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0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0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0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0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04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0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04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0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0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0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0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0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0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0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0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0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0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0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0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0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0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0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0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0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0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0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0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0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0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0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0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0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0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07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0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07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0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0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0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0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0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0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0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0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75.7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0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0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0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0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04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0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04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0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0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0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0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0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0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0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0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0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0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0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0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0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0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0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0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0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38.25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0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0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0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0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0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0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07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0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07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0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0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0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0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0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0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0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0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0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0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0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0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0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0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0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38.25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02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0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0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0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0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0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0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0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0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07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0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07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0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07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0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0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0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0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0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0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0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0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0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0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0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0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04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0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04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0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0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0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0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0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0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0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0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0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0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0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0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0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01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0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01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0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0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0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0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0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0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0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0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01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0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0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0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0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0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07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0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07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38.25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0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0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0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0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0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0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0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0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0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0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0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0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0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0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0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0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0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0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0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0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07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0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07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0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0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0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0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0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0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0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0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0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0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0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02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0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0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0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0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02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0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0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0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0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0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07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0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07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0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0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0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0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0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0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0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0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0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0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0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0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0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0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0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0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0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0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0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0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04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0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04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38.2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38.25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02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0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0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0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0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0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0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0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0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0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0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0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0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0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0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0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0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38.25" hidden="1" thickBot="1" x14ac:dyDescent="0.3">
      <c r="A1951" s="70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0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0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0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0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01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0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0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0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0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01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0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0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0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0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0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0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0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0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0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0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0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0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0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0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0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0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0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0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0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0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07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0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07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02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0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0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0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0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0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0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0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0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0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07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0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07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0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0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0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0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0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0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0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0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0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0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0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0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02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0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0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0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0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04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0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04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02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0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0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0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0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0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38.25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0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0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0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0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0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0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0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0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0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0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0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0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0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0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0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0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01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0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0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0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0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0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0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0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0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0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0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0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0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0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0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0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02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0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0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0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0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0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0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0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0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0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38.25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01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0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0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0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0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0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0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0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0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0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0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0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0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1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14" t="s">
        <v>467</v>
      </c>
      <c r="H2160" s="414" t="s">
        <v>515</v>
      </c>
      <c r="I2160" s="415" t="s">
        <v>516</v>
      </c>
      <c r="J2160" s="715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1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14"/>
      <c r="H2161" s="421" t="s">
        <v>515</v>
      </c>
      <c r="I2161" s="422" t="s">
        <v>516</v>
      </c>
      <c r="J2161" s="715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1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14"/>
      <c r="H2162" s="429" t="s">
        <v>515</v>
      </c>
      <c r="I2162" s="430" t="s">
        <v>516</v>
      </c>
      <c r="J2162" s="715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1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14" t="s">
        <v>467</v>
      </c>
      <c r="H2165" s="414" t="s">
        <v>516</v>
      </c>
      <c r="I2165" s="415" t="s">
        <v>516</v>
      </c>
      <c r="J2165" s="715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1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14"/>
      <c r="H2166" s="429" t="s">
        <v>516</v>
      </c>
      <c r="I2166" s="430" t="s">
        <v>516</v>
      </c>
      <c r="J2166" s="715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0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0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0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0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0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02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0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0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0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75.7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0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0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0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07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0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07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02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0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0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0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04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0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04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38.25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02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16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0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16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0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12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0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12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02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0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0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0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0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0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0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0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0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0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0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0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0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0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0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0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0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0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0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02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0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0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0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0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0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0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0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0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0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0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0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0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0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0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0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0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01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0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0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01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0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0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0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0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0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19.5" hidden="1" thickBot="1" x14ac:dyDescent="0.3">
      <c r="A2290" s="70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0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0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0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0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0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0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0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0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0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0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0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0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0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0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0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0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0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0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38.25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01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0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0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0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0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0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0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0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0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0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0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0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0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0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19.5" hidden="1" thickBot="1" x14ac:dyDescent="0.3">
      <c r="A2345" s="70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19.5" hidden="1" thickBot="1" x14ac:dyDescent="0.3">
      <c r="A2346" s="70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0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0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19.5" hidden="1" thickBot="1" x14ac:dyDescent="0.3">
      <c r="A2349" s="70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19.5" hidden="1" thickBot="1" x14ac:dyDescent="0.3">
      <c r="A2350" s="70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02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0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0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0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03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0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0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0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19.5" hidden="1" thickBot="1" x14ac:dyDescent="0.3">
      <c r="A2376" s="70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0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0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0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0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0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0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0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19.5" hidden="1" thickBot="1" x14ac:dyDescent="0.3">
      <c r="A2387" s="70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0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0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0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19.5" hidden="1" thickBot="1" x14ac:dyDescent="0.3">
      <c r="A2391" s="70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19.5" hidden="1" thickBot="1" x14ac:dyDescent="0.3">
      <c r="A2392" s="70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0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19.5" hidden="1" thickBot="1" x14ac:dyDescent="0.3">
      <c r="A2394" s="70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02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0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0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0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0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0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02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0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0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0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02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0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0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38.25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0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0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19.5" hidden="1" thickBot="1" x14ac:dyDescent="0.3">
      <c r="A2429" s="70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19.5" hidden="1" thickBot="1" x14ac:dyDescent="0.3">
      <c r="A2430" s="70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0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0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0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19.5" hidden="1" thickBot="1" x14ac:dyDescent="0.3">
      <c r="A2434" s="70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19.5" hidden="1" thickBot="1" x14ac:dyDescent="0.3">
      <c r="A2435" s="70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0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0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0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0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0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0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0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0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0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0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0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0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0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0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0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0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0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0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0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0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0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0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0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0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0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0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02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0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0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0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0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0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0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19.5" hidden="1" thickBot="1" x14ac:dyDescent="0.3">
      <c r="A2492" s="70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38.25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75.7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0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0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0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0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0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0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0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0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0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0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02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0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0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0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0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05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0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0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0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19.5" hidden="1" thickBot="1" x14ac:dyDescent="0.3">
      <c r="A2527" s="70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0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0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0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0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0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0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0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0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38.25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01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04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0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04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0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04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0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0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0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0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02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0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0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0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0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0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0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04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0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04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0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0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0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0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0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0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0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0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02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0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0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0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1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1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1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11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0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0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0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07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0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07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0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0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0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0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38.25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01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0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0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0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0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0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0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0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0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0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0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0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0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0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06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0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06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0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0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0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04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0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04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0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0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0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0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0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0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01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0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0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0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0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0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0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0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0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0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0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0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0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0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0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0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0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04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0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04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0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0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0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0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0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0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0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38.25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0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0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0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0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0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0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0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0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0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0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0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0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0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0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0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0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0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0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0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0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0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0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0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0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0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0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0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0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0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0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0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0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0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05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0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0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0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0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0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0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0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0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0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0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0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0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0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38.25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0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0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0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0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0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38.25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38.25" hidden="1" thickBot="1" x14ac:dyDescent="0.3">
      <c r="A2762" s="70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38.25" hidden="1" thickBot="1" x14ac:dyDescent="0.3">
      <c r="A2763" s="70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38.25" hidden="1" thickBot="1" x14ac:dyDescent="0.3">
      <c r="A2764" s="70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38.25" hidden="1" thickBot="1" x14ac:dyDescent="0.3">
      <c r="A2765" s="70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0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0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0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0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0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04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0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04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0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04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0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0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0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0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0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0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0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0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0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0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0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0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0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02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0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0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0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0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0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0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0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0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0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0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0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0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0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0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0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0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0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0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0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0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0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0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0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0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0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0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0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0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0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0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0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0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0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0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0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08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0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08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0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0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02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07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0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07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0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0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0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0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0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0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0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38.25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02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0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0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0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0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0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0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0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0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0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0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0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03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0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0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0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0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0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0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0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04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0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04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0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0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0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0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0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0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0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0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0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0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0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0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0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0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0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0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0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0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0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07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0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07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0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0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0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0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0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0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0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07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0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07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0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0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0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0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0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0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0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38.25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0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0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0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0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0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0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0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0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03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0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0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0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0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0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0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02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0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0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0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0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0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07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0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07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0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0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0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0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0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0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0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0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0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0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0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0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0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0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0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0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0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0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0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0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0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0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0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0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0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0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0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04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0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04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0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04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38.25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02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0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0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0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0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0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0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0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0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0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0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0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0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0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0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0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0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0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0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0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04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0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04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0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04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0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04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0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0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0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0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0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0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0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0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04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0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04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0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04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0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0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0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0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0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0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0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0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0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38.25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0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0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0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0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0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0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0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0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0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0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0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0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0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04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0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0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0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0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0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0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0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0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0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0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0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0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0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0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0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0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0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0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0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0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0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0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0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0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0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0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0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0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0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0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0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0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0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0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0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0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0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0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0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0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0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0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0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0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0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0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0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0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0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0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0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0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0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0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0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0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0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0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0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0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0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0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07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0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07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0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07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0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0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0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0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0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0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0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0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0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0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0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0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0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0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0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0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0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0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0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0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0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0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0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0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0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0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0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0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0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0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0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0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0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0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0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0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0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0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0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0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0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0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06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0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06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0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06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0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06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0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06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0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06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0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0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38.25" hidden="1" thickBot="1" x14ac:dyDescent="0.3">
      <c r="A3225" s="70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38.25" hidden="1" thickBot="1" x14ac:dyDescent="0.3">
      <c r="A3226" s="70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0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0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0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0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0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0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0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0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57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01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0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0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0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0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0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0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0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0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0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0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0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0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0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0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0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0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0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0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0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0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0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0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0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0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0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0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0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0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0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19.5" hidden="1" thickBot="1" x14ac:dyDescent="0.3">
      <c r="A3277" s="70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0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19.5" hidden="1" thickBot="1" x14ac:dyDescent="0.3">
      <c r="A3282" s="70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0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19.5" hidden="1" thickBot="1" x14ac:dyDescent="0.3">
      <c r="A3284" s="70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0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0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19.5" hidden="1" thickBot="1" x14ac:dyDescent="0.3">
      <c r="A3287" s="70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0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0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19.5" hidden="1" thickBot="1" x14ac:dyDescent="0.3">
      <c r="A3290" s="70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0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0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0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0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0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0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0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0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0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0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0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0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0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0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0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0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0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0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0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0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0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0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0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0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0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19.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94.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05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0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0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13.2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02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0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0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0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0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0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0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0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0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0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0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0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0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19.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38.25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0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0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0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0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0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0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0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0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0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0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0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0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0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0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0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0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0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0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0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0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0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0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0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0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07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0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07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0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0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0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0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0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0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0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0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0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0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07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0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07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57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19.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05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0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0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0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0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0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0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0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19.5" hidden="1" thickBot="1" x14ac:dyDescent="0.3">
      <c r="A3410" s="70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19.5" hidden="1" thickBot="1" x14ac:dyDescent="0.3">
      <c r="A3411" s="70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19.5" hidden="1" thickBot="1" x14ac:dyDescent="0.3">
      <c r="A3412" s="70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19.5" hidden="1" thickBot="1" x14ac:dyDescent="0.3">
      <c r="A3413" s="70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0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07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0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07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19.5" hidden="1" thickBot="1" x14ac:dyDescent="0.3">
      <c r="A3416" s="70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19.5" hidden="1" thickBot="1" x14ac:dyDescent="0.3">
      <c r="A3417" s="70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19.5" hidden="1" thickBot="1" x14ac:dyDescent="0.3">
      <c r="A3418" s="70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19.5" hidden="1" thickBot="1" x14ac:dyDescent="0.3">
      <c r="A3419" s="70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19.5" hidden="1" thickBot="1" x14ac:dyDescent="0.3">
      <c r="A3421" s="70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19.5" hidden="1" thickBot="1" x14ac:dyDescent="0.3">
      <c r="A3422" s="70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19.5" hidden="1" thickBot="1" x14ac:dyDescent="0.3">
      <c r="A3423" s="70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19.5" hidden="1" thickBot="1" x14ac:dyDescent="0.3">
      <c r="A3424" s="70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0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0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0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0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19.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0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0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0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0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0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0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0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0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0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0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0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0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0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0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06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0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06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0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06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0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0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0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0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0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0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0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0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0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0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0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0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0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38.25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03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0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0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0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0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0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0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19.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0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04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0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04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0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0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0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0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0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0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0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0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0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0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0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0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0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0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19.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03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0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0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0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0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0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0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0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0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0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04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0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04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0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0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0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0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0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0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0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0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0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0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0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0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0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0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0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0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04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0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04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681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691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682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690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19.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681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691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682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690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682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690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682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690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684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69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681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69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681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691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69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69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681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682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682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682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684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68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68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68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69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681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69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684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69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38.25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681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682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682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682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682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682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684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68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69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69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681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69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684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68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69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69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681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682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682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69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681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682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19.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684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68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68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69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57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684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68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68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681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682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682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682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682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682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684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69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681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691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69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69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681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691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69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69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681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69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684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69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681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682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57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681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69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684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69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681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682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69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684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68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69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19.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684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68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68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68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68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68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681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69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684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68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69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69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681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69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684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69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681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682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682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69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681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691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69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69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684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68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69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681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69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684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68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69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69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19.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681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682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682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682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682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682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68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69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684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69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684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68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69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69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681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682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69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684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68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69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681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682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69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684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68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68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68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684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69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681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682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69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19.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681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682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682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682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38.25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684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68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684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68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68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68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68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68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681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69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681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691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682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690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69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69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681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682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69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68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68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69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681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682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682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681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691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69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69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684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68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68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69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681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69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681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69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684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69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19.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684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68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68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68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68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681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69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681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682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69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684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69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681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69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684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69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681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691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69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69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684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68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681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682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69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684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69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681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69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684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69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681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69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38.25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681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682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19.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686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68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68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68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68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68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681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69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681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69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684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68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68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69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681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682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682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682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682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69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681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69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684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68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68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69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38.25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684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68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68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68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68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68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681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69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681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691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69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69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684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68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69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681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682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682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69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684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68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69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681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691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682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690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69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69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684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68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69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69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681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69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38.25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19.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684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69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681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682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682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682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682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682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684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69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681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69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684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68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69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681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682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682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69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684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69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681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691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69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69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681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69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684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68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69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684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69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681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682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19.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38.25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684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68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684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68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68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68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68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681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69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681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682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684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68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69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69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681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682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682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682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682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682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69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684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68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68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68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681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682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69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75.7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681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69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684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69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681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682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69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681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69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698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69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0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38.25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681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682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682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682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682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69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19.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684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69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681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682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69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684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69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681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69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681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69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684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68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68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681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682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683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684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68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681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691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683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692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681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682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19.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684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68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68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68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681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682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682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682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682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684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68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681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683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681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682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683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684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68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681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682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682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684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68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68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68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68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68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684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68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684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68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68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19.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681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682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683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684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68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68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68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68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681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683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684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68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68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681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682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682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683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684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68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681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682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682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683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681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683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684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68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68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19.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681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683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38.25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684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68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68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68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68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681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683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684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68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68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681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683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684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68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681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683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681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682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683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681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683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684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68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38.25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684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68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68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681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682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682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682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683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19.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681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682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684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68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684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68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684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68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681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682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683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684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68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68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68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681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682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683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681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691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683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692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684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68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68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684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68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68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681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682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682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683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681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683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38.25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684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68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68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68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68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68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68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68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681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682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683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19.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681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683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684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68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68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681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683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684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68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68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684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68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68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68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681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683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684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68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68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684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68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681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683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684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68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19.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681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683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684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68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68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68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68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681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682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683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681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691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682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690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682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690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683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692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684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68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681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683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681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683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684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68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68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681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683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684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68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68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68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38.25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684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68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684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68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68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68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68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68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681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682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684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68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68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19.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681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683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681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682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683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684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68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68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681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682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683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684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68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68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684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68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681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683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38.25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38.25" hidden="1" thickBot="1" x14ac:dyDescent="0.3">
      <c r="A4384" s="68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38.25" hidden="1" thickBot="1" x14ac:dyDescent="0.3">
      <c r="A4385" s="68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38.25" hidden="1" thickBot="1" x14ac:dyDescent="0.3">
      <c r="A4386" s="68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38.25" hidden="1" thickBot="1" x14ac:dyDescent="0.3">
      <c r="A4387" s="681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38.25" hidden="1" thickBot="1" x14ac:dyDescent="0.3">
      <c r="A4388" s="682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38.25" hidden="1" thickBot="1" x14ac:dyDescent="0.3">
      <c r="A4389" s="682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38.25" hidden="1" thickBot="1" x14ac:dyDescent="0.3">
      <c r="A4390" s="683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38.25" hidden="1" thickBot="1" x14ac:dyDescent="0.3">
      <c r="A4391" s="68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68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38.25" hidden="1" thickBot="1" x14ac:dyDescent="0.3">
      <c r="A4392" s="68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68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681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682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683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684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68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681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682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682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682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684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68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19.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681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683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684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68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68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38.25" hidden="1" thickBot="1" x14ac:dyDescent="0.3">
      <c r="A4419" s="68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681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683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68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68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68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68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681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683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68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68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681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682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682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683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681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683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681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682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682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683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684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68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684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68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681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682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683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684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68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68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57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57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684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68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68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684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68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68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681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683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19.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38.25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681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682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682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683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684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68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68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68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681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683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684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68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681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683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684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68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681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683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681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682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683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684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68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681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683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684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68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68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681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682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683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684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68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681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683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19.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681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682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684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68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68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681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682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683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681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683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681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683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684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68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681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683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684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68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681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682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683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684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68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68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684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68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68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681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683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684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68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68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19.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681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691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682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690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683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692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684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68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68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75.7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684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68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684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68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681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682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683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681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683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684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68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681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682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682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683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681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683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681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691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683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692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684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68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19.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684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68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684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68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681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682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682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683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684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68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681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683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681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683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681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682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683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684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68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68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681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683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684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68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68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681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683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684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68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681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683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19.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38.25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684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68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68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682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682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684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68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681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683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684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68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68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68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681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683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684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68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681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683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681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691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683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692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681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682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683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684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68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68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681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682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683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19.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684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68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684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68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681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682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684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68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681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683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684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68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68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68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68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68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68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68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684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68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68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684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68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68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68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681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682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681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682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683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684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68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68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681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691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683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692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681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683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684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68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684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68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68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68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681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691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682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690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684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68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684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68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681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683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684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68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681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691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683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692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681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682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683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684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68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68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684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68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68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68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681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683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681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682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19.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681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683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684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68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68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68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681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683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684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68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681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683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684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68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68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68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68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68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681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683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681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691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683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692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684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68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681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682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682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683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684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68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68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68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681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683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684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68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681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683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684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68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19.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681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691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683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692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684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68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68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681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683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681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691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683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692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684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68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68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68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681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683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57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684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68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68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681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682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682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683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684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68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681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683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684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68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681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691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683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692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684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68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684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68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68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681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691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682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690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684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68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684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68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68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681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682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683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57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681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683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57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681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683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684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68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68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68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681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691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683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692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681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683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684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68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68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68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19.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681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682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682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684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68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681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683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684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68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681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69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683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692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684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68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681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683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684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68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68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68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57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681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683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684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68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68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681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683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684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68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68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19.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684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68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68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68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681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682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684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68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68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681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683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681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682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683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684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68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68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684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68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68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68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684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68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68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68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681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682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38.25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681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682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683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684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68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68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681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683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684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68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19.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684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68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68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68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684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68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68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681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683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684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68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68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68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681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683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684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68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68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681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691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682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690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682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690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684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68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68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68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682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682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682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682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682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682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19.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681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682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684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68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681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691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682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69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682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682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682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19.5" hidden="1" thickBot="1" x14ac:dyDescent="0.3">
      <c r="A5070" s="684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68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681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682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683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684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68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681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683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681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683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684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68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68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68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68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68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681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682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684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68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68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68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684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68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68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68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684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68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68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681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682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683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19.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681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691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682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690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682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690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682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690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684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68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681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691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683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692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681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683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684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68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68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681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691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683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692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684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68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681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682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682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683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684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68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681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691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683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692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684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68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68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19.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684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68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681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682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682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684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68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684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68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68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68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57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684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68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684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68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38.25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681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682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682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683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684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68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68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681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683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684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68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681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683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19.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681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691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682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690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684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68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68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68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681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691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683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692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681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683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681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691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683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692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681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682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683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684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68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681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683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684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68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68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68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684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68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68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681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682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682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683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684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68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68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681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682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19.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681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691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683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692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684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68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681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682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682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684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68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681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682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683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684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68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681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683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94.5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684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68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681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683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681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683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684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68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68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681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683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684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68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19.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684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687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68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68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681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682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682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684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68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681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682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682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683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684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68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68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68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68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681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683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684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68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68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681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682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682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683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684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68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681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683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19.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681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682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681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691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682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690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682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690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682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690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682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690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684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685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684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68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68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685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684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68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68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685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681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683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684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68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685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681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682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683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681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682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683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684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685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19.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684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687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685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688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684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687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68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68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68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68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68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68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681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683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684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685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681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683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681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683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684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685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684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68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68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685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682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682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684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685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682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690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682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690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684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68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681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691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683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692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19.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684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68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681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691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682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690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684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685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681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683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684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685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681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683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684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685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681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691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683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692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681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683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684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685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681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683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684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685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38.25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19.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681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682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683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9.5" hidden="1" thickBot="1" x14ac:dyDescent="0.3">
      <c r="A5452" s="684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685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9.5" hidden="1" thickBot="1" x14ac:dyDescent="0.3">
      <c r="A5455" s="684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685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9.5" hidden="1" thickBot="1" x14ac:dyDescent="0.3">
      <c r="A5464" s="684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9.5" hidden="1" thickBot="1" x14ac:dyDescent="0.3">
      <c r="A5465" s="68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9.5" hidden="1" thickBot="1" x14ac:dyDescent="0.3">
      <c r="A5466" s="68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9.5" hidden="1" thickBot="1" x14ac:dyDescent="0.3">
      <c r="A5467" s="681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683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9.5" hidden="1" thickBot="1" x14ac:dyDescent="0.3">
      <c r="A5470" s="681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19.5" hidden="1" thickBot="1" x14ac:dyDescent="0.3">
      <c r="A5471" s="683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9.5" hidden="1" thickBot="1" x14ac:dyDescent="0.3">
      <c r="A5472" s="684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7" hidden="1" thickBot="1" x14ac:dyDescent="0.3">
      <c r="A5473" s="68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685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</row>
    <row r="5476" spans="1:14" ht="19.5" hidden="1" thickBot="1" x14ac:dyDescent="0.3">
      <c r="A5476" s="684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</row>
    <row r="5477" spans="1:14" ht="19.5" hidden="1" thickBot="1" x14ac:dyDescent="0.3">
      <c r="A5477" s="68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</row>
    <row r="5478" spans="1:14" ht="19.5" hidden="1" thickBot="1" x14ac:dyDescent="0.3">
      <c r="A5478" s="685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</row>
    <row r="5479" spans="1:14" ht="19.5" hidden="1" thickBot="1" x14ac:dyDescent="0.3">
      <c r="A5479" s="681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</row>
    <row r="5480" spans="1:14" ht="19.5" hidden="1" thickBot="1" x14ac:dyDescent="0.3">
      <c r="A5480" s="682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</row>
    <row r="5481" spans="1:14" ht="19.5" hidden="1" thickBot="1" x14ac:dyDescent="0.3">
      <c r="A5481" s="683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</row>
    <row r="5482" spans="1:14" ht="19.5" hidden="1" thickBot="1" x14ac:dyDescent="0.3">
      <c r="A5482" s="684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</row>
    <row r="5483" spans="1:14" ht="19.5" hidden="1" thickBot="1" x14ac:dyDescent="0.3">
      <c r="A5483" s="68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</row>
    <row r="5484" spans="1:14" ht="19.5" hidden="1" thickBot="1" x14ac:dyDescent="0.3">
      <c r="A5484" s="685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</row>
    <row r="5485" spans="1:14" ht="19.5" hidden="1" thickBot="1" x14ac:dyDescent="0.3">
      <c r="A5485" s="681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</row>
    <row r="5486" spans="1:14" ht="19.5" hidden="1" thickBot="1" x14ac:dyDescent="0.3">
      <c r="A5486" s="682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</row>
    <row r="5487" spans="1:14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</row>
    <row r="5488" spans="1:14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</row>
    <row r="5489" spans="1:14" ht="19.5" hidden="1" thickBot="1" x14ac:dyDescent="0.3">
      <c r="A5489" s="684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687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</row>
    <row r="5490" spans="1:14" ht="19.5" hidden="1" thickBot="1" x14ac:dyDescent="0.3">
      <c r="A5490" s="685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688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</row>
    <row r="5491" spans="1:14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</row>
    <row r="5492" spans="1:14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</row>
    <row r="5493" spans="1:14" ht="19.5" hidden="1" thickBot="1" x14ac:dyDescent="0.3">
      <c r="A5493" s="681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</row>
    <row r="5494" spans="1:14" ht="19.5" hidden="1" thickBot="1" x14ac:dyDescent="0.3">
      <c r="A5494" s="682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</row>
    <row r="5495" spans="1:14" ht="19.5" hidden="1" thickBot="1" x14ac:dyDescent="0.3">
      <c r="A5495" s="683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2" si="158">RIGHT(I5495,5)</f>
        <v>01,26</v>
      </c>
      <c r="L5495" s="649" t="s">
        <v>28</v>
      </c>
      <c r="M5495" s="649">
        <v>1500</v>
      </c>
      <c r="N5495" s="653">
        <v>0.41666666666666669</v>
      </c>
    </row>
    <row r="5496" spans="1:14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</row>
    <row r="5497" spans="1:14" ht="19.5" hidden="1" thickBot="1" x14ac:dyDescent="0.3">
      <c r="A5497" s="681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</row>
    <row r="5498" spans="1:14" ht="19.5" hidden="1" thickBot="1" x14ac:dyDescent="0.3">
      <c r="A5498" s="683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</row>
    <row r="5499" spans="1:14" ht="19.5" hidden="1" thickBot="1" x14ac:dyDescent="0.3">
      <c r="A5499" s="684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</row>
    <row r="5500" spans="1:14" ht="19.5" hidden="1" thickBot="1" x14ac:dyDescent="0.3">
      <c r="A5500" s="685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</row>
    <row r="5501" spans="1:14" ht="19.5" hidden="1" thickBot="1" x14ac:dyDescent="0.3">
      <c r="A5501" s="681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</row>
    <row r="5502" spans="1:14" ht="19.5" hidden="1" thickBot="1" x14ac:dyDescent="0.3">
      <c r="A5502" s="683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</row>
    <row r="5503" spans="1:14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</row>
    <row r="5504" spans="1:14" ht="19.5" hidden="1" thickBot="1" x14ac:dyDescent="0.3">
      <c r="A5504" s="681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691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</row>
    <row r="5505" spans="1:14" ht="19.5" hidden="1" thickBot="1" x14ac:dyDescent="0.3">
      <c r="A5505" s="683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692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</row>
    <row r="5506" spans="1:14" ht="19.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</row>
    <row r="5507" spans="1:14" ht="19.5" hidden="1" thickBot="1" x14ac:dyDescent="0.3">
      <c r="A5507" s="681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</row>
    <row r="5508" spans="1:14" ht="19.5" hidden="1" thickBot="1" x14ac:dyDescent="0.3">
      <c r="A5508" s="683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</row>
    <row r="5509" spans="1:14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</row>
    <row r="5510" spans="1:14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</row>
    <row r="5511" spans="1:14" ht="19.5" hidden="1" thickBot="1" x14ac:dyDescent="0.3">
      <c r="A5511" s="684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</row>
    <row r="5512" spans="1:14" ht="19.5" hidden="1" thickBot="1" x14ac:dyDescent="0.3">
      <c r="A5512" s="685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</row>
    <row r="5513" spans="1:14" ht="19.5" hidden="1" thickBot="1" x14ac:dyDescent="0.3">
      <c r="A5513" s="681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</row>
    <row r="5514" spans="1:14" ht="19.5" hidden="1" thickBot="1" x14ac:dyDescent="0.3">
      <c r="A5514" s="683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</row>
    <row r="5515" spans="1:14" ht="19.5" hidden="1" thickBot="1" x14ac:dyDescent="0.3">
      <c r="A5515" s="684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687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</row>
    <row r="5516" spans="1:14" ht="19.5" hidden="1" thickBot="1" x14ac:dyDescent="0.3">
      <c r="A5516" s="685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688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</row>
    <row r="5517" spans="1:14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</row>
    <row r="5518" spans="1:14" ht="19.5" hidden="1" thickBot="1" x14ac:dyDescent="0.3">
      <c r="A5518" s="684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</row>
    <row r="5519" spans="1:14" ht="19.5" hidden="1" thickBot="1" x14ac:dyDescent="0.3">
      <c r="A5519" s="68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</row>
    <row r="5520" spans="1:14" ht="57" hidden="1" thickBot="1" x14ac:dyDescent="0.3">
      <c r="A5520" s="68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</row>
    <row r="5521" spans="1:14" ht="19.5" hidden="1" thickBot="1" x14ac:dyDescent="0.3">
      <c r="A5521" s="68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</row>
    <row r="5522" spans="1:14" ht="19.5" hidden="1" thickBot="1" x14ac:dyDescent="0.3">
      <c r="A5522" s="685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</row>
    <row r="5523" spans="1:14" ht="19.5" hidden="1" thickBot="1" x14ac:dyDescent="0.3">
      <c r="A5523" s="681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</row>
    <row r="5524" spans="1:14" ht="19.5" hidden="1" thickBot="1" x14ac:dyDescent="0.3">
      <c r="A5524" s="682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</row>
    <row r="5525" spans="1:14" ht="19.5" hidden="1" thickBot="1" x14ac:dyDescent="0.3">
      <c r="A5525" s="683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</row>
    <row r="5526" spans="1:14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</row>
    <row r="5527" spans="1:14" ht="19.5" hidden="1" thickBot="1" x14ac:dyDescent="0.3">
      <c r="A5527" s="681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</row>
    <row r="5528" spans="1:14" ht="19.5" hidden="1" thickBot="1" x14ac:dyDescent="0.3">
      <c r="A5528" s="682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</row>
    <row r="5529" spans="1:14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</row>
    <row r="5530" spans="1:14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</row>
    <row r="5531" spans="1:14" ht="19.5" hidden="1" thickBot="1" x14ac:dyDescent="0.3">
      <c r="A5531" s="684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687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</row>
    <row r="5532" spans="1:14" ht="19.5" hidden="1" thickBot="1" x14ac:dyDescent="0.3">
      <c r="A5532" s="685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688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</row>
    <row r="5533" spans="1:14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</row>
    <row r="5534" spans="1:14" ht="19.5" hidden="1" thickBot="1" x14ac:dyDescent="0.3">
      <c r="A5534" s="684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687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</row>
    <row r="5535" spans="1:14" ht="19.5" hidden="1" thickBot="1" x14ac:dyDescent="0.3">
      <c r="A5535" s="68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689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</row>
    <row r="5536" spans="1:14" ht="19.5" hidden="1" thickBot="1" x14ac:dyDescent="0.3">
      <c r="A5536" s="68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689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</row>
    <row r="5537" spans="1:14" ht="19.5" hidden="1" thickBot="1" x14ac:dyDescent="0.3">
      <c r="A5537" s="68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689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</row>
    <row r="5538" spans="1:14" ht="19.5" hidden="1" thickBot="1" x14ac:dyDescent="0.3">
      <c r="A5538" s="685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688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</row>
    <row r="5539" spans="1:14" ht="19.5" hidden="1" thickBot="1" x14ac:dyDescent="0.3">
      <c r="A5539" s="681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</row>
    <row r="5540" spans="1:14" ht="19.5" hidden="1" thickBot="1" x14ac:dyDescent="0.3">
      <c r="A5540" s="682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</row>
    <row r="5541" spans="1:14" ht="19.5" hidden="1" thickBot="1" x14ac:dyDescent="0.3">
      <c r="A5541" s="683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</row>
    <row r="5542" spans="1:14" ht="19.5" hidden="1" thickBot="1" x14ac:dyDescent="0.3">
      <c r="A5542" s="684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</row>
    <row r="5543" spans="1:14" ht="19.5" hidden="1" thickBot="1" x14ac:dyDescent="0.3">
      <c r="A5543" s="68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</row>
    <row r="5544" spans="1:14" ht="19.5" hidden="1" thickBot="1" x14ac:dyDescent="0.3">
      <c r="A5544" s="68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</row>
    <row r="5545" spans="1:14" ht="19.5" hidden="1" thickBot="1" x14ac:dyDescent="0.3">
      <c r="A5545" s="68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</row>
    <row r="5546" spans="1:14" ht="19.5" hidden="1" thickBot="1" x14ac:dyDescent="0.3">
      <c r="A5546" s="685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</row>
    <row r="5547" spans="1:14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</row>
    <row r="5548" spans="1:14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</row>
    <row r="5549" spans="1:14" ht="27.75" hidden="1" customHeight="1" x14ac:dyDescent="0.25">
      <c r="A5549" s="681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691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</row>
    <row r="5550" spans="1:14" ht="27.75" hidden="1" customHeight="1" thickBot="1" x14ac:dyDescent="0.3">
      <c r="A5550" s="683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692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</row>
    <row r="5551" spans="1:14" ht="19.5" hidden="1" thickBot="1" x14ac:dyDescent="0.3">
      <c r="A5551" s="68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</row>
    <row r="5552" spans="1:14" ht="19.5" hidden="1" thickBot="1" x14ac:dyDescent="0.3">
      <c r="A5552" s="685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</row>
    <row r="5553" spans="1:14" x14ac:dyDescent="0.25">
      <c r="A5553" s="681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79"/>
      <c r="L5553" s="483" t="s">
        <v>28</v>
      </c>
      <c r="M5553" s="483">
        <v>4014.96</v>
      </c>
      <c r="N5553" s="486">
        <v>0.5</v>
      </c>
    </row>
    <row r="5554" spans="1:14" x14ac:dyDescent="0.25">
      <c r="A5554" s="682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3"/>
      <c r="L5554" s="527" t="s">
        <v>28</v>
      </c>
      <c r="M5554" s="527">
        <v>4923.2</v>
      </c>
      <c r="N5554" s="530">
        <v>0.5</v>
      </c>
    </row>
    <row r="5555" spans="1:14" ht="19.5" thickBot="1" x14ac:dyDescent="0.3">
      <c r="A5555" s="683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5"/>
      <c r="L5555" s="649" t="s">
        <v>28</v>
      </c>
      <c r="M5555" s="649">
        <v>4802.6799999999994</v>
      </c>
      <c r="N5555" s="653">
        <v>0.5</v>
      </c>
    </row>
    <row r="5556" spans="1:14" ht="19.5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4"/>
      <c r="L5556" s="508" t="s">
        <v>28</v>
      </c>
      <c r="M5556" s="508">
        <v>8870.64</v>
      </c>
      <c r="N5556" s="512">
        <v>0.54166666666666663</v>
      </c>
    </row>
    <row r="5557" spans="1:14" ht="19.5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4"/>
      <c r="L5557" s="518" t="s">
        <v>266</v>
      </c>
      <c r="M5557" s="518">
        <v>18148.900000000001</v>
      </c>
      <c r="N5557" s="522">
        <v>0.41666666666666669</v>
      </c>
    </row>
    <row r="5558" spans="1:14" ht="19.5" thickBot="1" x14ac:dyDescent="0.3">
      <c r="A5558" s="678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2"/>
      <c r="L5558" s="556" t="s">
        <v>266</v>
      </c>
      <c r="M5558" s="556">
        <v>17421.900000000001</v>
      </c>
      <c r="N5558" s="560">
        <v>0.41666666666666669</v>
      </c>
    </row>
    <row r="5559" spans="1:14" ht="19.5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4"/>
      <c r="L5559" s="518" t="s">
        <v>266</v>
      </c>
      <c r="M5559" s="518">
        <v>18067.14</v>
      </c>
      <c r="N5559" s="522">
        <v>0.41666666666666669</v>
      </c>
    </row>
    <row r="5560" spans="1:14" ht="19.5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4"/>
      <c r="L5560" s="508" t="s">
        <v>266</v>
      </c>
      <c r="M5560" s="508">
        <v>17970.34</v>
      </c>
      <c r="N5560" s="512">
        <v>0.45833333333333331</v>
      </c>
    </row>
    <row r="5561" spans="1:14" x14ac:dyDescent="0.25">
      <c r="A5561" s="681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79"/>
      <c r="L5561" s="483" t="s">
        <v>266</v>
      </c>
      <c r="M5561" s="483">
        <v>10775.11</v>
      </c>
      <c r="N5561" s="486">
        <v>0.5</v>
      </c>
    </row>
    <row r="5562" spans="1:14" ht="19.5" thickBot="1" x14ac:dyDescent="0.3">
      <c r="A5562" s="683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5"/>
      <c r="L5562" s="649" t="s">
        <v>266</v>
      </c>
      <c r="M5562" s="649">
        <v>6525</v>
      </c>
      <c r="N5562" s="653">
        <v>0.5</v>
      </c>
    </row>
    <row r="5563" spans="1:14" ht="19.5" thickBot="1" x14ac:dyDescent="0.3">
      <c r="A5563" s="679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2"/>
      <c r="L5563" s="556" t="s">
        <v>266</v>
      </c>
      <c r="M5563" s="556">
        <v>10156.560000000001</v>
      </c>
      <c r="N5563" s="560">
        <v>0.54166666666666663</v>
      </c>
    </row>
    <row r="5564" spans="1:14" x14ac:dyDescent="0.25">
      <c r="A5564" s="681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79"/>
      <c r="L5564" s="483" t="s">
        <v>265</v>
      </c>
      <c r="M5564" s="483">
        <v>11200.539999999999</v>
      </c>
      <c r="N5564" s="486">
        <v>0.375</v>
      </c>
    </row>
    <row r="5565" spans="1:14" ht="19.5" thickBot="1" x14ac:dyDescent="0.3">
      <c r="A5565" s="683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5"/>
      <c r="L5565" s="649" t="s">
        <v>265</v>
      </c>
      <c r="M5565" s="649">
        <v>6001.119999999999</v>
      </c>
      <c r="N5565" s="653">
        <v>0.375</v>
      </c>
    </row>
    <row r="5566" spans="1:14" ht="19.5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4"/>
      <c r="L5566" s="508" t="s">
        <v>265</v>
      </c>
      <c r="M5566" s="508">
        <v>17696.570000000003</v>
      </c>
      <c r="N5566" s="512">
        <v>0.41666666666666669</v>
      </c>
    </row>
    <row r="5567" spans="1:14" ht="19.5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4"/>
      <c r="L5567" s="518" t="s">
        <v>265</v>
      </c>
      <c r="M5567" s="518">
        <v>17749.739999999998</v>
      </c>
      <c r="N5567" s="522">
        <v>0.375</v>
      </c>
    </row>
    <row r="5568" spans="1:14" ht="19.5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4"/>
      <c r="L5568" s="508" t="s">
        <v>265</v>
      </c>
      <c r="M5568" s="508">
        <v>11049.6</v>
      </c>
      <c r="N5568" s="512">
        <v>0.375</v>
      </c>
    </row>
    <row r="5569" spans="1:14" ht="19.5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4"/>
      <c r="L5569" s="518" t="s">
        <v>265</v>
      </c>
      <c r="M5569" s="518">
        <v>12942.6</v>
      </c>
      <c r="N5569" s="522">
        <v>0.41666666666666669</v>
      </c>
    </row>
    <row r="5570" spans="1:14" x14ac:dyDescent="0.25">
      <c r="A5570" s="684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1"/>
      <c r="L5570" s="535" t="s">
        <v>28</v>
      </c>
      <c r="M5570" s="535">
        <v>7087.78</v>
      </c>
      <c r="N5570" s="539">
        <v>0.41666666666666669</v>
      </c>
    </row>
    <row r="5571" spans="1:14" x14ac:dyDescent="0.25">
      <c r="A5571" s="68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3"/>
      <c r="L5571" s="567" t="s">
        <v>28</v>
      </c>
      <c r="M5571" s="567">
        <v>2183.4000000000005</v>
      </c>
      <c r="N5571" s="571">
        <v>0.41666666666666669</v>
      </c>
    </row>
    <row r="5572" spans="1:14" ht="19.5" thickBot="1" x14ac:dyDescent="0.3">
      <c r="A5572" s="685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36"/>
      <c r="L5572" s="640" t="s">
        <v>28</v>
      </c>
      <c r="M5572" s="640">
        <v>8039.09</v>
      </c>
      <c r="N5572" s="644">
        <v>0.41666666666666669</v>
      </c>
    </row>
    <row r="5573" spans="1:14" x14ac:dyDescent="0.25">
      <c r="A5573" s="681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79"/>
      <c r="L5573" s="483" t="s">
        <v>28</v>
      </c>
      <c r="M5573" s="483">
        <v>11630.26</v>
      </c>
      <c r="N5573" s="486">
        <v>0.45833333333333331</v>
      </c>
    </row>
    <row r="5574" spans="1:14" ht="19.5" thickBot="1" x14ac:dyDescent="0.3">
      <c r="A5574" s="683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5"/>
      <c r="L5574" s="649" t="s">
        <v>28</v>
      </c>
      <c r="M5574" s="649">
        <v>5785.2</v>
      </c>
      <c r="N5574" s="653">
        <v>0.45833333333333331</v>
      </c>
    </row>
    <row r="5575" spans="1:14" x14ac:dyDescent="0.25">
      <c r="A5575" s="684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1"/>
      <c r="L5575" s="535" t="s">
        <v>28</v>
      </c>
      <c r="M5575" s="535">
        <v>6120.4800000000014</v>
      </c>
      <c r="N5575" s="539">
        <v>0.5</v>
      </c>
    </row>
    <row r="5576" spans="1:14" ht="19.5" thickBot="1" x14ac:dyDescent="0.3">
      <c r="A5576" s="685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36"/>
      <c r="L5576" s="640" t="s">
        <v>28</v>
      </c>
      <c r="M5576" s="640">
        <v>11037.220000000001</v>
      </c>
      <c r="N5576" s="644">
        <v>0.5</v>
      </c>
    </row>
    <row r="5577" spans="1:14" x14ac:dyDescent="0.25">
      <c r="A5577" s="681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79"/>
      <c r="L5577" s="483" t="s">
        <v>265</v>
      </c>
      <c r="M5577" s="483">
        <v>15673.199999999999</v>
      </c>
      <c r="N5577" s="486">
        <v>0.375</v>
      </c>
    </row>
    <row r="5578" spans="1:14" ht="19.5" thickBot="1" x14ac:dyDescent="0.3">
      <c r="A5578" s="682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5"/>
      <c r="L5578" s="499" t="s">
        <v>266</v>
      </c>
      <c r="M5578" s="499">
        <v>1906.5600000000004</v>
      </c>
      <c r="N5578" s="502">
        <v>0.375</v>
      </c>
    </row>
    <row r="5579" spans="1:14" ht="19.5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4"/>
      <c r="L5579" s="508" t="s">
        <v>265</v>
      </c>
      <c r="M5579" s="508">
        <v>12598.199999999997</v>
      </c>
      <c r="N5579" s="512">
        <v>0.375</v>
      </c>
    </row>
    <row r="5580" spans="1:14" ht="19.5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4"/>
      <c r="L5580" s="518" t="s">
        <v>28</v>
      </c>
      <c r="M5580" s="518">
        <v>8971.32</v>
      </c>
      <c r="N5580" s="522">
        <v>0.41666666666666669</v>
      </c>
    </row>
    <row r="5581" spans="1:14" ht="38.25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4"/>
      <c r="L5581" s="508" t="s">
        <v>266</v>
      </c>
      <c r="M5581" s="508">
        <v>14017.2</v>
      </c>
      <c r="N5581" s="512">
        <v>0.41666666666666669</v>
      </c>
    </row>
    <row r="5582" spans="1:14" ht="38.25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4"/>
      <c r="L5582" s="518" t="s">
        <v>28</v>
      </c>
      <c r="M5582" s="518">
        <v>10692.560000000001</v>
      </c>
      <c r="N5582" s="522">
        <v>0.45833333333333331</v>
      </c>
    </row>
    <row r="5583" spans="1:14" ht="19.5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4"/>
      <c r="L5583" s="508" t="s">
        <v>265</v>
      </c>
      <c r="M5583" s="508">
        <v>17759.920000000002</v>
      </c>
      <c r="N5583" s="512">
        <v>0.375</v>
      </c>
    </row>
    <row r="5584" spans="1:14" x14ac:dyDescent="0.25">
      <c r="A5584" s="681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79"/>
      <c r="L5584" s="483" t="s">
        <v>266</v>
      </c>
      <c r="M5584" s="483">
        <v>3929.42</v>
      </c>
      <c r="N5584" s="486">
        <v>0.41666666666666669</v>
      </c>
    </row>
    <row r="5585" spans="1:14" x14ac:dyDescent="0.25">
      <c r="A5585" s="682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3"/>
      <c r="L5585" s="527" t="s">
        <v>28</v>
      </c>
      <c r="M5585" s="527">
        <v>1657.8299999999997</v>
      </c>
      <c r="N5585" s="530">
        <v>0.41666666666666669</v>
      </c>
    </row>
    <row r="5586" spans="1:14" x14ac:dyDescent="0.25">
      <c r="A5586" s="682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3"/>
      <c r="L5586" s="527" t="s">
        <v>28</v>
      </c>
      <c r="M5586" s="527">
        <v>2325</v>
      </c>
      <c r="N5586" s="530">
        <v>0.41666666666666669</v>
      </c>
    </row>
    <row r="5587" spans="1:14" ht="19.5" thickBot="1" x14ac:dyDescent="0.3">
      <c r="A5587" s="683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5"/>
      <c r="L5587" s="649" t="s">
        <v>28</v>
      </c>
      <c r="M5587" s="649">
        <v>9985.5000000000018</v>
      </c>
      <c r="N5587" s="653">
        <v>0.41666666666666669</v>
      </c>
    </row>
    <row r="5588" spans="1:14" x14ac:dyDescent="0.25">
      <c r="A5588" s="684">
        <f t="shared" ref="A5588:A5620" si="161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1"/>
      <c r="L5588" s="535" t="s">
        <v>266</v>
      </c>
      <c r="M5588" s="535">
        <v>14195.099999999999</v>
      </c>
      <c r="N5588" s="539">
        <v>0.45833333333333331</v>
      </c>
    </row>
    <row r="5589" spans="1:14" ht="19.5" thickBot="1" x14ac:dyDescent="0.3">
      <c r="A5589" s="685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36"/>
      <c r="L5589" s="640" t="s">
        <v>28</v>
      </c>
      <c r="M5589" s="640">
        <v>2917.7400000000002</v>
      </c>
      <c r="N5589" s="644">
        <v>0.45833333333333331</v>
      </c>
    </row>
    <row r="5590" spans="1:14" x14ac:dyDescent="0.25">
      <c r="A5590" s="681">
        <f t="shared" si="161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79"/>
      <c r="L5590" s="483" t="s">
        <v>28</v>
      </c>
      <c r="M5590" s="483">
        <v>7906.56</v>
      </c>
      <c r="N5590" s="486">
        <v>0.5</v>
      </c>
    </row>
    <row r="5591" spans="1:14" x14ac:dyDescent="0.25">
      <c r="A5591" s="682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3"/>
      <c r="L5591" s="527" t="s">
        <v>28</v>
      </c>
      <c r="M5591" s="527">
        <v>5870.1600000000008</v>
      </c>
      <c r="N5591" s="530">
        <v>0.5</v>
      </c>
    </row>
    <row r="5592" spans="1:14" ht="19.5" thickBot="1" x14ac:dyDescent="0.3">
      <c r="A5592" s="683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5"/>
      <c r="L5592" s="649" t="s">
        <v>28</v>
      </c>
      <c r="M5592" s="649">
        <v>3555.46</v>
      </c>
      <c r="N5592" s="653">
        <v>0.5</v>
      </c>
    </row>
    <row r="5593" spans="1:14" x14ac:dyDescent="0.25">
      <c r="A5593" s="684">
        <f t="shared" si="161"/>
        <v>3180</v>
      </c>
      <c r="B5593" s="531" t="s">
        <v>1223</v>
      </c>
      <c r="C5593" s="532" t="s">
        <v>587</v>
      </c>
      <c r="D5593" s="533">
        <v>7.1360000000000001</v>
      </c>
      <c r="E5593" s="534"/>
      <c r="F5593" s="535" t="s">
        <v>30</v>
      </c>
      <c r="G5593" s="536" t="s">
        <v>23</v>
      </c>
      <c r="H5593" s="535" t="s">
        <v>1227</v>
      </c>
      <c r="I5593" s="537"/>
      <c r="J5593" s="538"/>
      <c r="K5593" s="531"/>
      <c r="L5593" s="535" t="s">
        <v>28</v>
      </c>
      <c r="M5593" s="535">
        <v>7136.8</v>
      </c>
      <c r="N5593" s="539">
        <v>0.41666666666666669</v>
      </c>
    </row>
    <row r="5594" spans="1:14" ht="19.5" thickBot="1" x14ac:dyDescent="0.3">
      <c r="A5594" s="685"/>
      <c r="B5594" s="636" t="s">
        <v>1223</v>
      </c>
      <c r="C5594" s="637" t="s">
        <v>24</v>
      </c>
      <c r="D5594" s="638">
        <v>5.992</v>
      </c>
      <c r="E5594" s="639"/>
      <c r="F5594" s="640" t="s">
        <v>30</v>
      </c>
      <c r="G5594" s="641"/>
      <c r="H5594" s="640" t="s">
        <v>1227</v>
      </c>
      <c r="I5594" s="642"/>
      <c r="J5594" s="643"/>
      <c r="K5594" s="636"/>
      <c r="L5594" s="640" t="s">
        <v>28</v>
      </c>
      <c r="M5594" s="640">
        <v>5992.3200000000006</v>
      </c>
      <c r="N5594" s="644">
        <v>0.41666666666666669</v>
      </c>
    </row>
    <row r="5595" spans="1:14" x14ac:dyDescent="0.25">
      <c r="A5595" s="681">
        <f t="shared" si="161"/>
        <v>3181</v>
      </c>
      <c r="B5595" s="479" t="s">
        <v>1223</v>
      </c>
      <c r="C5595" s="480" t="s">
        <v>15</v>
      </c>
      <c r="D5595" s="481">
        <v>5.2919999999999998</v>
      </c>
      <c r="E5595" s="482"/>
      <c r="F5595" s="483" t="s">
        <v>30</v>
      </c>
      <c r="G5595" s="549"/>
      <c r="H5595" s="483" t="s">
        <v>1227</v>
      </c>
      <c r="I5595" s="484"/>
      <c r="J5595" s="485"/>
      <c r="K5595" s="479"/>
      <c r="L5595" s="483" t="s">
        <v>28</v>
      </c>
      <c r="M5595" s="483">
        <v>5292.56</v>
      </c>
      <c r="N5595" s="486">
        <v>0.45833333333333331</v>
      </c>
    </row>
    <row r="5596" spans="1:14" ht="19.5" thickBot="1" x14ac:dyDescent="0.3">
      <c r="A5596" s="683"/>
      <c r="B5596" s="645" t="s">
        <v>1223</v>
      </c>
      <c r="C5596" s="646" t="s">
        <v>23</v>
      </c>
      <c r="D5596" s="647">
        <v>6.4459999999999997</v>
      </c>
      <c r="E5596" s="648"/>
      <c r="F5596" s="649" t="s">
        <v>30</v>
      </c>
      <c r="G5596" s="650"/>
      <c r="H5596" s="649" t="s">
        <v>1227</v>
      </c>
      <c r="I5596" s="651"/>
      <c r="J5596" s="652"/>
      <c r="K5596" s="645"/>
      <c r="L5596" s="649" t="s">
        <v>28</v>
      </c>
      <c r="M5596" s="649">
        <v>6446.24</v>
      </c>
      <c r="N5596" s="653">
        <v>0.45833333333333331</v>
      </c>
    </row>
    <row r="5597" spans="1:14" ht="19.5" thickBot="1" x14ac:dyDescent="0.3">
      <c r="A5597" s="503">
        <f t="shared" si="161"/>
        <v>3182</v>
      </c>
      <c r="B5597" s="504" t="s">
        <v>1223</v>
      </c>
      <c r="C5597" s="505" t="s">
        <v>764</v>
      </c>
      <c r="D5597" s="506">
        <v>7.9690000000000003</v>
      </c>
      <c r="E5597" s="507"/>
      <c r="F5597" s="508" t="s">
        <v>30</v>
      </c>
      <c r="G5597" s="509"/>
      <c r="H5597" s="508" t="s">
        <v>1227</v>
      </c>
      <c r="I5597" s="510"/>
      <c r="J5597" s="511"/>
      <c r="K5597" s="504"/>
      <c r="L5597" s="508" t="s">
        <v>28</v>
      </c>
      <c r="M5597" s="508">
        <v>7969.2</v>
      </c>
      <c r="N5597" s="512">
        <v>0.5</v>
      </c>
    </row>
    <row r="5598" spans="1:14" ht="19.5" thickBot="1" x14ac:dyDescent="0.3">
      <c r="A5598" s="680">
        <f t="shared" si="161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3"/>
      <c r="L5598" s="577" t="s">
        <v>28</v>
      </c>
      <c r="M5598" s="577">
        <v>11050.04</v>
      </c>
      <c r="N5598" s="581">
        <v>0.54166666666666663</v>
      </c>
    </row>
    <row r="5599" spans="1:14" x14ac:dyDescent="0.25">
      <c r="A5599" s="684">
        <f t="shared" si="161"/>
        <v>3184</v>
      </c>
      <c r="B5599" s="531" t="s">
        <v>1227</v>
      </c>
      <c r="C5599" s="532" t="s">
        <v>23</v>
      </c>
      <c r="D5599" s="533">
        <v>5.7830000000000004</v>
      </c>
      <c r="E5599" s="534"/>
      <c r="F5599" s="535" t="s">
        <v>16</v>
      </c>
      <c r="G5599" s="687" t="s">
        <v>1229</v>
      </c>
      <c r="H5599" s="535" t="s">
        <v>1228</v>
      </c>
      <c r="I5599" s="537"/>
      <c r="J5599" s="538"/>
      <c r="K5599" s="531"/>
      <c r="L5599" s="535" t="s">
        <v>28</v>
      </c>
      <c r="M5599" s="535">
        <v>5868.4800000000005</v>
      </c>
      <c r="N5599" s="539">
        <v>0.41666666666666669</v>
      </c>
    </row>
    <row r="5600" spans="1:14" ht="19.5" thickBot="1" x14ac:dyDescent="0.3">
      <c r="A5600" s="685"/>
      <c r="B5600" s="636" t="s">
        <v>1227</v>
      </c>
      <c r="C5600" s="637" t="s">
        <v>47</v>
      </c>
      <c r="D5600" s="638">
        <v>5.2640000000000002</v>
      </c>
      <c r="E5600" s="639"/>
      <c r="F5600" s="640" t="s">
        <v>16</v>
      </c>
      <c r="G5600" s="688"/>
      <c r="H5600" s="640" t="s">
        <v>1228</v>
      </c>
      <c r="I5600" s="642"/>
      <c r="J5600" s="643"/>
      <c r="K5600" s="636"/>
      <c r="L5600" s="640" t="s">
        <v>28</v>
      </c>
      <c r="M5600" s="640">
        <v>5357.92</v>
      </c>
      <c r="N5600" s="644">
        <v>0.41666666666666669</v>
      </c>
    </row>
    <row r="5601" spans="1:14" ht="19.5" thickBot="1" x14ac:dyDescent="0.3">
      <c r="A5601" s="513">
        <f t="shared" si="161"/>
        <v>3185</v>
      </c>
      <c r="B5601" s="514" t="s">
        <v>1227</v>
      </c>
      <c r="C5601" s="515" t="s">
        <v>44</v>
      </c>
      <c r="D5601" s="516">
        <v>15.457000000000001</v>
      </c>
      <c r="E5601" s="517"/>
      <c r="F5601" s="518" t="s">
        <v>16</v>
      </c>
      <c r="G5601" s="519" t="s">
        <v>1033</v>
      </c>
      <c r="H5601" s="518" t="s">
        <v>1228</v>
      </c>
      <c r="I5601" s="520"/>
      <c r="J5601" s="521"/>
      <c r="K5601" s="514"/>
      <c r="L5601" s="518" t="s">
        <v>266</v>
      </c>
      <c r="M5601" s="518">
        <v>15557.28</v>
      </c>
      <c r="N5601" s="522">
        <v>0.45833333333333331</v>
      </c>
    </row>
    <row r="5602" spans="1:14" x14ac:dyDescent="0.25">
      <c r="A5602" s="684">
        <f t="shared" si="161"/>
        <v>3186</v>
      </c>
      <c r="B5602" s="531" t="s">
        <v>1227</v>
      </c>
      <c r="C5602" s="532" t="s">
        <v>55</v>
      </c>
      <c r="D5602" s="533">
        <v>12.603999999999999</v>
      </c>
      <c r="E5602" s="534"/>
      <c r="F5602" s="535" t="s">
        <v>16</v>
      </c>
      <c r="G5602" s="536" t="s">
        <v>844</v>
      </c>
      <c r="H5602" s="535" t="s">
        <v>1228</v>
      </c>
      <c r="I5602" s="537"/>
      <c r="J5602" s="538"/>
      <c r="K5602" s="531"/>
      <c r="L5602" s="535" t="s">
        <v>266</v>
      </c>
      <c r="M5602" s="535">
        <v>12754.819999999998</v>
      </c>
      <c r="N5602" s="539">
        <v>0.5</v>
      </c>
    </row>
    <row r="5603" spans="1:14" ht="19.5" thickBot="1" x14ac:dyDescent="0.3">
      <c r="A5603" s="686"/>
      <c r="B5603" s="590" t="s">
        <v>1227</v>
      </c>
      <c r="C5603" s="591" t="s">
        <v>55</v>
      </c>
      <c r="D5603" s="592">
        <v>1.6459999999999999</v>
      </c>
      <c r="E5603" s="593"/>
      <c r="F5603" s="594" t="s">
        <v>16</v>
      </c>
      <c r="G5603" s="595" t="s">
        <v>845</v>
      </c>
      <c r="H5603" s="594" t="s">
        <v>1228</v>
      </c>
      <c r="I5603" s="596"/>
      <c r="J5603" s="597"/>
      <c r="K5603" s="590"/>
      <c r="L5603" s="594" t="s">
        <v>266</v>
      </c>
      <c r="M5603" s="594">
        <v>1703.0899999999997</v>
      </c>
      <c r="N5603" s="598">
        <v>0.5</v>
      </c>
    </row>
    <row r="5604" spans="1:14" ht="19.5" thickBot="1" x14ac:dyDescent="0.3">
      <c r="A5604" s="513">
        <f t="shared" si="161"/>
        <v>3187</v>
      </c>
      <c r="B5604" s="514" t="s">
        <v>1230</v>
      </c>
      <c r="C5604" s="515" t="s">
        <v>32</v>
      </c>
      <c r="D5604" s="516">
        <v>17.832999999999998</v>
      </c>
      <c r="E5604" s="517"/>
      <c r="F5604" s="518" t="s">
        <v>16</v>
      </c>
      <c r="G5604" s="519"/>
      <c r="H5604" s="518" t="s">
        <v>1231</v>
      </c>
      <c r="I5604" s="520"/>
      <c r="J5604" s="521"/>
      <c r="K5604" s="514"/>
      <c r="L5604" s="518" t="s">
        <v>266</v>
      </c>
      <c r="M5604" s="518">
        <v>17976.520000000004</v>
      </c>
      <c r="N5604" s="522">
        <v>0.41666666666666669</v>
      </c>
    </row>
    <row r="5605" spans="1:14" ht="19.5" thickBot="1" x14ac:dyDescent="0.3">
      <c r="A5605" s="503">
        <f t="shared" si="161"/>
        <v>3188</v>
      </c>
      <c r="B5605" s="504" t="s">
        <v>1230</v>
      </c>
      <c r="C5605" s="505" t="s">
        <v>32</v>
      </c>
      <c r="D5605" s="506">
        <v>17.917000000000002</v>
      </c>
      <c r="E5605" s="507"/>
      <c r="F5605" s="508" t="s">
        <v>16</v>
      </c>
      <c r="G5605" s="509"/>
      <c r="H5605" s="508" t="s">
        <v>1231</v>
      </c>
      <c r="I5605" s="510"/>
      <c r="J5605" s="511"/>
      <c r="K5605" s="504"/>
      <c r="L5605" s="508" t="s">
        <v>266</v>
      </c>
      <c r="M5605" s="508">
        <v>18027.259999999998</v>
      </c>
      <c r="N5605" s="512">
        <v>0.45833333333333331</v>
      </c>
    </row>
    <row r="5606" spans="1:14" x14ac:dyDescent="0.25">
      <c r="A5606" s="681">
        <f t="shared" si="161"/>
        <v>3189</v>
      </c>
      <c r="B5606" s="479" t="s">
        <v>1230</v>
      </c>
      <c r="C5606" s="480" t="s">
        <v>41</v>
      </c>
      <c r="D5606" s="481">
        <v>13.212</v>
      </c>
      <c r="E5606" s="482"/>
      <c r="F5606" s="483" t="s">
        <v>16</v>
      </c>
      <c r="G5606" s="549"/>
      <c r="H5606" s="483" t="s">
        <v>1231</v>
      </c>
      <c r="I5606" s="484"/>
      <c r="J5606" s="485"/>
      <c r="K5606" s="479"/>
      <c r="L5606" s="483" t="s">
        <v>266</v>
      </c>
      <c r="M5606" s="483">
        <v>13332.490000000002</v>
      </c>
      <c r="N5606" s="486">
        <v>0.5</v>
      </c>
    </row>
    <row r="5607" spans="1:14" ht="19.5" thickBot="1" x14ac:dyDescent="0.3">
      <c r="A5607" s="683"/>
      <c r="B5607" s="645" t="s">
        <v>1230</v>
      </c>
      <c r="C5607" s="646" t="s">
        <v>32</v>
      </c>
      <c r="D5607" s="647">
        <v>4</v>
      </c>
      <c r="E5607" s="648"/>
      <c r="F5607" s="649" t="s">
        <v>16</v>
      </c>
      <c r="G5607" s="650"/>
      <c r="H5607" s="649" t="s">
        <v>1231</v>
      </c>
      <c r="I5607" s="651"/>
      <c r="J5607" s="652"/>
      <c r="K5607" s="645"/>
      <c r="L5607" s="649" t="s">
        <v>266</v>
      </c>
      <c r="M5607" s="649">
        <v>4003.7999999999997</v>
      </c>
      <c r="N5607" s="653">
        <v>0.5</v>
      </c>
    </row>
    <row r="5608" spans="1:14" ht="19.5" thickBot="1" x14ac:dyDescent="0.3">
      <c r="A5608" s="503">
        <f t="shared" si="161"/>
        <v>3190</v>
      </c>
      <c r="B5608" s="504" t="s">
        <v>1230</v>
      </c>
      <c r="C5608" s="505" t="s">
        <v>848</v>
      </c>
      <c r="D5608" s="506">
        <v>18.027999999999999</v>
      </c>
      <c r="E5608" s="507"/>
      <c r="F5608" s="508" t="s">
        <v>16</v>
      </c>
      <c r="G5608" s="509"/>
      <c r="H5608" s="508" t="s">
        <v>1231</v>
      </c>
      <c r="I5608" s="510"/>
      <c r="J5608" s="511"/>
      <c r="K5608" s="504"/>
      <c r="L5608" s="508" t="s">
        <v>266</v>
      </c>
      <c r="M5608" s="508">
        <v>18187.68</v>
      </c>
      <c r="N5608" s="512">
        <v>0.54166666666666663</v>
      </c>
    </row>
    <row r="5609" spans="1:14" x14ac:dyDescent="0.25">
      <c r="A5609" s="676">
        <f t="shared" si="161"/>
        <v>3191</v>
      </c>
      <c r="B5609" s="676"/>
      <c r="C5609" s="473"/>
      <c r="D5609" s="474"/>
      <c r="E5609" s="475"/>
      <c r="F5609" s="676"/>
      <c r="G5609" s="476"/>
      <c r="H5609" s="676"/>
      <c r="I5609" s="477"/>
      <c r="J5609" s="478"/>
      <c r="K5609" s="676"/>
      <c r="L5609" s="676"/>
      <c r="M5609" s="676"/>
      <c r="N5609" s="676"/>
    </row>
    <row r="5610" spans="1:14" x14ac:dyDescent="0.25">
      <c r="A5610" s="676">
        <f t="shared" si="161"/>
        <v>3192</v>
      </c>
      <c r="B5610" s="676"/>
      <c r="C5610" s="473"/>
      <c r="D5610" s="474"/>
      <c r="E5610" s="475"/>
      <c r="F5610" s="676"/>
      <c r="G5610" s="476"/>
      <c r="H5610" s="676"/>
      <c r="I5610" s="477"/>
      <c r="J5610" s="478"/>
      <c r="K5610" s="676"/>
      <c r="L5610" s="676"/>
      <c r="M5610" s="676"/>
      <c r="N5610" s="676"/>
    </row>
    <row r="5611" spans="1:14" x14ac:dyDescent="0.25">
      <c r="A5611" s="676">
        <f t="shared" si="161"/>
        <v>3193</v>
      </c>
      <c r="B5611" s="676"/>
      <c r="C5611" s="473"/>
      <c r="D5611" s="474"/>
      <c r="E5611" s="475"/>
      <c r="F5611" s="676"/>
      <c r="G5611" s="476"/>
      <c r="H5611" s="676"/>
      <c r="I5611" s="477"/>
      <c r="J5611" s="478"/>
      <c r="K5611" s="676"/>
      <c r="L5611" s="676"/>
      <c r="M5611" s="676"/>
      <c r="N5611" s="676"/>
    </row>
    <row r="5612" spans="1:14" x14ac:dyDescent="0.25">
      <c r="A5612" s="676">
        <f t="shared" si="161"/>
        <v>3194</v>
      </c>
      <c r="B5612" s="676"/>
      <c r="C5612" s="473"/>
      <c r="D5612" s="474"/>
      <c r="E5612" s="475"/>
      <c r="F5612" s="676"/>
      <c r="G5612" s="476"/>
      <c r="H5612" s="676"/>
      <c r="I5612" s="477"/>
      <c r="J5612" s="478"/>
      <c r="K5612" s="676"/>
      <c r="L5612" s="676"/>
      <c r="M5612" s="676"/>
      <c r="N5612" s="676"/>
    </row>
    <row r="5613" spans="1:14" x14ac:dyDescent="0.25">
      <c r="A5613" s="676">
        <f t="shared" si="161"/>
        <v>3195</v>
      </c>
      <c r="B5613" s="676"/>
      <c r="C5613" s="473"/>
      <c r="D5613" s="474"/>
      <c r="E5613" s="475"/>
      <c r="F5613" s="676"/>
      <c r="G5613" s="476"/>
      <c r="H5613" s="676"/>
      <c r="I5613" s="477"/>
      <c r="J5613" s="478"/>
      <c r="K5613" s="676"/>
      <c r="L5613" s="676"/>
      <c r="M5613" s="676"/>
      <c r="N5613" s="676"/>
    </row>
    <row r="5614" spans="1:14" x14ac:dyDescent="0.25">
      <c r="A5614" s="676">
        <f t="shared" si="161"/>
        <v>3196</v>
      </c>
      <c r="B5614" s="676"/>
      <c r="C5614" s="473"/>
      <c r="D5614" s="474"/>
      <c r="E5614" s="475"/>
      <c r="F5614" s="676"/>
      <c r="G5614" s="476"/>
      <c r="H5614" s="676"/>
      <c r="I5614" s="477"/>
      <c r="J5614" s="478"/>
      <c r="K5614" s="676"/>
      <c r="L5614" s="676"/>
      <c r="M5614" s="676"/>
      <c r="N5614" s="676"/>
    </row>
    <row r="5615" spans="1:14" x14ac:dyDescent="0.25">
      <c r="A5615" s="676">
        <f t="shared" si="161"/>
        <v>3197</v>
      </c>
      <c r="B5615" s="676"/>
      <c r="C5615" s="473"/>
      <c r="D5615" s="474"/>
      <c r="E5615" s="475"/>
      <c r="F5615" s="676"/>
      <c r="G5615" s="476"/>
      <c r="H5615" s="676"/>
      <c r="I5615" s="477"/>
      <c r="J5615" s="478"/>
      <c r="K5615" s="676"/>
      <c r="L5615" s="676"/>
      <c r="M5615" s="676"/>
      <c r="N5615" s="676"/>
    </row>
    <row r="5616" spans="1:14" x14ac:dyDescent="0.25">
      <c r="A5616" s="676">
        <f t="shared" si="161"/>
        <v>3198</v>
      </c>
      <c r="B5616" s="676"/>
      <c r="C5616" s="473"/>
      <c r="D5616" s="474"/>
      <c r="E5616" s="475"/>
      <c r="F5616" s="676"/>
      <c r="G5616" s="476"/>
      <c r="H5616" s="676"/>
      <c r="I5616" s="477"/>
      <c r="J5616" s="478"/>
      <c r="K5616" s="676"/>
      <c r="L5616" s="676"/>
      <c r="M5616" s="676"/>
      <c r="N5616" s="676"/>
    </row>
    <row r="5617" spans="1:14" x14ac:dyDescent="0.25">
      <c r="A5617" s="676">
        <f t="shared" si="161"/>
        <v>3199</v>
      </c>
      <c r="B5617" s="676"/>
      <c r="C5617" s="473"/>
      <c r="D5617" s="474"/>
      <c r="E5617" s="475"/>
      <c r="F5617" s="676"/>
      <c r="G5617" s="476"/>
      <c r="H5617" s="676"/>
      <c r="I5617" s="477"/>
      <c r="J5617" s="478"/>
      <c r="K5617" s="676"/>
      <c r="L5617" s="676"/>
      <c r="M5617" s="676"/>
      <c r="N5617" s="676"/>
    </row>
    <row r="5618" spans="1:14" x14ac:dyDescent="0.25">
      <c r="A5618" s="676">
        <f t="shared" si="161"/>
        <v>3200</v>
      </c>
      <c r="B5618" s="676"/>
      <c r="C5618" s="473"/>
      <c r="D5618" s="474"/>
      <c r="E5618" s="475"/>
      <c r="F5618" s="676"/>
      <c r="G5618" s="476"/>
      <c r="H5618" s="676"/>
      <c r="I5618" s="477"/>
      <c r="J5618" s="478"/>
      <c r="K5618" s="676"/>
      <c r="L5618" s="676"/>
      <c r="M5618" s="676"/>
      <c r="N5618" s="676"/>
    </row>
    <row r="5619" spans="1:14" x14ac:dyDescent="0.25">
      <c r="A5619" s="676">
        <f t="shared" si="161"/>
        <v>3201</v>
      </c>
      <c r="B5619" s="676"/>
      <c r="C5619" s="473"/>
      <c r="D5619" s="474"/>
      <c r="E5619" s="475"/>
      <c r="F5619" s="676"/>
      <c r="G5619" s="476"/>
      <c r="H5619" s="676"/>
      <c r="I5619" s="477"/>
      <c r="J5619" s="478"/>
      <c r="K5619" s="676"/>
      <c r="L5619" s="676"/>
      <c r="M5619" s="676"/>
      <c r="N5619" s="676"/>
    </row>
    <row r="5620" spans="1:14" x14ac:dyDescent="0.25">
      <c r="A5620" s="676">
        <f t="shared" si="161"/>
        <v>3202</v>
      </c>
      <c r="B5620" s="676"/>
      <c r="C5620" s="473"/>
      <c r="D5620" s="474"/>
      <c r="E5620" s="475"/>
      <c r="F5620" s="676"/>
      <c r="G5620" s="476"/>
      <c r="H5620" s="676"/>
      <c r="I5620" s="477"/>
      <c r="J5620" s="478"/>
      <c r="K5620" s="676"/>
      <c r="L5620" s="676"/>
      <c r="M5620" s="676"/>
      <c r="N5620" s="676"/>
    </row>
  </sheetData>
  <autoFilter ref="A2:N5620" xr:uid="{79D26EB9-2ECC-4189-8AEF-8CA7CBA20027}">
    <filterColumn colId="10">
      <filters blank="1"/>
    </filterColumn>
  </autoFilter>
  <mergeCells count="1678">
    <mergeCell ref="A5606:A5607"/>
    <mergeCell ref="A5599:A5600"/>
    <mergeCell ref="G5599:G5600"/>
    <mergeCell ref="A5602:A5603"/>
    <mergeCell ref="A889:A890"/>
    <mergeCell ref="A5577:A5578"/>
    <mergeCell ref="G5549:G5550"/>
    <mergeCell ref="A5549:A5550"/>
    <mergeCell ref="G5275:G5276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977:A979"/>
    <mergeCell ref="A1026:A1027"/>
    <mergeCell ref="A1115:A1116"/>
    <mergeCell ref="A1117:A1120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833:A835"/>
    <mergeCell ref="A747:A750"/>
    <mergeCell ref="A1023:A1025"/>
    <mergeCell ref="A1028:A1029"/>
    <mergeCell ref="A1087:A1090"/>
    <mergeCell ref="A1092:A1093"/>
    <mergeCell ref="A1096:A1097"/>
    <mergeCell ref="A1102:A1105"/>
    <mergeCell ref="A1106:A1107"/>
    <mergeCell ref="A1110:A1112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925:A928"/>
    <mergeCell ref="A929:A930"/>
    <mergeCell ref="A878:A880"/>
    <mergeCell ref="A884:A886"/>
    <mergeCell ref="A900:A904"/>
    <mergeCell ref="A596:A597"/>
    <mergeCell ref="A801:A802"/>
    <mergeCell ref="A1021:A1022"/>
    <mergeCell ref="A804:A808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2:A13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2:B135"/>
    <mergeCell ref="A137:A138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G983:G984"/>
    <mergeCell ref="A985:A987"/>
    <mergeCell ref="A988:A989"/>
    <mergeCell ref="A990:A992"/>
    <mergeCell ref="A955:A956"/>
    <mergeCell ref="A957:A958"/>
    <mergeCell ref="A937:A938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G1030:G1031"/>
    <mergeCell ref="A1032:A1034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  <mergeCell ref="A5551:A5552"/>
    <mergeCell ref="A5553:A5555"/>
    <mergeCell ref="G5531:G5532"/>
    <mergeCell ref="G5534:G5538"/>
    <mergeCell ref="A5542:A5546"/>
    <mergeCell ref="A5518:A5522"/>
    <mergeCell ref="A5523:A5525"/>
    <mergeCell ref="A5531:A553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2026-01-23T07:38:47Z</cp:lastPrinted>
  <dcterms:created xsi:type="dcterms:W3CDTF">2015-06-05T18:19:34Z</dcterms:created>
  <dcterms:modified xsi:type="dcterms:W3CDTF">2026-01-27T10:54:01Z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