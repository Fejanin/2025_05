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2A00193E-5CF5-4CE2-8B19-BAE5DFEAA41F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Лист1!$A$2:$R$7369</definedName>
    <definedName name="_xlnm.Print_Area" localSheetId="0">Лист1!$A$1:$J$5690</definedName>
  </definedNames>
  <calcPr calcId="191029"/>
</workbook>
</file>

<file path=xl/calcChain.xml><?xml version="1.0" encoding="utf-8"?>
<calcChain xmlns="http://schemas.openxmlformats.org/spreadsheetml/2006/main">
  <c r="A7368" i="1" l="1"/>
  <c r="A7364" i="1" l="1"/>
  <c r="S7335" i="1" l="1"/>
  <c r="S7333" i="1"/>
  <c r="S7334" i="1"/>
  <c r="S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s="1"/>
  <c r="A7184" i="1" s="1"/>
  <c r="A7185" i="1" s="1"/>
  <c r="A7188" i="1" s="1"/>
  <c r="A7191" i="1" s="1"/>
  <c r="A7195" i="1" s="1"/>
  <c r="A7196" i="1" s="1"/>
  <c r="A7199" i="1" s="1"/>
  <c r="A7201" i="1" s="1"/>
  <c r="A7204" i="1" s="1"/>
  <c r="A7206" i="1" s="1"/>
  <c r="A7208" i="1" s="1"/>
  <c r="A7209" i="1" s="1"/>
  <c r="A7211" i="1" s="1"/>
  <c r="A7212" i="1" l="1"/>
  <c r="A7213" i="1" s="1"/>
  <c r="A7214" i="1" s="1"/>
  <c r="A7215" i="1" s="1"/>
  <c r="A7216" i="1" s="1"/>
  <c r="A7218" i="1" s="1"/>
  <c r="A7220" i="1" s="1"/>
  <c r="A7221" i="1" s="1"/>
  <c r="A7223" i="1" s="1"/>
  <c r="A7225" i="1" s="1"/>
  <c r="A7227" i="1" l="1"/>
  <c r="A7229" i="1" s="1"/>
  <c r="A7230" i="1" s="1"/>
  <c r="A7232" i="1" s="1"/>
  <c r="A7235" i="1" s="1"/>
  <c r="A7237" i="1" s="1"/>
  <c r="A7242" i="1" s="1"/>
  <c r="A7244" i="1" s="1"/>
  <c r="A7248" i="1" s="1"/>
  <c r="A7252" i="1" s="1"/>
  <c r="A7256" i="1" s="1"/>
  <c r="A7258" i="1" s="1"/>
  <c r="A7259" i="1" s="1"/>
  <c r="A7262" i="1" l="1"/>
  <c r="A7267" i="1" s="1"/>
  <c r="A7271" i="1" s="1"/>
  <c r="A7273" i="1" s="1"/>
  <c r="A7275" i="1" s="1"/>
  <c r="A7277" i="1" s="1"/>
  <c r="A7278" i="1" s="1"/>
  <c r="A7280" i="1" s="1"/>
  <c r="A7281" i="1" s="1"/>
  <c r="A7283" i="1" s="1"/>
  <c r="A7285" i="1" s="1"/>
  <c r="A7287" i="1" s="1"/>
  <c r="A7288" i="1" s="1"/>
  <c r="A7289" i="1" s="1"/>
  <c r="A7290" i="1" s="1"/>
  <c r="A7293" i="1" s="1"/>
  <c r="A7296" i="1" s="1"/>
  <c r="A7298" i="1" l="1"/>
  <c r="A7301" i="1" s="1"/>
  <c r="A7306" i="1" s="1"/>
  <c r="A7309" i="1" s="1"/>
  <c r="A7310" i="1" s="1"/>
  <c r="A7311" i="1" l="1"/>
  <c r="A7318" i="1" s="1"/>
  <c r="A7321" i="1" l="1"/>
  <c r="A7325" i="1" s="1"/>
  <c r="A7328" i="1" s="1"/>
  <c r="A7330" i="1" s="1"/>
  <c r="A7332" i="1" l="1"/>
  <c r="A7335" i="1" s="1"/>
  <c r="A7337" i="1" s="1"/>
  <c r="A7338" i="1" s="1"/>
  <c r="A7341" i="1" l="1"/>
  <c r="A7343" i="1" l="1"/>
  <c r="A7344" i="1" l="1"/>
  <c r="A7345" i="1" l="1"/>
  <c r="A7346" i="1" l="1"/>
  <c r="A7347" i="1" s="1"/>
  <c r="A7348" i="1" s="1"/>
  <c r="A7349" i="1" s="1"/>
  <c r="A7353" i="1" l="1"/>
  <c r="A7354" i="1" s="1"/>
  <c r="A7355" i="1" l="1"/>
  <c r="A7356" i="1" s="1"/>
  <c r="A7357" i="1" s="1"/>
  <c r="A7358" i="1" s="1"/>
  <c r="A7359" i="1" s="1"/>
  <c r="A7360" i="1" s="1"/>
  <c r="A7361" i="1" l="1"/>
  <c r="A7367" i="1" l="1"/>
  <c r="A7371" i="1" l="1"/>
  <c r="A7372" i="1" l="1"/>
  <c r="A7373" i="1" l="1"/>
  <c r="A7374" i="1"/>
  <c r="A7375" i="1" s="1"/>
  <c r="A7376" i="1" s="1"/>
  <c r="A7377" i="1" s="1"/>
  <c r="A7378" i="1" l="1"/>
  <c r="A7379" i="1" l="1"/>
  <c r="A7380" i="1" s="1"/>
</calcChain>
</file>

<file path=xl/sharedStrings.xml><?xml version="1.0" encoding="utf-8"?>
<sst xmlns="http://schemas.openxmlformats.org/spreadsheetml/2006/main" count="47714" uniqueCount="2869">
  <si>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</si>
  <si>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</si>
  <si>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</si>
  <si>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</si>
  <si>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</si>
  <si>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</si>
  <si>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</si>
  <si>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</si>
  <si>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</si>
  <si>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</si>
  <si>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</si>
  <si>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</si>
  <si>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</si>
  <si>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</si>
  <si>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</si>
  <si>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</si>
  <si>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</si>
  <si>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</si>
  <si>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</si>
  <si>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</si>
  <si>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</si>
  <si>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</si>
  <si>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</si>
  <si>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</si>
  <si>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</si>
  <si>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</si>
  <si>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</si>
  <si>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</si>
  <si>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</si>
  <si>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</si>
  <si>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</si>
  <si>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</si>
  <si>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</si>
  <si>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</si>
  <si>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</si>
  <si>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</si>
  <si>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</si>
  <si>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</si>
  <si>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</si>
  <si>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</si>
  <si>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</si>
  <si>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</si>
  <si>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</si>
  <si>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</si>
  <si>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</si>
  <si>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</si>
  <si>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</si>
  <si>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</si>
  <si>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</si>
  <si>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</si>
  <si>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</si>
  <si>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</si>
  <si>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</si>
  <si>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</si>
  <si>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</si>
  <si>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</si>
  <si>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</si>
  <si>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</si>
  <si>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</si>
  <si>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</si>
  <si>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</si>
  <si>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</si>
  <si>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</si>
  <si>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</si>
  <si>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</si>
  <si>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</si>
  <si>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</si>
  <si>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</si>
  <si>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</si>
  <si>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</si>
  <si>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</si>
  <si>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</si>
  <si>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</si>
  <si>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</si>
  <si>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</si>
  <si>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</si>
  <si>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</si>
  <si>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</si>
  <si>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</si>
  <si>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</si>
  <si>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</si>
  <si>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</si>
  <si>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</si>
  <si>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</si>
  <si>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</si>
  <si>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</si>
  <si>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</si>
  <si>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</si>
  <si>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</si>
  <si>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</si>
  <si>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</si>
  <si>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</si>
  <si>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</si>
  <si>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</si>
  <si>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</si>
  <si>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</si>
  <si>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</si>
  <si>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</si>
  <si>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</si>
  <si>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</si>
  <si>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</si>
  <si>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</si>
  <si>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</si>
  <si>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</si>
  <si>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</si>
  <si>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</si>
  <si>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</si>
  <si>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</si>
  <si>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</si>
  <si>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</si>
  <si>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</si>
  <si>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</si>
  <si>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</si>
  <si>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</si>
  <si>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</si>
  <si>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</si>
  <si>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</si>
  <si>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</si>
  <si>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</si>
  <si>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</si>
  <si>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</si>
  <si>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</si>
  <si>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</si>
  <si>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</si>
  <si>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</si>
  <si>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</si>
  <si>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</si>
  <si>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</si>
  <si>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</si>
  <si>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</si>
  <si>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</si>
  <si>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</si>
  <si>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</si>
  <si>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</si>
  <si>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</si>
  <si>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</si>
  <si>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</si>
  <si>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</si>
  <si>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</si>
  <si>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</si>
  <si>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</si>
  <si>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</si>
  <si>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</si>
  <si>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</si>
  <si>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</si>
  <si>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</si>
  <si>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</si>
  <si>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</si>
  <si>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</si>
  <si>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</si>
  <si>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</si>
  <si>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</si>
  <si>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</si>
  <si>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</si>
  <si>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</si>
  <si>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</si>
  <si>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</si>
  <si>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</si>
  <si>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</si>
  <si>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</si>
  <si>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</si>
  <si>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</si>
  <si>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</si>
  <si>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</si>
  <si>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</si>
  <si>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</si>
  <si>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</si>
  <si>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</si>
  <si>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</si>
  <si>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</si>
  <si>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</si>
  <si>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</si>
  <si>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</si>
  <si>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</si>
  <si>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</si>
  <si>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</si>
  <si>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</si>
  <si>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</si>
  <si>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</si>
  <si>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</si>
  <si>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</si>
  <si>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</si>
  <si>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</si>
  <si>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</si>
  <si>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</si>
  <si>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</si>
  <si>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</si>
  <si>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</si>
  <si>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</si>
  <si>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</si>
  <si>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</si>
  <si>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</si>
  <si>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</si>
  <si>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</si>
  <si>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</si>
  <si>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</si>
  <si>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</si>
  <si>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</si>
  <si>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</si>
  <si>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</si>
  <si>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</si>
  <si>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</si>
  <si>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</si>
  <si>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</si>
  <si>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</si>
  <si>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</si>
  <si>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</si>
  <si>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</si>
  <si>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</si>
  <si>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</si>
  <si>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</si>
  <si>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</si>
  <si>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</si>
  <si>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</si>
  <si>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</si>
  <si>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</si>
  <si>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</si>
  <si>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</si>
  <si>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</si>
  <si>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</si>
  <si>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</si>
  <si>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</si>
  <si>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</si>
  <si>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</si>
  <si>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</si>
  <si>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</si>
  <si>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</si>
  <si>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</si>
  <si>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</si>
  <si>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</si>
  <si>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</si>
  <si>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</si>
  <si>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</si>
  <si>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</si>
  <si>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</si>
  <si>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</si>
  <si>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</si>
  <si>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</si>
  <si>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</si>
  <si>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</si>
  <si>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</si>
  <si>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</si>
  <si>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</si>
  <si>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</si>
  <si>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</si>
  <si>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</si>
  <si>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</si>
  <si>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</si>
  <si>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</si>
  <si>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</si>
  <si>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</si>
  <si>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</si>
  <si>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</si>
  <si>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</si>
  <si>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</si>
  <si>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</si>
  <si>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</si>
  <si>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</si>
  <si>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</si>
  <si>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</si>
  <si>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</si>
  <si>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</si>
  <si>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</si>
  <si>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</si>
  <si>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</si>
  <si>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</si>
  <si>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</si>
  <si>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</si>
  <si>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</si>
  <si>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</si>
  <si>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</si>
  <si>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</si>
  <si>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</si>
  <si>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</si>
  <si>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</si>
  <si>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</si>
  <si>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</si>
  <si>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</si>
  <si>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</si>
  <si>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</si>
  <si>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</si>
  <si>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</si>
  <si>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</si>
  <si>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</si>
  <si>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</si>
  <si>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</si>
  <si>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</si>
  <si>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</si>
  <si>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</si>
  <si>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</si>
  <si>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</si>
  <si>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</si>
  <si>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</si>
  <si>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</si>
  <si>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</si>
  <si>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</si>
  <si>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</si>
  <si>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</si>
  <si>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</si>
  <si>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</si>
  <si>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</si>
  <si>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</si>
  <si>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</si>
  <si>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</si>
  <si>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</si>
  <si>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</si>
  <si>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</si>
  <si>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</si>
  <si>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</si>
  <si>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</si>
  <si>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</si>
  <si>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</si>
  <si>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</si>
  <si>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</si>
  <si>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</si>
  <si>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</si>
  <si>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</si>
  <si>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</si>
  <si>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</si>
  <si>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</si>
  <si>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</si>
  <si>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</si>
  <si>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</si>
  <si>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</si>
  <si>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</si>
  <si>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</si>
  <si>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</si>
  <si>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</si>
  <si>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</si>
  <si>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</si>
  <si>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</si>
  <si>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</si>
  <si>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</si>
  <si>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</si>
  <si>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</si>
  <si>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</si>
  <si>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</si>
  <si>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</si>
  <si>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</si>
  <si>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</si>
  <si>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</si>
  <si>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</si>
  <si>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</si>
  <si>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</si>
  <si>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</si>
  <si>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</si>
  <si>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</si>
  <si>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</si>
  <si>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</si>
  <si>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</si>
  <si>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</si>
  <si>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</si>
  <si>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</si>
  <si>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</si>
  <si>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</si>
  <si>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</si>
  <si>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</si>
  <si>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</si>
  <si>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</si>
  <si>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</si>
  <si>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</si>
  <si>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</si>
  <si>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</si>
  <si>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</si>
  <si>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</si>
  <si>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</si>
  <si>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</si>
  <si>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</si>
  <si>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</si>
  <si>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</si>
  <si>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</si>
  <si>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</si>
  <si>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</si>
  <si>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</si>
  <si>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</si>
  <si>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</si>
  <si>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</si>
  <si>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</si>
  <si>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</si>
  <si>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</si>
  <si>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</si>
  <si>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</si>
  <si>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</si>
  <si>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</si>
  <si>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</si>
  <si>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</si>
  <si>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</si>
  <si>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</si>
  <si>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</si>
  <si>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</si>
  <si>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</si>
  <si>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</si>
  <si>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</si>
  <si>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</si>
  <si>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</si>
  <si>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</si>
  <si>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</si>
  <si>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</si>
  <si>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</si>
  <si>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</si>
  <si>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</si>
  <si>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</si>
  <si>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</si>
  <si>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</si>
  <si>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</si>
  <si>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</si>
  <si>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</si>
  <si>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</si>
  <si>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</si>
  <si>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</si>
  <si>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</si>
  <si>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</si>
  <si>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</si>
  <si>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</si>
  <si>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</si>
  <si>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</si>
  <si>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</si>
  <si>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</si>
  <si>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</si>
  <si>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</si>
  <si>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</si>
  <si>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</si>
  <si>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</si>
  <si>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</si>
  <si>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</si>
  <si>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</si>
  <si>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</si>
  <si>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</si>
  <si>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</si>
  <si>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</si>
  <si>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</si>
  <si>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</si>
  <si>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</si>
  <si>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</si>
  <si>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</si>
  <si>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</si>
  <si>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</si>
  <si>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</si>
  <si>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</si>
  <si>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</si>
  <si>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</si>
  <si>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</si>
  <si>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</si>
  <si>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</si>
  <si>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</si>
  <si>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</si>
  <si>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</si>
  <si>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</si>
  <si>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</si>
  <si>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</si>
  <si>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</si>
  <si>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</si>
  <si>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</si>
  <si>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</si>
  <si>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</si>
  <si>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</si>
  <si>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</si>
  <si>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</si>
  <si>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</si>
  <si>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</si>
  <si>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</si>
  <si>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</si>
  <si>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</si>
  <si>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</si>
  <si>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</si>
  <si>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</si>
  <si>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</si>
  <si>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</si>
  <si>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</si>
  <si>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</si>
  <si>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</si>
  <si>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</si>
  <si>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</si>
  <si>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</si>
  <si>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</si>
  <si>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</si>
  <si>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</si>
  <si>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</si>
  <si>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</si>
  <si>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</si>
  <si>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</si>
  <si>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</si>
  <si>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</si>
  <si>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</si>
  <si>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</si>
  <si>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</si>
  <si>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</si>
  <si>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</si>
  <si>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</si>
  <si>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</si>
  <si>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</si>
  <si>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</si>
  <si>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</si>
  <si>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</si>
  <si>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</si>
  <si>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</si>
  <si>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</si>
  <si>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</si>
  <si>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</si>
  <si>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</si>
  <si>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</si>
  <si>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</si>
  <si>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</si>
  <si>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</si>
  <si>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</si>
  <si>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</si>
  <si>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</si>
  <si>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</si>
  <si>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</si>
  <si>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</si>
  <si>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</si>
  <si>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</si>
  <si>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</si>
  <si>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</si>
  <si>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</si>
  <si>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</si>
  <si>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</si>
  <si>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</si>
  <si>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</si>
  <si>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</si>
  <si>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</si>
  <si>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</si>
  <si>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</si>
  <si>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</si>
  <si>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</si>
  <si>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</si>
  <si>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</si>
  <si>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</si>
  <si>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</si>
  <si>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</si>
  <si>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</si>
  <si>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</si>
  <si>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</si>
  <si>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</si>
  <si>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</si>
  <si>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</si>
  <si>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</si>
  <si>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</si>
  <si>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</si>
  <si>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</si>
  <si>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</si>
  <si>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</si>
  <si>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</si>
  <si>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</si>
  <si>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</si>
  <si>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</si>
  <si>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</si>
  <si>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</si>
  <si>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</si>
  <si>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</si>
  <si>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</si>
  <si>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</si>
  <si>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</si>
  <si>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</si>
  <si>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</si>
  <si>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</si>
  <si>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</si>
  <si>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</si>
  <si>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</si>
  <si>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</si>
  <si>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</si>
  <si>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</si>
  <si>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</si>
  <si>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</si>
  <si>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</si>
  <si>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</si>
  <si>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</si>
  <si>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</si>
  <si>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</si>
  <si>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</si>
  <si>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</si>
  <si>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</si>
  <si>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</si>
  <si>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</si>
  <si>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</si>
  <si>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</si>
  <si>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</si>
  <si>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</si>
  <si>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</si>
  <si>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</si>
  <si>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</si>
  <si>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</si>
  <si>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</si>
  <si>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</si>
  <si>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</si>
  <si>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</si>
  <si>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</si>
  <si>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</si>
  <si>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</si>
  <si>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</si>
  <si>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</si>
  <si>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</si>
  <si>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</si>
  <si>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</si>
  <si>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</si>
  <si>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</si>
  <si>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</si>
  <si>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</si>
  <si>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</si>
  <si>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</si>
  <si>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</si>
  <si>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</si>
  <si>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</si>
  <si>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</si>
  <si>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</si>
  <si>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</si>
  <si>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</si>
  <si>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</si>
  <si>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</si>
  <si>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</si>
  <si>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</si>
  <si>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</si>
  <si>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</si>
  <si>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</si>
  <si>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</si>
  <si>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</si>
  <si>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</si>
  <si>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</si>
  <si>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</si>
  <si>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</si>
  <si>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</si>
  <si>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</si>
  <si>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</si>
  <si>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</si>
  <si>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</si>
  <si>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</si>
  <si>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</si>
  <si>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</si>
  <si>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</si>
  <si>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</si>
  <si>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</si>
  <si>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</si>
  <si>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</si>
  <si>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</si>
  <si>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</si>
  <si>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</si>
  <si>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</si>
  <si>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</si>
  <si>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</si>
  <si>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</si>
  <si>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</si>
  <si>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</si>
  <si>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</si>
  <si>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</si>
  <si>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</si>
  <si>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</si>
  <si>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</si>
  <si>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</si>
  <si>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</si>
  <si>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</si>
  <si>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</si>
  <si>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</si>
  <si>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</si>
  <si>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</si>
  <si>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</si>
  <si>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</si>
  <si>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</si>
  <si>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</si>
  <si>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</si>
  <si>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</si>
  <si>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</si>
  <si>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</si>
  <si>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</si>
  <si>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</si>
  <si>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</si>
  <si>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</si>
  <si>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</si>
  <si>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</si>
  <si>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</si>
  <si>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</si>
  <si>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</si>
  <si>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</si>
  <si>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</si>
  <si>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</si>
  <si>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</si>
  <si>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</si>
  <si>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</si>
  <si>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</si>
  <si>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</si>
  <si>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</si>
  <si>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</si>
  <si>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</si>
  <si>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</si>
  <si>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</si>
  <si>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</si>
  <si>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</si>
  <si>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</si>
  <si>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</si>
  <si>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</si>
  <si>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</si>
  <si>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</si>
  <si>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</si>
  <si>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</si>
  <si>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</si>
  <si>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</si>
  <si>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</si>
  <si>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</si>
  <si>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</si>
  <si>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</si>
  <si>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</si>
  <si>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</si>
  <si>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</si>
  <si>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</si>
  <si>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</si>
  <si>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</si>
  <si>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</si>
  <si>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</si>
  <si>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</si>
  <si>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</si>
  <si>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</si>
  <si>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</si>
  <si>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</si>
  <si>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</si>
  <si>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</si>
  <si>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</si>
  <si>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</si>
  <si>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</si>
  <si>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</si>
  <si>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</si>
  <si>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</si>
  <si>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</si>
  <si>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</si>
  <si>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</si>
  <si>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</si>
  <si>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</si>
  <si>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</si>
  <si>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</si>
  <si>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</si>
  <si>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</si>
  <si>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</si>
  <si>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</si>
  <si>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</si>
  <si>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</si>
  <si>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</si>
  <si>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</si>
  <si>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</si>
  <si>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</si>
  <si>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</si>
  <si>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</si>
  <si>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</si>
  <si>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</si>
  <si>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</si>
  <si>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</si>
  <si>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</si>
  <si>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</si>
  <si>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</si>
  <si>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</si>
  <si>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</si>
  <si>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</si>
  <si>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</si>
  <si>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</si>
  <si>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</si>
  <si>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</si>
  <si>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</si>
  <si>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</si>
  <si>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</si>
  <si>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</si>
  <si>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</si>
  <si>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</si>
  <si>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</si>
  <si>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</si>
  <si>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</si>
  <si>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</si>
  <si>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</si>
  <si>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</si>
  <si>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</si>
  <si>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</si>
  <si>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</si>
  <si>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</si>
  <si>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</si>
  <si>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</si>
  <si>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</si>
  <si>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</si>
  <si>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</si>
  <si>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</si>
  <si>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</si>
  <si>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</si>
  <si>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</si>
  <si>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</si>
  <si>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</si>
  <si>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</si>
  <si>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</si>
  <si>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</si>
  <si>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</si>
  <si>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</si>
  <si>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</si>
  <si>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</si>
  <si>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</si>
  <si>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</si>
  <si>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</si>
  <si>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</si>
  <si>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</si>
  <si>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</si>
  <si>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</si>
  <si>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</si>
  <si>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</si>
  <si>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</si>
  <si>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</si>
  <si>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</si>
  <si>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</si>
  <si>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</si>
  <si>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</si>
  <si>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</si>
  <si>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</si>
  <si>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</si>
  <si>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</si>
  <si>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</si>
  <si>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</si>
  <si>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</si>
  <si>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</si>
  <si>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</si>
  <si>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</si>
  <si>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</si>
  <si>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</si>
  <si>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</si>
  <si>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</si>
  <si>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</si>
  <si>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</si>
  <si>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</si>
  <si>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</si>
  <si>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</si>
  <si>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</si>
  <si>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</si>
  <si>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</si>
  <si>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</si>
  <si>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</si>
  <si>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</si>
  <si>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</si>
  <si>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</si>
  <si>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</si>
  <si>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</si>
  <si>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</si>
  <si>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</si>
  <si>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</si>
  <si>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</si>
  <si>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</si>
  <si>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</si>
  <si>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</si>
  <si>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</si>
  <si>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</si>
  <si>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</si>
  <si>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</si>
  <si>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</si>
  <si>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</si>
  <si>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</si>
  <si>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</si>
  <si>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</si>
  <si>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</si>
  <si>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</si>
  <si>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</si>
  <si>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</si>
  <si>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</si>
  <si>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</si>
  <si>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</si>
  <si>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</si>
  <si>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</si>
  <si>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</si>
  <si>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</si>
  <si>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</si>
  <si>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</si>
  <si>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</si>
  <si>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</si>
  <si>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</si>
  <si>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</si>
  <si>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</si>
  <si>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</si>
  <si>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</si>
  <si>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</si>
  <si>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</si>
  <si>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</si>
  <si>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</si>
  <si>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</si>
  <si>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</si>
  <si>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</si>
  <si>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</si>
  <si>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</si>
  <si>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</si>
  <si>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</si>
  <si>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</si>
  <si>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</si>
  <si>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</si>
  <si>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</si>
  <si>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</si>
  <si>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</si>
  <si>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</si>
  <si>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</si>
  <si>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</si>
  <si>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</si>
  <si>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</si>
  <si>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</si>
  <si>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</si>
  <si>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</si>
  <si>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</si>
  <si>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</si>
  <si>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</si>
  <si>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</si>
  <si>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</si>
  <si>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</si>
  <si>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</si>
  <si>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</si>
  <si>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</si>
  <si>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</si>
  <si>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</si>
  <si>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</si>
  <si>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</si>
  <si>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</si>
  <si>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</si>
  <si>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</si>
  <si>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</si>
  <si>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</si>
  <si>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</si>
  <si>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</si>
  <si>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</si>
  <si>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</si>
  <si>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</si>
  <si>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</si>
  <si>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</si>
  <si>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</si>
  <si>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</si>
  <si>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</si>
  <si>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</si>
  <si>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</si>
  <si>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</si>
  <si>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</si>
  <si>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</si>
  <si>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</si>
  <si>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</si>
  <si>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</si>
  <si>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</si>
  <si>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</si>
  <si>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</si>
  <si>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</si>
  <si>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</si>
  <si>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</si>
  <si>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</si>
  <si>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</si>
  <si>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</si>
  <si>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</si>
  <si>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</si>
  <si>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</si>
  <si>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</si>
  <si>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</si>
  <si>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</si>
  <si>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</si>
  <si>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</si>
  <si>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</si>
  <si>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</si>
  <si>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</si>
  <si>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</si>
  <si>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</si>
  <si>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</si>
  <si>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</si>
  <si>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</si>
  <si>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</si>
  <si>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</si>
  <si>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</si>
  <si>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</si>
  <si>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</si>
  <si>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</si>
  <si>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</si>
  <si>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</si>
  <si>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</si>
  <si>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</si>
  <si>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</si>
  <si>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</si>
  <si>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</si>
  <si>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</si>
  <si>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</si>
  <si>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</si>
  <si>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</si>
  <si>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</si>
  <si>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</si>
  <si>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</si>
  <si>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</si>
  <si>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</si>
  <si>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</si>
  <si>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</si>
  <si>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</si>
  <si>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</si>
  <si>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</si>
  <si>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</si>
  <si>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</si>
  <si>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</si>
  <si>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</si>
  <si>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</si>
  <si>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</si>
  <si>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</si>
  <si>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</si>
  <si>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</si>
  <si>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</si>
  <si>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</si>
  <si>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</si>
  <si>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</si>
  <si>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</si>
  <si>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</si>
  <si>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</si>
  <si>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</si>
  <si>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</si>
  <si>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</si>
  <si>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</si>
  <si>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</si>
  <si>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</si>
  <si>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</si>
  <si>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</si>
  <si>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</si>
  <si>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</si>
  <si>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</si>
  <si>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</si>
  <si>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</si>
  <si>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</si>
  <si>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</si>
  <si>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</si>
  <si>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</si>
  <si>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</si>
  <si>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</si>
  <si>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</si>
  <si>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</si>
  <si>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</si>
  <si>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</si>
  <si>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</si>
  <si>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</si>
  <si>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</si>
  <si>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</si>
  <si>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</si>
  <si>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</si>
  <si>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</si>
  <si>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</si>
  <si>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</si>
  <si>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</si>
  <si>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</si>
  <si>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</si>
  <si>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</si>
  <si>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</si>
  <si>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</si>
  <si>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</si>
  <si>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</si>
  <si>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</si>
  <si>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</si>
  <si>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</si>
  <si>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</si>
  <si>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</si>
  <si>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</si>
  <si>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</si>
  <si>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</si>
  <si>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</si>
  <si>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</si>
  <si>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</si>
  <si>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</si>
  <si>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</si>
  <si>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</si>
  <si>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</si>
  <si>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</si>
  <si>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</si>
  <si>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</si>
  <si>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</si>
  <si>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</si>
  <si>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</si>
  <si>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</si>
  <si>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</si>
  <si>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</si>
  <si>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</si>
  <si>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</si>
  <si>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</si>
  <si>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</si>
  <si>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</si>
  <si>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</si>
  <si>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</si>
  <si>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</si>
  <si>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</si>
  <si>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</si>
  <si>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</si>
  <si>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</si>
  <si>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</si>
  <si>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</si>
  <si>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</si>
  <si>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</si>
  <si>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</si>
  <si>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</si>
  <si>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</si>
  <si>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</si>
  <si>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</si>
  <si>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</si>
  <si>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</si>
  <si>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</si>
  <si>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</si>
  <si>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</si>
  <si>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</si>
  <si>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</si>
  <si>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</si>
  <si>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</si>
  <si>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</si>
  <si>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</si>
  <si>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</si>
  <si>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</si>
  <si>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</si>
  <si>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</si>
  <si>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</si>
  <si>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</si>
  <si>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</si>
  <si>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</si>
  <si>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</si>
  <si>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</si>
  <si>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</si>
  <si>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</si>
  <si>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</si>
  <si>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</si>
  <si>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</si>
  <si>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</si>
  <si>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</si>
  <si>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</si>
  <si>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</si>
  <si>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</si>
  <si>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</si>
  <si>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</si>
  <si>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</si>
  <si>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</si>
  <si>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</si>
  <si>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</si>
  <si>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</si>
  <si>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</si>
  <si>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</si>
  <si>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</si>
  <si>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</si>
  <si>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</si>
  <si>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</si>
  <si>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</si>
  <si>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</si>
  <si>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</si>
  <si>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</si>
  <si>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</si>
  <si>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</si>
  <si>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</si>
  <si>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</si>
  <si>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</si>
  <si>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</si>
  <si>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</si>
  <si>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</si>
  <si>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</si>
  <si>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</si>
  <si>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</si>
  <si>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</si>
  <si>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</si>
  <si>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</si>
  <si>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</si>
  <si>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</si>
  <si>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</si>
  <si>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</si>
  <si>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</si>
  <si>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</si>
  <si>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</si>
  <si>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</si>
  <si>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</si>
  <si>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</si>
  <si>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</si>
  <si>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</si>
  <si>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</si>
  <si>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</si>
  <si>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</si>
  <si>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</si>
  <si>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</si>
  <si>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</si>
  <si>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</si>
  <si>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</si>
  <si>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</si>
  <si>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</si>
  <si>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</si>
  <si>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</si>
  <si>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</si>
  <si>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</si>
  <si>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</si>
  <si>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</si>
  <si>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</si>
  <si>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</si>
  <si>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</si>
  <si>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</si>
  <si>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</si>
  <si>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</si>
  <si>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</si>
  <si>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</si>
  <si>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</si>
  <si>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</si>
  <si>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</si>
  <si>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</si>
  <si>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</si>
  <si>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</si>
  <si>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</si>
  <si>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</si>
  <si>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</si>
  <si>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</si>
  <si>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</si>
  <si>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</si>
  <si>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</si>
  <si>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</si>
  <si>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</si>
  <si>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</si>
  <si>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</si>
  <si>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</si>
  <si>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</si>
  <si>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</si>
  <si>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</si>
  <si>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</si>
  <si>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</si>
  <si>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</si>
  <si>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</si>
  <si>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</si>
  <si>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</si>
  <si>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</si>
  <si>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</si>
  <si>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</si>
  <si>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</si>
  <si>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</si>
  <si>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</si>
  <si>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</si>
  <si>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</si>
  <si>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</si>
  <si>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</si>
  <si>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</si>
  <si>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</si>
  <si>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</si>
  <si>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</si>
  <si>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</si>
  <si>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</si>
  <si>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</si>
  <si>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</si>
  <si>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</si>
  <si>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</si>
  <si>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</si>
  <si>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</si>
  <si>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</si>
  <si>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</si>
  <si>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</si>
  <si>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</si>
  <si>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</si>
  <si>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</si>
  <si>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</si>
  <si>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</si>
  <si>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</si>
  <si>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</si>
  <si>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</si>
  <si>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</si>
  <si>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</si>
  <si>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</si>
  <si>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</si>
  <si>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</si>
  <si>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</si>
  <si>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</si>
  <si>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</si>
  <si>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</si>
  <si>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</si>
  <si>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</si>
  <si>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</si>
  <si>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</si>
  <si>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</si>
  <si>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</si>
  <si>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</si>
  <si>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</si>
  <si>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</si>
  <si>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</si>
  <si>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</si>
  <si>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</si>
  <si>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</si>
  <si>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</si>
  <si>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</si>
  <si>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</si>
  <si>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</si>
  <si>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</si>
  <si>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</si>
  <si>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</si>
  <si>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</si>
  <si>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</si>
  <si>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</si>
  <si>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</si>
  <si>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</si>
  <si>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</si>
  <si>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</si>
  <si>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</si>
  <si>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</si>
  <si>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</si>
  <si>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</si>
  <si>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</si>
  <si>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</si>
  <si>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</si>
  <si>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</si>
  <si>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</si>
  <si>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</si>
  <si>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</si>
  <si>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</si>
  <si>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</si>
  <si>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</si>
  <si>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</si>
  <si>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</si>
  <si>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</si>
  <si>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</si>
  <si>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</si>
  <si>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</si>
  <si>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</si>
  <si>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</si>
  <si>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</si>
  <si>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</si>
  <si>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</si>
  <si>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</si>
  <si>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</si>
  <si>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</si>
  <si>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</si>
  <si>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</si>
  <si>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</si>
  <si>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</si>
  <si>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</si>
  <si>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</si>
  <si>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</si>
  <si>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</si>
  <si>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</si>
  <si>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</si>
  <si>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</si>
  <si>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</si>
  <si>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</si>
  <si>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</si>
  <si>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</si>
  <si>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</si>
  <si>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</si>
  <si>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</si>
  <si>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</si>
  <si>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</si>
  <si>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</si>
  <si>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</si>
  <si>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</si>
  <si>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</si>
  <si>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</si>
  <si>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</si>
  <si>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</si>
  <si>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</si>
  <si>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</si>
  <si>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</si>
  <si>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</si>
  <si>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</si>
  <si>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</si>
  <si>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</si>
  <si>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</si>
  <si>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</si>
  <si>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</si>
  <si>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</si>
  <si>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</si>
  <si>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</si>
  <si>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</si>
  <si>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</si>
  <si>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</si>
  <si>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</si>
  <si>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</si>
  <si>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</si>
  <si>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</si>
  <si>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</si>
  <si>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</si>
  <si>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</si>
  <si>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</si>
  <si>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</si>
  <si>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</si>
  <si>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</si>
  <si>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</si>
  <si>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</si>
  <si>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</si>
  <si>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</si>
  <si>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</si>
  <si>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</si>
  <si>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</si>
  <si>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</si>
  <si>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</si>
  <si>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</si>
  <si>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</si>
  <si>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</si>
  <si>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</si>
  <si>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</si>
  <si>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</si>
  <si>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</si>
  <si>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</si>
  <si>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</si>
  <si>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</si>
  <si>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</si>
  <si>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</si>
  <si>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</si>
  <si>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</si>
  <si>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</si>
  <si>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</si>
  <si>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</si>
  <si>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</si>
  <si>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</si>
  <si>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</si>
  <si>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</si>
  <si>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</si>
  <si>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</si>
  <si>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</si>
  <si>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</si>
  <si>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</si>
  <si>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</si>
  <si>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</si>
  <si>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</si>
  <si>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</si>
  <si>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</si>
  <si>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</si>
  <si>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</si>
  <si>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</si>
  <si>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</si>
  <si>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</si>
  <si>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</si>
  <si>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</si>
  <si>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</si>
  <si>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</si>
  <si>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</si>
  <si>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</si>
  <si>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</si>
  <si>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</si>
  <si>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</si>
  <si>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</si>
  <si>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</si>
  <si>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</si>
  <si>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</si>
  <si>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</si>
  <si>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</si>
  <si>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</si>
  <si>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</si>
  <si>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</si>
  <si>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</si>
  <si>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</si>
  <si>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</si>
  <si>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</si>
  <si>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</si>
  <si>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</si>
  <si>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</si>
  <si>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</si>
  <si>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</si>
  <si>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</si>
  <si>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</si>
  <si>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</si>
  <si>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</si>
  <si>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</si>
  <si>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</si>
  <si>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</si>
  <si>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</si>
  <si>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</si>
  <si>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</si>
  <si>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</si>
  <si>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</si>
  <si>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</si>
  <si>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</si>
  <si>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</si>
  <si>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</si>
  <si>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</si>
  <si>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</si>
  <si>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</si>
  <si>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</si>
  <si>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</si>
  <si>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</si>
  <si>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</si>
  <si>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</si>
  <si>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</si>
  <si>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</si>
  <si>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</si>
  <si>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</si>
  <si>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</si>
  <si>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</si>
  <si>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</si>
  <si>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</si>
  <si>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</si>
  <si>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</si>
  <si>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</si>
  <si>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</si>
  <si>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</si>
  <si>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</si>
  <si>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</si>
  <si>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</si>
  <si>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</si>
  <si>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</si>
  <si>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</si>
  <si>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</si>
  <si>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</si>
  <si>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</si>
  <si>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</si>
  <si>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</si>
  <si>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</si>
  <si>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</si>
  <si>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</si>
  <si>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</si>
  <si>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</si>
  <si>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</si>
  <si>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</si>
  <si>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</si>
  <si>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</si>
  <si>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</si>
  <si>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</si>
  <si>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</si>
  <si>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</si>
  <si>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</si>
  <si>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</si>
  <si>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</si>
  <si>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</si>
  <si>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</si>
  <si>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</si>
  <si>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</si>
  <si>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</si>
  <si>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</si>
  <si>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</si>
  <si>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</si>
  <si>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</si>
  <si>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</si>
  <si>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</si>
  <si>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</si>
  <si>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</si>
  <si>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</si>
  <si>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</si>
  <si>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</si>
  <si>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</si>
  <si>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</si>
  <si>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</si>
  <si>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</si>
  <si>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</si>
  <si>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</si>
  <si>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</si>
  <si>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</si>
  <si>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</si>
  <si>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</si>
  <si>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</si>
  <si>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</si>
  <si>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</si>
  <si>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</si>
  <si>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</si>
  <si>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</si>
  <si>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</si>
  <si>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</si>
  <si>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</si>
  <si>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</si>
  <si>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</si>
  <si>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</si>
  <si>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</si>
  <si>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</si>
  <si>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</si>
  <si>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</si>
  <si>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</si>
  <si>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</si>
  <si>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</si>
  <si>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</si>
  <si>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</si>
  <si>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</si>
  <si>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</si>
  <si>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</si>
  <si>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</si>
  <si>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</si>
  <si>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</si>
  <si>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</si>
  <si>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</si>
  <si>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</si>
  <si>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</si>
  <si>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</si>
  <si>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</si>
  <si>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</si>
  <si>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</si>
  <si>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</si>
  <si>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</si>
  <si>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</si>
  <si>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</si>
  <si>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</si>
  <si>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</si>
  <si>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</si>
  <si>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</si>
  <si>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</si>
  <si>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</si>
  <si>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</si>
  <si>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</si>
  <si>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</si>
  <si>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</si>
  <si>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</si>
  <si>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</si>
  <si>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</si>
  <si>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</si>
  <si>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</si>
  <si>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</si>
  <si>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</si>
  <si>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</si>
  <si>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</si>
  <si>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</si>
  <si>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</si>
  <si>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</si>
  <si>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</si>
  <si>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</si>
  <si>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</si>
  <si>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</si>
  <si>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</si>
  <si>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</si>
  <si>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</si>
  <si>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</si>
  <si>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</si>
  <si>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</si>
  <si>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</si>
  <si>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</si>
  <si>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</si>
  <si>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</si>
  <si>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</si>
  <si>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</si>
  <si>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</si>
  <si>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</si>
  <si>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</si>
  <si>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</si>
  <si>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</si>
  <si>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</si>
  <si>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</si>
  <si>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</si>
  <si>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</si>
  <si>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</si>
  <si>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</si>
  <si>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</si>
  <si>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</si>
  <si>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</si>
  <si>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</si>
  <si>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</si>
  <si>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</si>
  <si>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</si>
  <si>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</si>
  <si>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</si>
  <si>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</si>
  <si>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</si>
  <si>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</si>
  <si>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</si>
  <si>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</si>
  <si>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</si>
  <si>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</si>
  <si>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</si>
  <si>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</si>
  <si>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</si>
  <si>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</si>
  <si>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</si>
  <si>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</si>
  <si>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</si>
  <si>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</si>
  <si>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</si>
  <si>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</si>
  <si>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</si>
  <si>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</si>
  <si>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</si>
  <si>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</si>
  <si>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</si>
  <si>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</si>
  <si>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</si>
  <si>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</si>
  <si>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</si>
  <si>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</si>
  <si>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</si>
  <si>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</si>
  <si>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</si>
  <si>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</si>
  <si>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</si>
  <si>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</si>
  <si>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</si>
  <si>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</si>
  <si>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</si>
  <si>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</si>
  <si>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</si>
  <si>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</si>
  <si>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</si>
  <si>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</si>
  <si>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</si>
  <si>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</si>
  <si>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</si>
  <si>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</si>
  <si>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</si>
  <si>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</si>
  <si>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</si>
  <si>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</si>
  <si>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</si>
  <si>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</si>
  <si>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</si>
  <si>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</si>
  <si>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</si>
  <si>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</si>
  <si>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</si>
  <si>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</si>
  <si>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</si>
  <si>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</si>
  <si>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</si>
  <si>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</si>
  <si>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</si>
  <si>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</si>
  <si>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</si>
  <si>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</si>
  <si>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</si>
  <si>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</si>
  <si>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</si>
  <si>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</si>
  <si>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</si>
  <si>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</si>
  <si>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</si>
  <si>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</si>
  <si>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</si>
  <si>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</si>
  <si>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</si>
  <si>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</si>
  <si>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</si>
  <si>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</si>
  <si>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</si>
  <si>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</si>
  <si>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</si>
  <si>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</si>
  <si>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</si>
  <si>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</si>
  <si>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</si>
  <si>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</si>
  <si>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</si>
  <si>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</si>
  <si>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</si>
  <si>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</si>
  <si>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</si>
  <si>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</si>
  <si>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</si>
  <si>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</si>
  <si>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</si>
  <si>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</si>
  <si>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</si>
  <si>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</si>
  <si>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</si>
  <si>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</si>
  <si>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</si>
  <si>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</si>
  <si>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</si>
  <si>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</si>
  <si>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</si>
  <si>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</si>
  <si>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</si>
  <si>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</si>
  <si>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</si>
  <si>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</si>
  <si>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</si>
  <si>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</si>
  <si>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</si>
  <si>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</si>
  <si>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</si>
  <si>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</si>
  <si>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</si>
  <si>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</si>
  <si>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</si>
  <si>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</si>
  <si>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</si>
  <si>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</si>
  <si>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</si>
  <si>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</si>
  <si>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</si>
  <si>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</si>
  <si>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</si>
  <si>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</si>
  <si>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</si>
  <si>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</si>
  <si>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</si>
  <si>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</si>
  <si>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</si>
  <si>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</si>
  <si>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</si>
  <si>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</si>
  <si>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</si>
  <si>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</si>
  <si>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</si>
  <si>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</si>
  <si>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</si>
  <si>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</si>
  <si>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</si>
  <si>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</si>
  <si>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</si>
  <si>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</si>
  <si>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</si>
  <si>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</si>
  <si>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</si>
  <si>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</si>
  <si>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</si>
  <si>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</si>
  <si>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</si>
  <si>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</si>
  <si>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</si>
  <si>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</si>
  <si>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</si>
  <si>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</si>
  <si>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</si>
  <si>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</si>
  <si>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</si>
  <si>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</si>
  <si>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</si>
  <si>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</si>
  <si>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</si>
  <si>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</si>
  <si>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</si>
  <si>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</si>
  <si>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</si>
  <si>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</si>
  <si>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</si>
  <si>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</si>
  <si>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</si>
  <si>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</si>
  <si>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</si>
  <si>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</si>
  <si>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</si>
  <si>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</si>
  <si>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</si>
  <si>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</si>
  <si>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</si>
  <si>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</si>
  <si>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</si>
  <si>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</si>
  <si>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</si>
  <si>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</si>
  <si>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</si>
  <si>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</si>
  <si>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</si>
  <si>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</si>
  <si>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</si>
  <si>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</si>
  <si>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</si>
  <si>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</si>
  <si>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</si>
  <si>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</si>
  <si>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</si>
  <si>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</si>
  <si>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</si>
  <si>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</si>
  <si>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</si>
  <si>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</si>
  <si>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</si>
  <si>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</si>
  <si>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</si>
  <si>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</si>
  <si>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</si>
  <si>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</si>
  <si>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</si>
  <si>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</si>
  <si>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</si>
  <si>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</si>
  <si>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</si>
  <si>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</si>
  <si>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</si>
  <si>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</si>
  <si>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</si>
  <si>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</si>
  <si>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</si>
  <si>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</si>
  <si>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</si>
  <si>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</si>
  <si>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</si>
  <si>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</si>
  <si>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</si>
  <si>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</si>
  <si>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</si>
  <si>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</si>
  <si>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</si>
  <si>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</si>
  <si>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</si>
  <si>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</si>
  <si>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</si>
  <si>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</si>
  <si>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</si>
  <si>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</si>
  <si>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</si>
  <si>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</si>
  <si>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</si>
  <si>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</si>
  <si>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</si>
  <si>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</si>
  <si>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</si>
  <si>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</si>
  <si>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</si>
  <si>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</si>
  <si>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</si>
  <si>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</si>
  <si>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</si>
  <si>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</si>
  <si>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</si>
  <si>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</si>
  <si>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</si>
  <si>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</si>
  <si>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</si>
  <si>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</si>
  <si>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</si>
  <si>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</si>
  <si>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</si>
  <si>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</si>
  <si>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</si>
  <si>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</si>
  <si>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</si>
  <si>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</si>
  <si>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</si>
  <si>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</si>
  <si>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</si>
  <si>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</si>
  <si>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</si>
  <si>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</si>
  <si>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</si>
  <si>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</si>
  <si>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</si>
  <si>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</si>
  <si>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</si>
  <si>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</si>
  <si>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</si>
  <si>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</si>
  <si>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</si>
  <si>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</si>
  <si>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</si>
  <si>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</si>
  <si>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</si>
  <si>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</si>
  <si>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</si>
  <si>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</si>
  <si>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</si>
  <si>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</si>
  <si>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</si>
  <si>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</si>
  <si>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</si>
  <si>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</si>
  <si>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</si>
  <si>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</si>
  <si>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</si>
  <si>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</si>
  <si>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</si>
  <si>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</si>
  <si>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</si>
  <si>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</si>
  <si>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</si>
  <si>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</si>
  <si>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</si>
  <si>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</si>
  <si>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</si>
  <si>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</si>
  <si>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</si>
  <si>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</si>
  <si>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</si>
  <si>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</si>
  <si>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</si>
  <si>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</si>
  <si>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</si>
  <si>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</si>
  <si>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</si>
  <si>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</si>
  <si>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</si>
  <si>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</si>
  <si>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</si>
  <si>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</si>
  <si>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</si>
  <si>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</si>
  <si>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</si>
  <si>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</si>
  <si>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</si>
  <si>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</si>
  <si>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</si>
  <si>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</si>
  <si>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</si>
  <si>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</si>
  <si>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</si>
  <si>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</si>
  <si>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</si>
  <si>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</si>
  <si>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</si>
  <si>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</si>
  <si>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</si>
  <si>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</si>
  <si>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</si>
  <si>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</si>
  <si>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</si>
  <si>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</si>
  <si>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</si>
  <si>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</si>
  <si>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</si>
  <si>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</si>
  <si>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</si>
  <si>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</si>
  <si>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</si>
  <si>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</si>
  <si>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</si>
  <si>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</si>
  <si>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</si>
  <si>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</si>
  <si>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</si>
  <si>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</si>
  <si>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</si>
  <si>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</si>
  <si>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</si>
  <si>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</si>
  <si>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</si>
  <si>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</si>
  <si>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</si>
  <si>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</si>
  <si>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</si>
  <si>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</si>
  <si>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</si>
  <si>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</si>
  <si>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</si>
  <si>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</si>
  <si>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</si>
  <si>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</si>
  <si>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</si>
  <si>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</si>
  <si>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</si>
  <si>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</si>
  <si>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</si>
  <si>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</si>
  <si>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</si>
  <si>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</si>
  <si>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</si>
  <si>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</si>
  <si>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</si>
  <si>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</si>
  <si>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</si>
  <si>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</si>
  <si>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</si>
  <si>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</si>
  <si>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</si>
  <si>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</si>
  <si>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</si>
  <si>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</si>
  <si>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</si>
  <si>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</si>
  <si>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</si>
  <si>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</si>
  <si>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</si>
  <si>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</si>
  <si>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</si>
  <si>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</si>
  <si>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</si>
  <si>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</si>
  <si>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</si>
  <si>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</si>
  <si>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</si>
  <si>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</si>
  <si>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</si>
  <si>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</si>
  <si>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</si>
  <si>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</si>
  <si>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</si>
  <si>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</si>
  <si>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</si>
  <si>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</si>
  <si>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</si>
  <si>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</si>
  <si>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</si>
  <si>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</si>
  <si>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</si>
  <si>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</si>
  <si>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</si>
  <si>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</si>
  <si>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</si>
  <si>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</si>
  <si>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</si>
  <si>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</si>
  <si>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</si>
  <si>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</si>
  <si>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</si>
  <si>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</si>
  <si>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</si>
  <si>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</si>
  <si>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</si>
  <si>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</si>
  <si>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</si>
  <si>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</si>
  <si>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</si>
  <si>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</si>
  <si>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</si>
  <si>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</si>
  <si>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</si>
  <si>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</si>
  <si>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</si>
  <si>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</si>
  <si>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</si>
  <si>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</si>
  <si>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</si>
  <si>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</si>
  <si>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</si>
  <si>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</si>
  <si>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</si>
  <si>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</si>
  <si>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</si>
  <si>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</si>
  <si>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</si>
  <si>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</si>
  <si>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</si>
  <si>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</si>
  <si>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</si>
  <si>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</si>
  <si>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</si>
  <si>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</si>
  <si>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</si>
  <si>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</si>
  <si>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</si>
  <si>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</si>
  <si>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</si>
  <si>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</si>
  <si>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</si>
  <si>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</si>
  <si>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</si>
  <si>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</si>
  <si>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</si>
  <si>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</si>
  <si>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</si>
  <si>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</si>
  <si>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</si>
  <si>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</si>
  <si>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</si>
  <si>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</si>
  <si>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</si>
  <si>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</si>
  <si>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</si>
  <si>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</si>
  <si>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</si>
  <si>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</si>
  <si>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</si>
  <si>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</si>
  <si>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</si>
  <si>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</si>
  <si>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</si>
  <si>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</si>
  <si>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</si>
  <si>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</si>
  <si>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</si>
  <si>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</si>
  <si>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</si>
  <si>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</si>
  <si>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</si>
  <si>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</si>
  <si>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</si>
  <si>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</si>
  <si>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</si>
  <si>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</si>
  <si>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</si>
  <si>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</si>
  <si>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</si>
  <si>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</si>
  <si>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</si>
  <si>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</si>
  <si>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</si>
  <si>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</si>
  <si>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</si>
  <si>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</si>
  <si>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</si>
  <si>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</si>
  <si>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</si>
  <si>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</si>
  <si>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</si>
  <si>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</si>
  <si>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</si>
  <si>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</si>
  <si>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</si>
  <si>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</si>
  <si>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</si>
  <si>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</si>
  <si>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</si>
  <si>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</si>
  <si>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</si>
  <si>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</si>
  <si>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</si>
  <si>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</si>
  <si>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</si>
  <si>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</si>
  <si>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</si>
  <si>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</si>
  <si>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</si>
  <si>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</si>
  <si>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</si>
  <si>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</si>
  <si>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</si>
  <si>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</si>
  <si>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</si>
  <si>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</si>
  <si>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</si>
  <si>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</si>
  <si>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</si>
  <si>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</si>
  <si>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</si>
  <si>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</si>
  <si>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</si>
  <si>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</si>
  <si>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</si>
  <si>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</si>
  <si>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</si>
  <si>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</si>
  <si>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</si>
  <si>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</si>
  <si>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</si>
  <si>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</si>
  <si>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</si>
  <si>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</si>
  <si>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</si>
  <si>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</si>
  <si>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</si>
  <si>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</si>
  <si>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</si>
  <si>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</si>
  <si>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</si>
  <si>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</si>
  <si>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</si>
  <si>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</si>
  <si>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</si>
  <si>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</si>
  <si>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</si>
  <si>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</si>
  <si>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</si>
  <si>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</si>
  <si>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</si>
  <si>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</si>
  <si>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</si>
  <si>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</si>
  <si>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</si>
  <si>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</si>
  <si>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</si>
  <si>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</si>
  <si>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</si>
  <si>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</si>
  <si>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</si>
  <si>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</si>
  <si>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</si>
  <si>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</si>
  <si>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</si>
  <si>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</si>
  <si>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</si>
  <si>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</si>
  <si>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</si>
  <si>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</si>
  <si>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</si>
  <si>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</si>
  <si>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</si>
  <si>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</si>
  <si>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</si>
  <si>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</si>
  <si>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</si>
  <si>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</si>
  <si>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</si>
  <si>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</si>
  <si>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</si>
  <si>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</si>
  <si>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</si>
  <si>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</si>
  <si>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</si>
  <si>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</si>
  <si>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</si>
  <si>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</si>
  <si>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</si>
  <si>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</si>
  <si>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</si>
  <si>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</si>
  <si>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</si>
  <si>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</si>
  <si>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</si>
  <si>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</si>
  <si>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</si>
  <si>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</si>
  <si>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</si>
  <si>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</si>
  <si>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</si>
  <si>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</si>
  <si>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</si>
  <si>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</si>
  <si>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</si>
  <si>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</si>
  <si>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</si>
  <si>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</si>
  <si>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</si>
  <si>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</si>
  <si>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</si>
  <si>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</si>
  <si>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</si>
  <si>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</si>
  <si>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</si>
  <si>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</si>
  <si>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</si>
  <si>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</si>
  <si>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</si>
  <si>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</si>
  <si>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</si>
  <si>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</si>
  <si>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</si>
  <si>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</si>
  <si>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</si>
  <si>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</si>
  <si>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</si>
  <si>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</si>
  <si>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</si>
  <si>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</si>
  <si>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</si>
  <si>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</si>
  <si>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</si>
  <si>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</si>
  <si>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</si>
  <si>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</si>
  <si>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</si>
  <si>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</si>
  <si>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</si>
  <si>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</si>
  <si>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</si>
  <si>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</si>
  <si>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</si>
  <si>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</si>
  <si>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</si>
  <si>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</si>
  <si>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</si>
  <si>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</si>
  <si>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</si>
  <si>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</si>
  <si>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</si>
  <si>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</si>
  <si>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</si>
  <si>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</si>
  <si>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</si>
  <si>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</si>
  <si>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</si>
  <si>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</si>
  <si>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</si>
  <si>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</si>
  <si>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</si>
  <si>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</si>
  <si>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</si>
  <si>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</si>
  <si>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</si>
  <si>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</si>
  <si>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</si>
  <si>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</si>
  <si>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</si>
  <si>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</si>
  <si>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</si>
  <si>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</si>
  <si>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</si>
  <si>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</si>
  <si>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</si>
  <si>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</si>
  <si>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</si>
  <si>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</si>
  <si>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</si>
  <si>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</si>
  <si>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</si>
  <si>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</si>
  <si>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</si>
  <si>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</si>
  <si>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</si>
  <si>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</si>
  <si>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</si>
  <si>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</si>
  <si>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</si>
  <si>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</si>
  <si>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</si>
  <si>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</si>
  <si>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</si>
  <si>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</si>
  <si>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</si>
  <si>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</si>
  <si>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</si>
  <si>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</si>
  <si>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</si>
  <si>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</si>
  <si>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</si>
  <si>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</si>
  <si>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</si>
  <si>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</si>
  <si>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</si>
  <si>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</si>
  <si>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</si>
  <si>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</si>
  <si>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</si>
  <si>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</si>
  <si>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</si>
  <si>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</si>
  <si>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</si>
  <si>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</si>
  <si>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</si>
  <si>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</si>
  <si>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</si>
  <si>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</si>
  <si>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</si>
  <si>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</si>
  <si>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</si>
  <si>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</si>
  <si>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</si>
  <si>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</si>
  <si>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</si>
  <si>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</si>
  <si>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</si>
  <si>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</si>
  <si>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</si>
  <si>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</si>
  <si>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</si>
  <si>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</si>
  <si>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</si>
  <si>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</si>
  <si>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</si>
  <si>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</si>
  <si>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</si>
  <si>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</si>
  <si>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</si>
  <si>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</si>
  <si>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</si>
  <si>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</si>
  <si>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</si>
  <si>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</si>
  <si>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</si>
  <si>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</si>
  <si>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</si>
  <si>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</si>
  <si>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</si>
  <si>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</si>
  <si>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</si>
  <si>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</si>
  <si>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</si>
  <si>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</si>
  <si>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</si>
  <si>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</si>
  <si>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</si>
  <si>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</si>
  <si>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</si>
  <si>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</si>
  <si>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</si>
  <si>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</si>
  <si>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</si>
  <si>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</si>
  <si>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</si>
  <si>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</si>
  <si>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</si>
  <si>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</si>
  <si>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</si>
  <si>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</si>
  <si>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</si>
  <si>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</si>
  <si>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</si>
  <si>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</si>
  <si>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</si>
  <si>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</si>
  <si>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</si>
  <si>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</si>
  <si>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</si>
  <si>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</si>
  <si>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</si>
  <si>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</si>
  <si>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</si>
  <si>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</si>
  <si>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</si>
  <si>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</si>
  <si>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</si>
  <si>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</si>
  <si>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</si>
  <si>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</si>
  <si>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</si>
  <si>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</si>
  <si>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</si>
  <si>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</si>
  <si>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</si>
  <si>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</si>
  <si>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</si>
  <si>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</si>
  <si>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</si>
  <si>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</si>
  <si>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</si>
  <si>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</si>
  <si>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</si>
  <si>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</si>
  <si>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</si>
  <si>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</si>
  <si>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</si>
  <si>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</si>
  <si>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</si>
  <si>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</si>
  <si>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</si>
  <si>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</si>
  <si>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</si>
  <si>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</si>
  <si>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</si>
  <si>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</si>
  <si>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</si>
  <si>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</si>
  <si>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</si>
  <si>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</si>
  <si>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</si>
  <si>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</si>
  <si>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</si>
  <si>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</si>
  <si>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</si>
  <si>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</si>
  <si>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</si>
  <si>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</si>
  <si>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</si>
  <si>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</si>
  <si>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</si>
  <si>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</si>
  <si>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</si>
  <si>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</si>
  <si>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</si>
  <si>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</si>
  <si>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</si>
  <si>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</si>
  <si>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</si>
  <si>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</si>
  <si>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</si>
  <si>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</si>
  <si>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</si>
  <si>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</si>
  <si>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</si>
  <si>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</si>
  <si>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</si>
  <si>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</si>
  <si>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</si>
  <si>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</si>
  <si>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</si>
  <si>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</si>
  <si>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</si>
  <si>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</si>
  <si>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</si>
  <si>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</si>
  <si>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</si>
  <si>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</si>
  <si>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</si>
  <si>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</si>
  <si>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</si>
  <si>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</si>
  <si>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</si>
  <si>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</si>
  <si>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</si>
  <si>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</si>
  <si>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</si>
  <si>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</si>
  <si>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</si>
  <si>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</si>
  <si>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</si>
  <si>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</si>
  <si>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</si>
  <si>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</si>
  <si>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</si>
  <si>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</si>
  <si>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</si>
  <si>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</si>
  <si>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</si>
  <si>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</si>
  <si>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</si>
  <si>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</si>
  <si>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</si>
  <si>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</si>
  <si>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</si>
  <si>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</si>
  <si>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</si>
  <si>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</si>
  <si>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</si>
  <si>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</si>
  <si>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</si>
  <si>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</si>
  <si>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</si>
  <si>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</si>
  <si>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</si>
  <si>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</si>
  <si>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</si>
  <si>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</si>
  <si>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</si>
  <si>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</si>
  <si>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</si>
  <si>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</si>
  <si>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</si>
  <si>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</si>
  <si>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</si>
  <si>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</si>
  <si>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</si>
  <si>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</si>
  <si>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</si>
  <si>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</si>
  <si>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</si>
  <si>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</si>
  <si>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</si>
  <si>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</si>
  <si>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</si>
  <si>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</si>
  <si>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</si>
  <si>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</si>
  <si>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</si>
  <si>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</si>
  <si>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</si>
  <si>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</si>
  <si>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</si>
  <si>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</si>
  <si>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</si>
  <si>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</si>
  <si>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</si>
  <si>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</si>
  <si>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</si>
  <si>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</si>
  <si>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</si>
  <si>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</si>
  <si>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</si>
  <si>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</si>
  <si>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</si>
  <si>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</si>
  <si>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</si>
  <si>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</si>
  <si>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</si>
  <si>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</si>
  <si>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</si>
  <si>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</si>
  <si>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</si>
  <si>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</si>
  <si>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</si>
  <si>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</si>
  <si>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</si>
  <si>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</si>
  <si>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</si>
  <si>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</si>
  <si>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</si>
  <si>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</si>
  <si>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</si>
  <si>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</si>
  <si>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</si>
  <si>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</si>
  <si>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</si>
  <si>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</si>
  <si>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</si>
  <si>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</si>
  <si>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</si>
  <si>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</si>
  <si>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</si>
  <si>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</si>
  <si>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</si>
  <si>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</si>
  <si>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</si>
  <si>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</si>
  <si>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</si>
  <si>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</si>
  <si>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</si>
  <si>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</si>
  <si>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</si>
  <si>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</si>
  <si>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</si>
  <si>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</si>
  <si>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</si>
  <si>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</si>
  <si>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</si>
  <si>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</si>
  <si>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</si>
  <si>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</si>
  <si>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</si>
  <si>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</si>
  <si>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</si>
  <si>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</si>
  <si>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</si>
  <si>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</si>
  <si>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</si>
  <si>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</si>
  <si>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</si>
  <si>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</si>
  <si>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</si>
  <si>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</si>
  <si>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</si>
  <si>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</si>
  <si>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</si>
  <si>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</si>
  <si>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</si>
  <si>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</si>
  <si>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</si>
  <si>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</si>
  <si>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</si>
  <si>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</si>
  <si>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</si>
  <si>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</si>
  <si>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</si>
  <si>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</si>
  <si>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</si>
  <si>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</si>
  <si>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</si>
  <si>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</si>
  <si>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</si>
  <si>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</si>
  <si>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</si>
  <si>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</si>
  <si>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</si>
  <si>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</si>
  <si>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</si>
  <si>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</si>
  <si>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</si>
  <si>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</si>
  <si>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</si>
  <si>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</si>
  <si>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</si>
  <si>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</si>
  <si>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</si>
  <si>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</si>
  <si>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</si>
  <si>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</si>
  <si>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</si>
  <si>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</si>
  <si>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</si>
  <si>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</si>
  <si>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</si>
  <si>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</si>
  <si>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</si>
  <si>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</si>
  <si>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</si>
  <si>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</si>
  <si>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</si>
  <si>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</si>
  <si>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</si>
  <si>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</si>
  <si>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</si>
  <si>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</si>
  <si>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</si>
  <si>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</si>
  <si>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</si>
  <si>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отгружен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</si>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</sst>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50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40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46" fillId="40" borderId="50" xfId="0" applyFont="1" applyFill="1" applyBorder="1" applyAlignment="1">
      <alignment horizontal="center" vertical="center" wrapText="1"/>
    </xf>
    <xf numFmtId="166" fontId="45" fillId="47" borderId="0" xfId="0" applyNumberFormat="1" applyFont="1" applyFill="1" applyAlignment="1">
      <alignment horizontal="left" vertical="center"/>
    </xf>
    <xf numFmtId="166" fontId="45" fillId="48" borderId="0" xfId="0" applyNumberFormat="1" applyFont="1" applyFill="1" applyAlignment="1">
      <alignment horizontal="left" vertical="center"/>
    </xf>
    <xf numFmtId="0" fontId="16" fillId="49" borderId="32" xfId="0" applyFont="1" applyFill="1" applyBorder="1" applyAlignment="1">
      <alignment horizontal="center" vertical="center" wrapText="1"/>
    </xf>
    <xf numFmtId="0" fontId="16" fillId="49" borderId="20" xfId="0" applyFont="1" applyFill="1" applyBorder="1" applyAlignment="1">
      <alignment vertical="center" wrapText="1"/>
    </xf>
    <xf numFmtId="164" fontId="16" fillId="49" borderId="20" xfId="0" applyNumberFormat="1" applyFont="1" applyFill="1" applyBorder="1" applyAlignment="1">
      <alignment horizontal="center" vertical="center" wrapText="1"/>
    </xf>
    <xf numFmtId="164" fontId="17" fillId="49" borderId="20" xfId="0" applyNumberFormat="1" applyFont="1" applyFill="1" applyBorder="1" applyAlignment="1">
      <alignment horizontal="center" vertical="center" wrapText="1"/>
    </xf>
    <xf numFmtId="0" fontId="16" fillId="49" borderId="20" xfId="0" applyFont="1" applyFill="1" applyBorder="1" applyAlignment="1">
      <alignment horizontal="center" vertical="center" wrapText="1"/>
    </xf>
    <xf numFmtId="0" fontId="18" fillId="49" borderId="20" xfId="0" applyFont="1" applyFill="1" applyBorder="1" applyAlignment="1">
      <alignment horizontal="center" vertical="center" wrapText="1"/>
    </xf>
    <xf numFmtId="49" fontId="16" fillId="49" borderId="21" xfId="0" applyNumberFormat="1" applyFont="1" applyFill="1" applyBorder="1" applyAlignment="1">
      <alignment horizontal="center" vertical="center" wrapText="1"/>
    </xf>
    <xf numFmtId="0" fontId="16" fillId="49" borderId="37" xfId="0" applyFont="1" applyFill="1" applyBorder="1" applyAlignment="1">
      <alignment horizontal="center" vertical="center" wrapText="1"/>
    </xf>
    <xf numFmtId="20" fontId="16" fillId="49" borderId="21" xfId="0" applyNumberFormat="1" applyFont="1" applyFill="1" applyBorder="1" applyAlignment="1">
      <alignment horizontal="center" vertical="center" wrapText="1"/>
    </xf>
    <xf numFmtId="0" fontId="16" fillId="49" borderId="77" xfId="0" applyFont="1" applyFill="1" applyBorder="1" applyAlignment="1">
      <alignment horizontal="center" vertical="center" wrapText="1"/>
    </xf>
    <xf numFmtId="0" fontId="16" fillId="49" borderId="71" xfId="0" applyFont="1" applyFill="1" applyBorder="1" applyAlignment="1">
      <alignment vertical="center" wrapText="1"/>
    </xf>
    <xf numFmtId="164" fontId="16" fillId="49" borderId="71" xfId="0" applyNumberFormat="1" applyFont="1" applyFill="1" applyBorder="1" applyAlignment="1">
      <alignment horizontal="center" vertical="center" wrapText="1"/>
    </xf>
    <xf numFmtId="164" fontId="17" fillId="49" borderId="71" xfId="0" applyNumberFormat="1" applyFont="1" applyFill="1" applyBorder="1" applyAlignment="1">
      <alignment horizontal="center" vertical="center" wrapText="1"/>
    </xf>
    <xf numFmtId="0" fontId="16" fillId="49" borderId="71" xfId="0" applyFont="1" applyFill="1" applyBorder="1" applyAlignment="1">
      <alignment horizontal="center" vertical="center" wrapText="1"/>
    </xf>
    <xf numFmtId="49" fontId="16" fillId="49" borderId="71" xfId="0" applyNumberFormat="1" applyFont="1" applyFill="1" applyBorder="1" applyAlignment="1">
      <alignment horizontal="left" vertical="center" wrapText="1"/>
    </xf>
    <xf numFmtId="0" fontId="18" fillId="49" borderId="71" xfId="0" applyFont="1" applyFill="1" applyBorder="1" applyAlignment="1">
      <alignment horizontal="center" vertical="center" wrapText="1"/>
    </xf>
    <xf numFmtId="49" fontId="16" fillId="49" borderId="78" xfId="0" applyNumberFormat="1" applyFont="1" applyFill="1" applyBorder="1" applyAlignment="1">
      <alignment horizontal="center" vertical="center" wrapText="1"/>
    </xf>
    <xf numFmtId="0" fontId="16" fillId="49" borderId="83" xfId="0" applyFont="1" applyFill="1" applyBorder="1" applyAlignment="1">
      <alignment horizontal="center" vertical="center" wrapText="1"/>
    </xf>
    <xf numFmtId="20" fontId="16" fillId="49" borderId="78" xfId="0" applyNumberFormat="1" applyFont="1" applyFill="1" applyBorder="1" applyAlignment="1">
      <alignment horizontal="center" vertical="center" wrapText="1"/>
    </xf>
    <xf numFmtId="0" fontId="46" fillId="49" borderId="77" xfId="0" applyFont="1" applyFill="1" applyBorder="1" applyAlignment="1">
      <alignment horizontal="center" vertical="center" wrapText="1"/>
    </xf>
    <xf numFmtId="0" fontId="46" fillId="49" borderId="71" xfId="0" applyFont="1" applyFill="1" applyBorder="1" applyAlignment="1">
      <alignment vertical="center" wrapText="1"/>
    </xf>
    <xf numFmtId="164" fontId="46" fillId="49" borderId="71" xfId="0" applyNumberFormat="1" applyFont="1" applyFill="1" applyBorder="1" applyAlignment="1">
      <alignment horizontal="center" vertical="center" wrapText="1"/>
    </xf>
    <xf numFmtId="0" fontId="46" fillId="49" borderId="71" xfId="0" applyFont="1" applyFill="1" applyBorder="1" applyAlignment="1">
      <alignment horizontal="center" vertical="center" wrapText="1"/>
    </xf>
    <xf numFmtId="49" fontId="46" fillId="49" borderId="71" xfId="0" applyNumberFormat="1" applyFont="1" applyFill="1" applyBorder="1" applyAlignment="1">
      <alignment horizontal="left" vertical="center" wrapText="1"/>
    </xf>
    <xf numFmtId="49" fontId="46" fillId="49" borderId="78" xfId="0" applyNumberFormat="1" applyFont="1" applyFill="1" applyBorder="1" applyAlignment="1">
      <alignment horizontal="center" vertical="center" wrapText="1"/>
    </xf>
    <xf numFmtId="0" fontId="46" fillId="49" borderId="83" xfId="0" applyFont="1" applyFill="1" applyBorder="1" applyAlignment="1">
      <alignment horizontal="center" vertical="center" wrapText="1"/>
    </xf>
    <xf numFmtId="0" fontId="46" fillId="49" borderId="79" xfId="0" applyFont="1" applyFill="1" applyBorder="1" applyAlignment="1">
      <alignment horizontal="center" vertical="center" wrapText="1"/>
    </xf>
    <xf numFmtId="0" fontId="46" fillId="49" borderId="72" xfId="0" applyFont="1" applyFill="1" applyBorder="1" applyAlignment="1">
      <alignment vertical="center" wrapText="1"/>
    </xf>
    <xf numFmtId="164" fontId="46" fillId="49" borderId="72" xfId="0" applyNumberFormat="1" applyFont="1" applyFill="1" applyBorder="1" applyAlignment="1">
      <alignment horizontal="center" vertical="center" wrapText="1"/>
    </xf>
    <xf numFmtId="0" fontId="46" fillId="49" borderId="72" xfId="0" applyFont="1" applyFill="1" applyBorder="1" applyAlignment="1">
      <alignment horizontal="center" vertical="center" wrapText="1"/>
    </xf>
    <xf numFmtId="49" fontId="46" fillId="49" borderId="72" xfId="0" applyNumberFormat="1" applyFont="1" applyFill="1" applyBorder="1" applyAlignment="1">
      <alignment horizontal="left" vertical="center" wrapText="1"/>
    </xf>
    <xf numFmtId="49" fontId="46" fillId="49" borderId="80" xfId="0" applyNumberFormat="1" applyFont="1" applyFill="1" applyBorder="1" applyAlignment="1">
      <alignment horizontal="center" vertical="center" wrapText="1"/>
    </xf>
    <xf numFmtId="0" fontId="46" fillId="49" borderId="81" xfId="0" applyFont="1" applyFill="1" applyBorder="1" applyAlignment="1">
      <alignment horizontal="center" vertical="center" wrapText="1"/>
    </xf>
    <xf numFmtId="20" fontId="16" fillId="49" borderId="80" xfId="0" applyNumberFormat="1" applyFont="1" applyFill="1" applyBorder="1" applyAlignment="1">
      <alignment horizontal="center" vertical="center" wrapText="1"/>
    </xf>
    <xf numFmtId="49" fontId="17" fillId="49" borderId="20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  <xf numFmtId="0" fontId="16" fillId="49" borderId="84" xfId="0" applyFont="1" applyFill="1" applyBorder="1" applyAlignment="1">
      <alignment horizontal="center" vertical="center" wrapText="1"/>
    </xf>
    <xf numFmtId="0" fontId="16" fillId="49" borderId="75" xfId="0" applyFont="1" applyFill="1" applyBorder="1" applyAlignment="1">
      <alignment horizontal="center" vertical="center" wrapText="1"/>
    </xf>
    <xf numFmtId="0" fontId="16" fillId="49" borderId="82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380"/>
  <sheetViews>
    <sheetView tabSelected="1" zoomScale="70" zoomScaleNormal="70" workbookViewId="0">
      <pane ySplit="2" topLeftCell="A7347" activePane="bottomLeft" state="frozen"/>
      <selection pane="bottomLeft" activeCell="J7376" sqref="J7376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21" width="16.28515625" style="2" customWidth="1"/>
    <col min="22" max="1021" width="9.140625" style="2"/>
  </cols>
  <sheetData>
    <row r="1" spans="1:18" ht="19.5" customHeight="1" thickBot="1" x14ac:dyDescent="0.3">
      <c r="A1" s="1119" t="s">
        <v>0</v>
      </c>
      <c r="B1" s="1119"/>
      <c r="C1" s="1119"/>
      <c r="D1" s="1119"/>
      <c r="E1" s="1119"/>
      <c r="F1" s="1119"/>
      <c r="G1" s="1119"/>
      <c r="H1" s="1119"/>
      <c r="I1" s="1119"/>
      <c r="J1" s="1119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20">
        <v>1</v>
      </c>
      <c r="B3" s="1120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20"/>
      <c r="B4" s="1120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21">
        <v>3</v>
      </c>
      <c r="B6" s="1121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21"/>
      <c r="B7" s="1121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21"/>
      <c r="B8" s="1121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21">
        <v>5</v>
      </c>
      <c r="B10" s="1121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21"/>
      <c r="B11" s="1121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22">
        <v>8</v>
      </c>
      <c r="B14" s="1122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22"/>
      <c r="B15" s="1122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21">
        <v>11</v>
      </c>
      <c r="B18" s="1121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21"/>
      <c r="B19" s="1121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21"/>
      <c r="B20" s="1121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21"/>
      <c r="B21" s="1121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21">
        <v>13</v>
      </c>
      <c r="B23" s="1121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21"/>
      <c r="B24" s="1121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22">
        <v>14</v>
      </c>
      <c r="B25" s="1122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22"/>
      <c r="B26" s="1122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21">
        <v>15</v>
      </c>
      <c r="B27" s="1121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21"/>
      <c r="B28" s="1121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21"/>
      <c r="B29" s="1121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21"/>
      <c r="B30" s="1121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22">
        <v>16</v>
      </c>
      <c r="B31" s="1122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22"/>
      <c r="B32" s="1122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22"/>
      <c r="B33" s="1122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22"/>
      <c r="B34" s="1122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21">
        <v>17</v>
      </c>
      <c r="B35" s="1121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21"/>
      <c r="B36" s="1121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21">
        <v>21</v>
      </c>
      <c r="B40" s="1121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21"/>
      <c r="B41" s="1121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21">
        <v>23</v>
      </c>
      <c r="B43" s="1121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21"/>
      <c r="B44" s="1121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21"/>
      <c r="B45" s="1121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22">
        <v>24</v>
      </c>
      <c r="B46" s="1122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22"/>
      <c r="B47" s="1122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21">
        <v>25</v>
      </c>
      <c r="B48" s="1121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21"/>
      <c r="B49" s="1121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21"/>
      <c r="B50" s="1121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22">
        <v>26</v>
      </c>
      <c r="B51" s="1122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22"/>
      <c r="B52" s="1122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21">
        <v>29</v>
      </c>
      <c r="B55" s="1121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21"/>
      <c r="B56" s="1121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22">
        <v>32</v>
      </c>
      <c r="B59" s="1122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22"/>
      <c r="B60" s="1122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22">
        <v>34</v>
      </c>
      <c r="B62" s="1122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22"/>
      <c r="B63" s="1122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22"/>
      <c r="B64" s="1122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22"/>
      <c r="B65" s="1122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22"/>
      <c r="B66" s="1122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21">
        <v>35</v>
      </c>
      <c r="B67" s="1121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21"/>
      <c r="B68" s="1121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95">
        <v>40</v>
      </c>
      <c r="B73" s="1122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95"/>
      <c r="B74" s="1122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96">
        <v>41</v>
      </c>
      <c r="B75" s="1121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96"/>
      <c r="B76" s="1121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96"/>
      <c r="B77" s="1121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95">
        <v>42</v>
      </c>
      <c r="B78" s="1122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95"/>
      <c r="B79" s="1122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96">
        <v>49</v>
      </c>
      <c r="B86" s="1121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96"/>
      <c r="B87" s="1121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96"/>
      <c r="B88" s="1121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95">
        <v>50</v>
      </c>
      <c r="B89" s="1122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95"/>
      <c r="B90" s="1122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96">
        <v>51</v>
      </c>
      <c r="B91" s="1121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96"/>
      <c r="B92" s="1121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96">
        <v>53</v>
      </c>
      <c r="B94" s="1121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96"/>
      <c r="B95" s="1121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95">
        <v>54</v>
      </c>
      <c r="B96" s="1122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95"/>
      <c r="B97" s="1122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95"/>
      <c r="B98" s="1122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95">
        <v>58</v>
      </c>
      <c r="B102" s="1122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95"/>
      <c r="B103" s="1122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95">
        <v>60</v>
      </c>
      <c r="B105" s="1122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95"/>
      <c r="B106" s="1122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95"/>
      <c r="B107" s="1122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96">
        <v>61</v>
      </c>
      <c r="B108" s="1121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96"/>
      <c r="B109" s="1121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96"/>
      <c r="B110" s="1121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95">
        <v>64</v>
      </c>
      <c r="B113" s="1122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95"/>
      <c r="B114" s="1122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95">
        <v>66</v>
      </c>
      <c r="B116" s="1122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95"/>
      <c r="B117" s="1122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96">
        <v>67</v>
      </c>
      <c r="B118" s="1121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96"/>
      <c r="B119" s="1121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96"/>
      <c r="B120" s="1121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95">
        <v>68</v>
      </c>
      <c r="B121" s="1122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95"/>
      <c r="B122" s="1122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96">
        <v>69</v>
      </c>
      <c r="B123" s="1121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96"/>
      <c r="B124" s="1121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95">
        <v>72</v>
      </c>
      <c r="B127" s="1122" t="s">
        <v>65</v>
      </c>
      <c r="C127" s="119" t="s">
        <v>26</v>
      </c>
      <c r="D127" s="120">
        <v>3.3</v>
      </c>
      <c r="E127" s="121"/>
      <c r="F127" s="122" t="s">
        <v>30</v>
      </c>
      <c r="G127" s="1116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95"/>
      <c r="B128" s="1122"/>
      <c r="C128" s="103" t="s">
        <v>26</v>
      </c>
      <c r="D128" s="88">
        <v>12.9</v>
      </c>
      <c r="E128" s="106"/>
      <c r="F128" s="107" t="s">
        <v>16</v>
      </c>
      <c r="G128" s="1116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95">
        <v>76</v>
      </c>
      <c r="B132" s="1123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95"/>
      <c r="B133" s="1123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95"/>
      <c r="B134" s="1123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95"/>
      <c r="B135" s="1123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95">
        <v>78</v>
      </c>
      <c r="B137" s="1117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95"/>
      <c r="B138" s="1117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24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24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95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95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95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96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96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95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95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96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96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96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96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96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96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96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96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95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95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95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95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95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95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96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18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96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18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95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95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95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95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95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95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95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95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95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96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96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95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95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96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96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95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95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96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96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96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96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96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95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95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96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96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96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95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95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96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96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95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95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96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96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95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95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95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96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96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95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16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95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16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95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95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96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96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96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96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95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95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95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95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95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95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96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96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95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95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95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95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96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96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95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95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95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95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95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96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96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95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95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96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96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95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07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95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07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96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96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95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16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95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16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95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95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95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95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95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95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95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95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96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96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95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95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96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96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95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95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95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95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96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96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96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96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96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96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96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96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95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95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96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18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96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18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96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96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96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96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96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96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96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96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96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96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96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96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96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96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95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95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96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96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95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95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95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95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96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96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96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96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96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96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95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95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96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96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96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96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01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96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01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95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95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95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95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95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95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95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95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95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95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95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95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96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96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95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95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96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96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96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96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96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96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96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96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95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95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96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96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96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95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95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96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96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96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01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96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01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95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95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95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95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95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95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15" t="s">
        <v>133</v>
      </c>
      <c r="J420" s="1115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96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96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95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95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96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96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95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95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95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95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96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96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96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96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96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95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95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95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96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96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95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95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96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96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95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98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95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98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96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96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95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95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95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95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95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95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99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99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99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95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95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96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96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95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95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95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95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95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95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95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95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96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96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96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96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95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95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95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96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96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96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01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96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01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95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95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96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11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96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11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95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11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95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11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95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11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95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95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95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95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95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95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96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96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96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95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95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95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96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96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96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96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96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95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95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95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96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96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96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96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96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96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95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95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95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96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96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96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96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95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95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95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96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96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96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95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98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95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98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95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95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95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95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95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96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96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96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96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95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95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95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96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96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96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95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95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95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95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95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95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96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96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96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96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96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96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96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96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95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95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95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96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01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96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01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96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96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95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95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95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95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95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95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95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95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95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95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95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95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96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96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96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95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95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95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96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96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96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96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96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95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95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96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96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96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95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95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95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95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96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96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96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96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96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96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95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95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95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96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01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96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01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96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96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13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96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13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96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95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95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95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96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96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96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95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95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96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96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96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96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96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96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95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95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96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96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95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95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95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95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95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95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95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95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95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96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01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96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01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14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14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14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96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96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96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14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14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96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96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96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14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14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95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95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95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96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96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96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95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95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95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95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95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95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95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95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96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96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96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96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96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96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96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95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12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95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12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95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95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95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95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95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96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96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96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96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96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96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96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95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95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95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95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25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25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25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25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25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25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96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01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96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01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95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95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95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96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96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96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97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97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97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97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97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96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96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96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96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96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26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26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96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96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96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95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95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96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96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95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95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95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95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96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96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96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96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96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96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96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95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95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95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95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96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96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95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98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95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98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96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96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96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96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96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96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96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96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96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96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96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96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96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95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95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95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96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96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96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95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95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96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96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96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96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95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95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95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96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96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96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96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96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96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96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96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96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95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95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95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95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95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95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95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95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95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95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96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96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96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95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95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95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95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95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96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96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95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95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95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96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96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96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95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95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95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95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95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95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95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96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96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95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95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95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96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96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96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95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95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96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96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95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95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96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96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95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95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96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96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96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96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95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98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95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98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96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96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96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96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96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95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95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96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96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96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96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96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96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96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96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95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95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95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95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95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95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27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27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95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95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96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96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95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95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95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95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95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96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96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96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96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96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95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95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95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96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96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96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95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95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95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96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01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96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01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95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95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95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96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96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95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95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95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96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96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96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96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96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95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95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99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99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95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95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96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96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95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95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95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95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95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95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95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96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96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95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95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96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96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95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95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95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96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96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95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95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96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01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96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01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95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95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95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96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96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95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95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96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96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96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95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95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96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96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96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96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96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96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96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96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95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95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95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95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95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96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96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95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95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96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96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96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95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95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95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96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96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95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98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95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98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96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96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96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96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96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96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96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96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95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95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96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96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96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96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95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95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96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96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96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95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95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96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96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96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96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95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98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95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98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96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96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95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95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95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95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96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96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95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95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96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96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95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95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96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96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96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96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95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95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95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95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95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95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95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95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96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96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96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96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95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98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95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98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95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95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96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96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95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95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95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95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96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96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95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95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96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96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96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96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96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96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96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95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95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95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95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95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95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95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98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95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98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95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95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96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96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95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95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96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96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96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96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95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95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95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95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96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96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96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96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96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96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96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96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96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96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96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96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96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95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95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96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96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95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95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96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96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95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98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95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98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96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96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96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96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95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95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95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95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96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96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96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96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95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95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95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95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95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95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95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95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95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95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96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96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95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95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95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95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96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01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96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01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96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96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95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95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95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96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96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95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95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96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96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96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96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96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96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96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96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96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96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96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96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96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95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95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96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96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96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28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96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28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95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95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95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96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96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96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95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95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95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95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96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96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96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96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95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95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96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96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95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95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95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95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95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95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96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96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96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01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96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01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96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96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95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95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96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96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95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95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96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96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96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96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95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95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96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01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96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01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96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01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96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01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95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95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96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96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96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96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96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96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96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01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96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01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96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96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96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96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95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95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96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96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96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96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96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95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95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95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95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95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95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95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95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96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96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95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95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95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96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01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96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01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96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96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96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96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95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95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96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96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96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96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96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96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96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96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96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95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95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96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96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95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98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95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98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96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96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95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95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95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96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96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96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96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96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96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96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96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95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95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96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96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95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95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95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96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01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96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01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96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96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96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95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95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95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95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95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96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96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95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95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95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95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95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96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96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95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95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95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96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96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95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95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96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96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95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95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95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95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95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95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96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96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96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96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96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96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96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96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95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95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96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96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95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95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95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98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95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98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95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95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95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96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96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96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96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96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96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96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96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96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96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96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95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95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95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95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96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96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96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96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96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95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95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96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01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96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01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95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95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95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95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95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95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95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95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96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96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96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95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98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95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98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95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95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95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95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95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96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96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96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96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96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96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96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95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95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95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95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95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96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96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95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95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95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96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01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96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01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96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96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95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95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95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95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95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95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95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96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96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95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95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95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95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96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96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95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95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96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96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95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95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96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01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96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01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96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01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95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95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96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96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96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95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95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96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96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96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96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95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98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95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98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96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96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96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96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96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96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96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96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95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95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95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95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95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95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95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95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95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95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96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96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96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96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96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96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95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95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96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96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96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96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01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96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01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95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95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95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96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96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96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96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96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96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96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96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96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96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96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96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96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96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95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95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96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01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96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01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95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95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96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96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95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95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95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96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96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96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96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96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96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96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96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96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96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96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96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95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95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96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01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96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01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96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96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95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95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95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95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96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96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96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96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95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95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95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96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96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96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96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96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96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95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98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95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98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96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96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96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96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95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95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95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95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96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96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95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95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95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95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95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95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95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96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96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96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95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95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95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95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95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95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95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95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95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96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96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95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95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95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95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96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96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95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95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95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99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99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99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95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95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95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95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96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01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96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01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96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96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95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95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96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96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95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95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95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96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01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96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01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96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96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96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96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96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95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95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96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96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95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95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95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96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96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96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96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95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98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95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98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96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96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95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95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95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95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95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95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96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96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95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95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95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96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96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95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95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95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95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96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96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96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95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95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96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96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95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95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96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96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95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95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95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95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95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95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95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95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96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96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96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96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95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95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96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96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95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95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95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95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96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96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95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95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95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95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95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95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95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96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96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08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09" t="s">
        <v>467</v>
      </c>
      <c r="H2160" s="414" t="s">
        <v>515</v>
      </c>
      <c r="I2160" s="415" t="s">
        <v>516</v>
      </c>
      <c r="J2160" s="1110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08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09"/>
      <c r="H2161" s="421" t="s">
        <v>515</v>
      </c>
      <c r="I2161" s="422" t="s">
        <v>516</v>
      </c>
      <c r="J2161" s="1110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08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09"/>
      <c r="H2162" s="429" t="s">
        <v>515</v>
      </c>
      <c r="I2162" s="430" t="s">
        <v>516</v>
      </c>
      <c r="J2162" s="1110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08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09" t="s">
        <v>467</v>
      </c>
      <c r="H2165" s="414" t="s">
        <v>516</v>
      </c>
      <c r="I2165" s="415" t="s">
        <v>516</v>
      </c>
      <c r="J2165" s="1110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08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09"/>
      <c r="H2166" s="429" t="s">
        <v>516</v>
      </c>
      <c r="I2166" s="430" t="s">
        <v>516</v>
      </c>
      <c r="J2166" s="1110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96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96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96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95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95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96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96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95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95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95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95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96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01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96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01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96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96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96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95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98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95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98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96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06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96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06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95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07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95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07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96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96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96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96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95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95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96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96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95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95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95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95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95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96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96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96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95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95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95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96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96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95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95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95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95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95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95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96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96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96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96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95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95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96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96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96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95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95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95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95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95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95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96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96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96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96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96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96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96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95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95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95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95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95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95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95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96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96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96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96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96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95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95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95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95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95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99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99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95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95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95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96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96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95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95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95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95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95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95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95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96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96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96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96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96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96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96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96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97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97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97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96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96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96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96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96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95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95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96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96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96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95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95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95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95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95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96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96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96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96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96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97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97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97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96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96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97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97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96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96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96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95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95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95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95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96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96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96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96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96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95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95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95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95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95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95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96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96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95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95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99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99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95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95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95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95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95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95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95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96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96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96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96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96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95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95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96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96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95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95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99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99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95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95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95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95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95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95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95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96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96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96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95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95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96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96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96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96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96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99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99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99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95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95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95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96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96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95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95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95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95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95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95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98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95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98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95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98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99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99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99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99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96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96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95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95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99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99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95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98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95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98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95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95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96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96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95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95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96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96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96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96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96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96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04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05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04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05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95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95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96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01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96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01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96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96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97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97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95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95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95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96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96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95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95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99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99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95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95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95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95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99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00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99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00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95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95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95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98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95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98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96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96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96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96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97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97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95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95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96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96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95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95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95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96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96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96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96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96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96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96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95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95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95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98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95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98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95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95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95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95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99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99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99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95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95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96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96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96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96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96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95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95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97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97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97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97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97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97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96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96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03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03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95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95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95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95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96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96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95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95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95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95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95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95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96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96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99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99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99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99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99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99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95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95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96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96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96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96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97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97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95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95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95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96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96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95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95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95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95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96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96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96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96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95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98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95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98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95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98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99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99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99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99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95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95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96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96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95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95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96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96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96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96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96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95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95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95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96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96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95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95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99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99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99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99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99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95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95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96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96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96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96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95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95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99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99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95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95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95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95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97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97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96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96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96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96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96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97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02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97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02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96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96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96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01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96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01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95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95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96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96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96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99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99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96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96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95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95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95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96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96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96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95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95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95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95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97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97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97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97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97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96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96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95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98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95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98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96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96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96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96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95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95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99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99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95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95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95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96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96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96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96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99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99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99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96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01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96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01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97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97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97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97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96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96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96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01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96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01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96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96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95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95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95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99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99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95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95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95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95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99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99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95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95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97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97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97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97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97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96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96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96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96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95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95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95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99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01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99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01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96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96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95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95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96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96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96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99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99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99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97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97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97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97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97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97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96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96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95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95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95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95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95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96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96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96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97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98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97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98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97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98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96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96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95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95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96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96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96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95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95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96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96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97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97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96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96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95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95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96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96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95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98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95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98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95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98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95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98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99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99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99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99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99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95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95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95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98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95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98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95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98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96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96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97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97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97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96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96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95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95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96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96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95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95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95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96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96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96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96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96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95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98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95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98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99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99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95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95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96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96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95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95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96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96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97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97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97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97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97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97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97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97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96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96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96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96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95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95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95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95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95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96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96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96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97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97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96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96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95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95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96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96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96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96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95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95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95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95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96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96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96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96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95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95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95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95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97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97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97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96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96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95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95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96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01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96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01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96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01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96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01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95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95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96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96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95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95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95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96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96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96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95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95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96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96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95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95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95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95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97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97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97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95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95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95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95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95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96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96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96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96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96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95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95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99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99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95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95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96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96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95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95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99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00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99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00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99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00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99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00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99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00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99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00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95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95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95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95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96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96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95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95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99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99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99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99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95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95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95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96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96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96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95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95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96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96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95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95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99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99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99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96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96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95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95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97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97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97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97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97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97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97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97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96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96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95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95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95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95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99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99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99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95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95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95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95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95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96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96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95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95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96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96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96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96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99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99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95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95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96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96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97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97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97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97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97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97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97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97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97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96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96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99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99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99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96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96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96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97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97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96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96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97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97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96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96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97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97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99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99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99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95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95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96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96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95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95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99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99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99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99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99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99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99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99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95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95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96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96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95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95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99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01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99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01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95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95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95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96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96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95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95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95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95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96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01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96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01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99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99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99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99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99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99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96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96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95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95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95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95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96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01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96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01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97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97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97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97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95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95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95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95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95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95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95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95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99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99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96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96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96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96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96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96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96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96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96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95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95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99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00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99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00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99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00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95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95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95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95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96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96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95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95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95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96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96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96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96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97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97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97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97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97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96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96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95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98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95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98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96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96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99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99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96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96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95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95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95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95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95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96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96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96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97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97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97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97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97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97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97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96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96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95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98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95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98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96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96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95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95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95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95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97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97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95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95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95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95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95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96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96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95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98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95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98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39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65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40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66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39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65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40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66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40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66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40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66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55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91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39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90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39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65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90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89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39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40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40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40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55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57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57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57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91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39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90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55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91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39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40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40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40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40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40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55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67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91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92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39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90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55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67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91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92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39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40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40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90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39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40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55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57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57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91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55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57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57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39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40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40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40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40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40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55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91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39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65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90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89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39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65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90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89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39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90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55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91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39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40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39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90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55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91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39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40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90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55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57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91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55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57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57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57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57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57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39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90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55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67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91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92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39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90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55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91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39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40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40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90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39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65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90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89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55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57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91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39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90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55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67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91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92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39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40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40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40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40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40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5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91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55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91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55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67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91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92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39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40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90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55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57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91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39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40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90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55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57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57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57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55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91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39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40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90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39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40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40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40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55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57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55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57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57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57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57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57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39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90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39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65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40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66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90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89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39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40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90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5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57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91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39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40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40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39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65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90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89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55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57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57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91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39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90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39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90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55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91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55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57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57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57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57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39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90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39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40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90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55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91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39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90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55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91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39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65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90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89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55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57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39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40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90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55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91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39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90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55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91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39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90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39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40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57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57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57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57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57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57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39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90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39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90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55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57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57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91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39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40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40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40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40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90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39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90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55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57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57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91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55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57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57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57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57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57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39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90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39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65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90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89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55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57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91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39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40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40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90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55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57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91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39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65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40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66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90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89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55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67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91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92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39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90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55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91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39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40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40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40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40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40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55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91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39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90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55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57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91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39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40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40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90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55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91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39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65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90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89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39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90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55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57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91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55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91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39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40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55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57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55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57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57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57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57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39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90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39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40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55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67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91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92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39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40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40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40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40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40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90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55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57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57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57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39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40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90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39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90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55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91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39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40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90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39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90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78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9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9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39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40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40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40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40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90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55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91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39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40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90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55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91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39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90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39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90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55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57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56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39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40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4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55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56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39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65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4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76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39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40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55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67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56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68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39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40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40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40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40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55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56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39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4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39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40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4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55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56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39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40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40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55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67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57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77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56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68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55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56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55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57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56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39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40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4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55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57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57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57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57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39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4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55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57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56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39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40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40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4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55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56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39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40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40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4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39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4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55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57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57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39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4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55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57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57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57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57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39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4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55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57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56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39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4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55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56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39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4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39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40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4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39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4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55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56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55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57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56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39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40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40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40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4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39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40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55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56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55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56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55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56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39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40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4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55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57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57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56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39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40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4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39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65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4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76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55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57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56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55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57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56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39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40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40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4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39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4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55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67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57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77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57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77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56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68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39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40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4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39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4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55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57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56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39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4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55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57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57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55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67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56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68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39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4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55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57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56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55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56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39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4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55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57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39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4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55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57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57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57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57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39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40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4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39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65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40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66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40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66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4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76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55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56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39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4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39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4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55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57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56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39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4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55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67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56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68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55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57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55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57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57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57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57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56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39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40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55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57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56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39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4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39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40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4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55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57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56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39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40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4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55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57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56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55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56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39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4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5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57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56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39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40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40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4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5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6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57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68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39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40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4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55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56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39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40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40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40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55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56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39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4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55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57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57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56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39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4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5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56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5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56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39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4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5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57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39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40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40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4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39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4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39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40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40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4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55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56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55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56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39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40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4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55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57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56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55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57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56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55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57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56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39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4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39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40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40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4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55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67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57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77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39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4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55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56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39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4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55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56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39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4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39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40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4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55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56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39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4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55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57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56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39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40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4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55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56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39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4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39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40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55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57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56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39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40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4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39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4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39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4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55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56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39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4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55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56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39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40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4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55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57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56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55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57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56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39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4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55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57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56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39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65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40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66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4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76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55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57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56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55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56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55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56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39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40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4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39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4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55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57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39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40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40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4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39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4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39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65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4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76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55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56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55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57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55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56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39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40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40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4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55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57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39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4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39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4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39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40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4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55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57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56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39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4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55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57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56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39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4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55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56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39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4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55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57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56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40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40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55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57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39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4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55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57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57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56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39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4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55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56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39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4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39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65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4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76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39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40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4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55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57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56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39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40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4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55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57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55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56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39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40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55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56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39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4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55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67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57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77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57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77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56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68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55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57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56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55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67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56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68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39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40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39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40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4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55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57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56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39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65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4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76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39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4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55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57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55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57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57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56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39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65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40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66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55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56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55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56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39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4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55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56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39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65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4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76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39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40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4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55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57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56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55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67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56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68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39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4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39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40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39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4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55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57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57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57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39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4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55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56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39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4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55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67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57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77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56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68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39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4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39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65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4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76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55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56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39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40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40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4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55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67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56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68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39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4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55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56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39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4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55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57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39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65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4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76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55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57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57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39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4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39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65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4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76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55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57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57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56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39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4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55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57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56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39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40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40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4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55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56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39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4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55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56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39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65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4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76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55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57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55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57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56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39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65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40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66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55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56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55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57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56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39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40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4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39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4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39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4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55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57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57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56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39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65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4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76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39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4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55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67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56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68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39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40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40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55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56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39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4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55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56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39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65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4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76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55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56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39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4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55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67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56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68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39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4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55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57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56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39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4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55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57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56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55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67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56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68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39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40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55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57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57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39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4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39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40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4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55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57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56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55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67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56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68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55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67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56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68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39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40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39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40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4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55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57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56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39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4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55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56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55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67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56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68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55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57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57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39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4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55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67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56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68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39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4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55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57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56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39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65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40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66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40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66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55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67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56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68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40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40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40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40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40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40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39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40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55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56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39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65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40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88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40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40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40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55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56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39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40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4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55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56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39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4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39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4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55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67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57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77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56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68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39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40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55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67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56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68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55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57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57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56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55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57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56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39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40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4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39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65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40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66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40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66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40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66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55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56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39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65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4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76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39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4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55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57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56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39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65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4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76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55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57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39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40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40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4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55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56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39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65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4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76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55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57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56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55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57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39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40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40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55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56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55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57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57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56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55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56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55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57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39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40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40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4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55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57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56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39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4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55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56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39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4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39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65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40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66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55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57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57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56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39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65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4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76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39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4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39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65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4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76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39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40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4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55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56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39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4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55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67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56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68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55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57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56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39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40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40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4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55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57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56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39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40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39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65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4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76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55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57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39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40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40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55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56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39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40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4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55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56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39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4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55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56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39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4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39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4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55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57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56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39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4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55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56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55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67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57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77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39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40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40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55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56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39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40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40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4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55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57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56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5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57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39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4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55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57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56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39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40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40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4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55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56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39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4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39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40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39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65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40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66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40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66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40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66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40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66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55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56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55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57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57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56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55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57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57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56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39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4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55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57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56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39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40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4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39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40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4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55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56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55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67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56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68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55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67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57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77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57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77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57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77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39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4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55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56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39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4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39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4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55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56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55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57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57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56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40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40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55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56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40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66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40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66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55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57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39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65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4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76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55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57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39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65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40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66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55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56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39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4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55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56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39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4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55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56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39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65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4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76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39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4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55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56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39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4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55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56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39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40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4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55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56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55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56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55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57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57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39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4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39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4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55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57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56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55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57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56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39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40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4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55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57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56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39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40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55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67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56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68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39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40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4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39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4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55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56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39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4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39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65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4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76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39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4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55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56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39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4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55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67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56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68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55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57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57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57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56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39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40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4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39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40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55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67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56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68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55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67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57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77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57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77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57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77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56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68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39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40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4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55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57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57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57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56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39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65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4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76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5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56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39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40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4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39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41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39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41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55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57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56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39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41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55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56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39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40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39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40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40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41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55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56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39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40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41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55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56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39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41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55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67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56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68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55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57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39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41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39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41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39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40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40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41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39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41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55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56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39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41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55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67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56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68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39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41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133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134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81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82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83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55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56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81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82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86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83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87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81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83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55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57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78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57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79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84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62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85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129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130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78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79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55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56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55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57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57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57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57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55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56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55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58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56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59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39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41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39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41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39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40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41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55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56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55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56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55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57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56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39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40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41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55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57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57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39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41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55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57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56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55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57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57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56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55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57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56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39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41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55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67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56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68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55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57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78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79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62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62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43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46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48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39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41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39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40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46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48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42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43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46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47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47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48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42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62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43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46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48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42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43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46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47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48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42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43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46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47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48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39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40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40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40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55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57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57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56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42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43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42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44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62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71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43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45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55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77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56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77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42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65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43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66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46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48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39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41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55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56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39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40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78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80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42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43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42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43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42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62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43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55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57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56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39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40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41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55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57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56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55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56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42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62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43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46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47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47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48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42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62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62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55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57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55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56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42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62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62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43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46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47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47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42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43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46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47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47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42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65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43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76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55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67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57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68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39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41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55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57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57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46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47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47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47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39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40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39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40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40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41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55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57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57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56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55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57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57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57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56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39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40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40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40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40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40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41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46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47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47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48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39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40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41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46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47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48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46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47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47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47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39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40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41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47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47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47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47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48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42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43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46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48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42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62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62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43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42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44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62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71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43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45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55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56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39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41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46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47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48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42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62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43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46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77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48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77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39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65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41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76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39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41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46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48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39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41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55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56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39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40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41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46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47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48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42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62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43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55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57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57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57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39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40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40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41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131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132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55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57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57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57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56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39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40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41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39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41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46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48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39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40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40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41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46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67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47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77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47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77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48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68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39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41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39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41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46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48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42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44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62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71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62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135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62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135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43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45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46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77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47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77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48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68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39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41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39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40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41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46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48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39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40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40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40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41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46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48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39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40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40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40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41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55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57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57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57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39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40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40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41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46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48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39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41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55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57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56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39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40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40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41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46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47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48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42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65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62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66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62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66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62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66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43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76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46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48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39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41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39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40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41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46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67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48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68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46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47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48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39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41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55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57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56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55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57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56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39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41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46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48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39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41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39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40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40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40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41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46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47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48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39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40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40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41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46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48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39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41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55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57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57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56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46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58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47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136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47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136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48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59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39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65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41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76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55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 t="s">
        <v>2442</v>
      </c>
      <c r="R7069" s="943"/>
    </row>
    <row r="7070" spans="1:18" ht="19.5" hidden="1" thickBot="1" x14ac:dyDescent="0.3">
      <c r="A7070" s="1057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57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56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hidden="1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ht="19.5" hidden="1" thickBot="1" x14ac:dyDescent="0.3">
      <c r="A7074" s="1055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hidden="1" thickBot="1" x14ac:dyDescent="0.3">
      <c r="A7075" s="1056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ht="19.5" hidden="1" thickBot="1" x14ac:dyDescent="0.3">
      <c r="A7076" s="1039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hidden="1" thickBot="1" x14ac:dyDescent="0.3">
      <c r="A7077" s="1041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ht="19.5" hidden="1" thickBot="1" x14ac:dyDescent="0.3">
      <c r="A7078" s="1046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hidden="1" thickBot="1" x14ac:dyDescent="0.3">
      <c r="A7079" s="1048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ht="19.5" hidden="1" thickBot="1" x14ac:dyDescent="0.3">
      <c r="A7080" s="1039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69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hidden="1" thickBot="1" x14ac:dyDescent="0.3">
      <c r="A7081" s="1041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139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ht="19.5" hidden="1" thickBot="1" x14ac:dyDescent="0.3">
      <c r="A7082" s="1055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hidden="1" thickBot="1" x14ac:dyDescent="0.3">
      <c r="A7083" s="1056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ht="19.5" hidden="1" thickBot="1" x14ac:dyDescent="0.3">
      <c r="A7084" s="1039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hidden="1" thickBot="1" x14ac:dyDescent="0.3">
      <c r="A7085" s="1041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ht="19.5" hidden="1" thickBot="1" x14ac:dyDescent="0.3">
      <c r="A7086" s="1055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hidden="1" thickBot="1" x14ac:dyDescent="0.3">
      <c r="A7087" s="1056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46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48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39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41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55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57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57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57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57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56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46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48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42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62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62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43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46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48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39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40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41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55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67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2439</v>
      </c>
      <c r="R7115" s="943"/>
    </row>
    <row r="7116" spans="1:18" ht="19.5" hidden="1" thickBot="1" x14ac:dyDescent="0.3">
      <c r="A7116" s="1057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77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2440</v>
      </c>
      <c r="R7116" s="943"/>
    </row>
    <row r="7117" spans="1:18" ht="19.5" hidden="1" thickBot="1" x14ac:dyDescent="0.3">
      <c r="A7117" s="1057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77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2441</v>
      </c>
      <c r="R7117" s="943"/>
    </row>
    <row r="7118" spans="1:18" ht="19.5" hidden="1" thickBot="1" x14ac:dyDescent="0.3">
      <c r="A7118" s="1056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68"/>
      <c r="H7118" s="829" t="s">
        <v>2329</v>
      </c>
      <c r="I7118" s="829" t="s">
        <v>2423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2500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2424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2514</v>
      </c>
      <c r="Q7119" s="2"/>
      <c r="R7119" s="2"/>
    </row>
    <row r="7120" spans="1:18" ht="57" hidden="1" thickBot="1" x14ac:dyDescent="0.3">
      <c r="A7120" s="1055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57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57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2414</v>
      </c>
    </row>
    <row r="7123" spans="1:18" ht="19.5" hidden="1" thickBot="1" x14ac:dyDescent="0.3">
      <c r="A7123" s="1057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2415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55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67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2437</v>
      </c>
    </row>
    <row r="7128" spans="1:18" ht="19.5" hidden="1" thickBot="1" x14ac:dyDescent="0.3">
      <c r="A7128" s="1056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68"/>
      <c r="H7128" s="788" t="s">
        <v>2344</v>
      </c>
      <c r="I7128" s="788" t="s">
        <v>2423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2422</v>
      </c>
      <c r="P7128" s="867" t="s">
        <v>2501</v>
      </c>
    </row>
    <row r="7129" spans="1:18" ht="19.5" hidden="1" thickBot="1" x14ac:dyDescent="0.3">
      <c r="A7129" s="1039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65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2446</v>
      </c>
    </row>
    <row r="7130" spans="1:18" ht="19.5" hidden="1" thickBot="1" x14ac:dyDescent="0.3">
      <c r="A7130" s="1041"/>
      <c r="B7130" s="841" t="s">
        <v>2405</v>
      </c>
      <c r="C7130" s="976" t="s">
        <v>47</v>
      </c>
      <c r="D7130" s="977">
        <v>3.8</v>
      </c>
      <c r="E7130" s="977">
        <v>3.8260000000000001</v>
      </c>
      <c r="F7130" s="978" t="s">
        <v>16</v>
      </c>
      <c r="G7130" s="1066"/>
      <c r="H7130" s="978" t="s">
        <v>2344</v>
      </c>
      <c r="I7130" s="978" t="s">
        <v>2405</v>
      </c>
      <c r="J7130" s="845"/>
      <c r="K7130" s="978" t="str">
        <f t="shared" si="215"/>
        <v>09,26</v>
      </c>
      <c r="L7130" s="978" t="s">
        <v>28</v>
      </c>
      <c r="M7130" s="978">
        <v>3810</v>
      </c>
      <c r="N7130" s="846">
        <v>0.5</v>
      </c>
      <c r="O7130" s="897" t="s">
        <v>2425</v>
      </c>
      <c r="P7130" s="867" t="s">
        <v>2447</v>
      </c>
    </row>
    <row r="7131" spans="1:18" ht="19.5" hidden="1" thickBot="1" x14ac:dyDescent="0.3">
      <c r="A7131" s="1055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2416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2464</v>
      </c>
      <c r="R7131" s="943"/>
    </row>
    <row r="7132" spans="1:18" ht="19.5" hidden="1" thickBot="1" x14ac:dyDescent="0.3">
      <c r="A7132" s="1057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2416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2465</v>
      </c>
      <c r="R7132" s="943"/>
    </row>
    <row r="7133" spans="1:18" ht="19.5" hidden="1" thickBot="1" x14ac:dyDescent="0.3">
      <c r="A7133" s="1057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2416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2431</v>
      </c>
      <c r="P7133" s="867" t="s">
        <v>2466</v>
      </c>
      <c r="R7133" s="943"/>
    </row>
    <row r="7134" spans="1:18" ht="19.5" hidden="1" thickBot="1" x14ac:dyDescent="0.3">
      <c r="A7134" s="1056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2416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2434</v>
      </c>
      <c r="P7134" s="867" t="s">
        <v>2467</v>
      </c>
    </row>
    <row r="7135" spans="1:18" ht="19.5" hidden="1" thickBot="1" x14ac:dyDescent="0.3">
      <c r="A7135" s="1039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137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40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137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20" ht="19.5" hidden="1" thickBot="1" x14ac:dyDescent="0.3">
      <c r="A7137" s="1041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138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20" ht="19.5" hidden="1" thickBot="1" x14ac:dyDescent="0.3">
      <c r="A7138" s="1055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4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2451</v>
      </c>
    </row>
    <row r="7139" spans="1:20" ht="19.5" hidden="1" thickBot="1" x14ac:dyDescent="0.3">
      <c r="A7139" s="1056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5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2450</v>
      </c>
    </row>
    <row r="7140" spans="1:20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3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2449</v>
      </c>
    </row>
    <row r="7141" spans="1:20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2421</v>
      </c>
    </row>
    <row r="7142" spans="1:20" ht="19.5" hidden="1" thickBot="1" x14ac:dyDescent="0.3">
      <c r="A7142" s="1039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2423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2491</v>
      </c>
      <c r="Q7142" s="847" t="s">
        <v>2493</v>
      </c>
      <c r="T7142" s="833"/>
    </row>
    <row r="7143" spans="1:20" ht="19.5" hidden="1" thickBot="1" x14ac:dyDescent="0.3">
      <c r="A7143" s="1041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2423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2492</v>
      </c>
    </row>
    <row r="7144" spans="1:20" ht="19.5" hidden="1" thickBot="1" x14ac:dyDescent="0.3">
      <c r="A7144" s="1055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2423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2504</v>
      </c>
    </row>
    <row r="7145" spans="1:20" ht="19.5" hidden="1" thickBot="1" x14ac:dyDescent="0.3">
      <c r="A7145" s="1057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2438</v>
      </c>
    </row>
    <row r="7146" spans="1:20" ht="19.5" hidden="1" thickBot="1" x14ac:dyDescent="0.3">
      <c r="A7146" s="1057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2423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2503</v>
      </c>
    </row>
    <row r="7147" spans="1:20" ht="19.5" hidden="1" thickBot="1" x14ac:dyDescent="0.3">
      <c r="A7147" s="1056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2423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2432</v>
      </c>
      <c r="P7147" s="867" t="s">
        <v>2502</v>
      </c>
    </row>
    <row r="7148" spans="1:20" ht="19.5" hidden="1" thickBot="1" x14ac:dyDescent="0.3">
      <c r="A7148" s="1039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69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2443</v>
      </c>
    </row>
    <row r="7149" spans="1:20" ht="19.5" hidden="1" thickBot="1" x14ac:dyDescent="0.3">
      <c r="A7149" s="1040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70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2444</v>
      </c>
    </row>
    <row r="7150" spans="1:20" ht="19.5" hidden="1" thickBot="1" x14ac:dyDescent="0.3">
      <c r="A7150" s="1041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70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2445</v>
      </c>
    </row>
    <row r="7151" spans="1:20" ht="19.5" hidden="1" thickBot="1" x14ac:dyDescent="0.3">
      <c r="A7151" s="1046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2416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2468</v>
      </c>
      <c r="R7151" s="943"/>
    </row>
    <row r="7152" spans="1:20" ht="19.5" hidden="1" thickBot="1" x14ac:dyDescent="0.3">
      <c r="A7152" s="1047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2416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2469</v>
      </c>
      <c r="R7152" s="943"/>
    </row>
    <row r="7153" spans="1:18" ht="19.5" hidden="1" thickBot="1" x14ac:dyDescent="0.3">
      <c r="A7153" s="1048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2416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2433</v>
      </c>
      <c r="P7153" s="867" t="s">
        <v>2470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2448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2423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2499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2416</v>
      </c>
      <c r="I7157" s="510" t="s">
        <v>2423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2417</v>
      </c>
      <c r="P7157" s="867" t="s">
        <v>2524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2416</v>
      </c>
      <c r="I7158" s="520" t="s">
        <v>2423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2418</v>
      </c>
      <c r="P7158" s="867" t="s">
        <v>2490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2416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2419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2416</v>
      </c>
      <c r="I7160" s="579" t="s">
        <v>2471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2420</v>
      </c>
      <c r="P7160" s="867" t="s">
        <v>2538</v>
      </c>
    </row>
    <row r="7161" spans="1:18" ht="19.5" hidden="1" thickBot="1" x14ac:dyDescent="0.3">
      <c r="A7161" s="1046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2423</v>
      </c>
      <c r="I7161" s="537" t="s">
        <v>2423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2426</v>
      </c>
      <c r="P7161" s="867" t="s">
        <v>2496</v>
      </c>
    </row>
    <row r="7162" spans="1:18" ht="19.5" hidden="1" thickBot="1" x14ac:dyDescent="0.3">
      <c r="A7162" s="1048"/>
      <c r="B7162" s="798" t="s">
        <v>2416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2423</v>
      </c>
      <c r="I7162" s="801" t="s">
        <v>2423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2462</v>
      </c>
      <c r="P7162" s="867" t="s">
        <v>2497</v>
      </c>
    </row>
    <row r="7163" spans="1:18" ht="19.5" hidden="1" thickBot="1" x14ac:dyDescent="0.3">
      <c r="A7163" s="1042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2423</v>
      </c>
      <c r="I7163" s="484" t="s">
        <v>2423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2427</v>
      </c>
      <c r="P7163" s="867" t="s">
        <v>2494</v>
      </c>
    </row>
    <row r="7164" spans="1:18" ht="19.5" hidden="1" thickBot="1" x14ac:dyDescent="0.3">
      <c r="A7164" s="1043"/>
      <c r="B7164" s="805" t="s">
        <v>2416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2423</v>
      </c>
      <c r="I7164" s="808" t="s">
        <v>2423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2463</v>
      </c>
      <c r="P7164" s="867" t="s">
        <v>2495</v>
      </c>
    </row>
    <row r="7165" spans="1:18" ht="19.5" hidden="1" thickBot="1" x14ac:dyDescent="0.3">
      <c r="A7165" s="1055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2423</v>
      </c>
      <c r="I7165" s="569" t="s">
        <v>2423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2430</v>
      </c>
      <c r="P7165" s="867" t="s">
        <v>2506</v>
      </c>
    </row>
    <row r="7166" spans="1:18" ht="19.5" hidden="1" thickBot="1" x14ac:dyDescent="0.3">
      <c r="A7166" s="1056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2423</v>
      </c>
      <c r="I7166" s="642" t="s">
        <v>2423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2429</v>
      </c>
      <c r="P7166" s="867" t="s">
        <v>2505</v>
      </c>
    </row>
    <row r="7167" spans="1:18" ht="19.5" hidden="1" thickBot="1" x14ac:dyDescent="0.3">
      <c r="A7167" s="1042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2424</v>
      </c>
      <c r="I7167" s="484" t="s">
        <v>2424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2428</v>
      </c>
      <c r="P7167" s="867" t="s">
        <v>2519</v>
      </c>
    </row>
    <row r="7168" spans="1:18" ht="19.5" hidden="1" thickBot="1" x14ac:dyDescent="0.3">
      <c r="A7168" s="1043"/>
      <c r="B7168" s="805" t="s">
        <v>2424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2424</v>
      </c>
      <c r="I7168" s="808" t="s">
        <v>2424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2508</v>
      </c>
      <c r="P7168" s="867" t="s">
        <v>2520</v>
      </c>
    </row>
    <row r="7169" spans="1:16" ht="19.5" hidden="1" thickBot="1" x14ac:dyDescent="0.3">
      <c r="A7169" s="1055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2424</v>
      </c>
      <c r="I7169" s="537" t="s">
        <v>2424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2436</v>
      </c>
      <c r="P7169" s="984" t="s">
        <v>2537</v>
      </c>
    </row>
    <row r="7170" spans="1:16" ht="19.5" hidden="1" thickBot="1" x14ac:dyDescent="0.3">
      <c r="A7170" s="1057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2424</v>
      </c>
      <c r="I7170" s="782" t="s">
        <v>2424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2435</v>
      </c>
      <c r="P7170" s="984" t="s">
        <v>2536</v>
      </c>
    </row>
    <row r="7171" spans="1:16" ht="19.5" hidden="1" thickBot="1" x14ac:dyDescent="0.3">
      <c r="A7171" s="1057"/>
      <c r="B7171" s="836" t="s">
        <v>2424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2424</v>
      </c>
      <c r="I7171" s="839" t="s">
        <v>2424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2507</v>
      </c>
      <c r="P7171" s="867" t="s">
        <v>2531</v>
      </c>
    </row>
    <row r="7172" spans="1:16" ht="19.5" hidden="1" thickBot="1" x14ac:dyDescent="0.3">
      <c r="A7172" s="513">
        <f>MAX(A7015:A7171)+1</f>
        <v>4422</v>
      </c>
      <c r="B7172" s="514" t="s">
        <v>2416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2424</v>
      </c>
      <c r="I7172" s="520" t="s">
        <v>2424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2452</v>
      </c>
      <c r="P7172" s="867" t="s">
        <v>2513</v>
      </c>
    </row>
    <row r="7173" spans="1:16" ht="19.5" hidden="1" thickBot="1" x14ac:dyDescent="0.3">
      <c r="A7173" s="1055">
        <f>MAX(A7016:A7172)+1</f>
        <v>4423</v>
      </c>
      <c r="B7173" s="759" t="s">
        <v>2416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063" t="s">
        <v>2498</v>
      </c>
      <c r="H7173" s="535" t="s">
        <v>2424</v>
      </c>
      <c r="I7173" s="537" t="s">
        <v>2424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2454</v>
      </c>
      <c r="P7173" s="867" t="s">
        <v>2515</v>
      </c>
    </row>
    <row r="7174" spans="1:16" ht="38.25" hidden="1" thickBot="1" x14ac:dyDescent="0.3">
      <c r="A7174" s="1057"/>
      <c r="B7174" s="982" t="s">
        <v>2416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064"/>
      <c r="H7174" s="915" t="s">
        <v>2424</v>
      </c>
      <c r="I7174" s="917" t="s">
        <v>1496</v>
      </c>
      <c r="J7174" s="983" t="s">
        <v>2544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2455</v>
      </c>
      <c r="P7174" s="921" t="s">
        <v>1024</v>
      </c>
    </row>
    <row r="7175" spans="1:16" ht="19.5" hidden="1" thickBot="1" x14ac:dyDescent="0.3">
      <c r="A7175" s="1057"/>
      <c r="B7175" s="760" t="s">
        <v>2416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064"/>
      <c r="H7175" s="567" t="s">
        <v>2424</v>
      </c>
      <c r="I7175" s="569" t="s">
        <v>2424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2456</v>
      </c>
      <c r="P7175" s="867" t="s">
        <v>2516</v>
      </c>
    </row>
    <row r="7176" spans="1:16" ht="19.5" hidden="1" thickBot="1" x14ac:dyDescent="0.3">
      <c r="A7176" s="1056"/>
      <c r="B7176" s="762" t="s">
        <v>2416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064"/>
      <c r="H7176" s="594" t="s">
        <v>2424</v>
      </c>
      <c r="I7176" s="596" t="s">
        <v>2424</v>
      </c>
      <c r="J7176" s="979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2457</v>
      </c>
      <c r="P7176" s="867" t="s">
        <v>2517</v>
      </c>
    </row>
    <row r="7177" spans="1:16" ht="19.5" hidden="1" thickBot="1" x14ac:dyDescent="0.3">
      <c r="A7177" s="1042">
        <f>MAX(A7020:A7176)+1</f>
        <v>4424</v>
      </c>
      <c r="B7177" s="610" t="s">
        <v>2416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2453</v>
      </c>
      <c r="I7177" s="484" t="s">
        <v>2453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2458</v>
      </c>
      <c r="P7177" s="867" t="s">
        <v>2521</v>
      </c>
    </row>
    <row r="7178" spans="1:16" ht="19.5" hidden="1" thickBot="1" x14ac:dyDescent="0.3">
      <c r="A7178" s="1062"/>
      <c r="B7178" s="769" t="s">
        <v>2416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2453</v>
      </c>
      <c r="I7178" s="768" t="s">
        <v>2453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2459</v>
      </c>
      <c r="P7178" s="867" t="s">
        <v>2522</v>
      </c>
    </row>
    <row r="7179" spans="1:16" ht="19.5" hidden="1" thickBot="1" x14ac:dyDescent="0.3">
      <c r="A7179" s="1043"/>
      <c r="B7179" s="805" t="s">
        <v>2453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2453</v>
      </c>
      <c r="I7179" s="808" t="s">
        <v>2453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2509</v>
      </c>
      <c r="P7179" s="867" t="s">
        <v>2523</v>
      </c>
    </row>
    <row r="7180" spans="1:16" ht="19.5" hidden="1" thickBot="1" x14ac:dyDescent="0.3">
      <c r="A7180" s="1055">
        <f>MAX(A7022:A7179)+1</f>
        <v>4425</v>
      </c>
      <c r="B7180" s="531" t="s">
        <v>2416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2453</v>
      </c>
      <c r="I7180" s="537" t="s">
        <v>2453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2461</v>
      </c>
      <c r="P7180" s="867" t="s">
        <v>2529</v>
      </c>
    </row>
    <row r="7181" spans="1:16" ht="19.5" hidden="1" thickBot="1" x14ac:dyDescent="0.3">
      <c r="A7181" s="1057"/>
      <c r="B7181" s="824" t="s">
        <v>2416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2453</v>
      </c>
      <c r="I7181" s="782" t="s">
        <v>2453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2460</v>
      </c>
      <c r="P7181" s="867" t="s">
        <v>2528</v>
      </c>
    </row>
    <row r="7182" spans="1:16" ht="19.5" hidden="1" thickBot="1" x14ac:dyDescent="0.3">
      <c r="A7182" s="1057"/>
      <c r="B7182" s="836" t="s">
        <v>2453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2453</v>
      </c>
      <c r="I7182" s="839" t="s">
        <v>2453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2510</v>
      </c>
      <c r="P7182" s="867" t="s">
        <v>2530</v>
      </c>
    </row>
    <row r="7183" spans="1:16" ht="19.5" hidden="1" thickBot="1" x14ac:dyDescent="0.3">
      <c r="A7183" s="513">
        <f>MAX(A7024:A7182)+1</f>
        <v>4426</v>
      </c>
      <c r="B7183" s="514" t="s">
        <v>2423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2471</v>
      </c>
      <c r="I7183" s="520" t="s">
        <v>2471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2473</v>
      </c>
      <c r="P7183" s="867" t="s">
        <v>2518</v>
      </c>
    </row>
    <row r="7184" spans="1:16" ht="57" hidden="1" thickBot="1" x14ac:dyDescent="0.3">
      <c r="A7184" s="503">
        <f>MAX(A7025:A7183)+1</f>
        <v>4427</v>
      </c>
      <c r="B7184" s="504" t="s">
        <v>2423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2472</v>
      </c>
      <c r="H7184" s="508" t="s">
        <v>2471</v>
      </c>
      <c r="I7184" s="510" t="s">
        <v>2525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2474</v>
      </c>
      <c r="P7184" s="867" t="s">
        <v>2609</v>
      </c>
    </row>
    <row r="7185" spans="1:16" ht="19.5" hidden="1" thickBot="1" x14ac:dyDescent="0.3">
      <c r="A7185" s="1042">
        <f>MAX(A7026:A7184)+1</f>
        <v>4428</v>
      </c>
      <c r="B7185" s="610" t="s">
        <v>2423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2471</v>
      </c>
      <c r="I7185" s="484" t="s">
        <v>2476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2478</v>
      </c>
      <c r="P7185" s="867" t="s">
        <v>2554</v>
      </c>
    </row>
    <row r="7186" spans="1:16" ht="19.5" hidden="1" thickBot="1" x14ac:dyDescent="0.3">
      <c r="A7186" s="1062"/>
      <c r="B7186" s="792" t="s">
        <v>2476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2471</v>
      </c>
      <c r="I7186" s="795" t="s">
        <v>2476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2542</v>
      </c>
      <c r="P7186" s="867" t="s">
        <v>2563</v>
      </c>
    </row>
    <row r="7187" spans="1:16" ht="19.5" hidden="1" thickBot="1" x14ac:dyDescent="0.3">
      <c r="A7187" s="1043"/>
      <c r="B7187" s="805" t="s">
        <v>2453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2471</v>
      </c>
      <c r="I7187" s="808" t="s">
        <v>2476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2511</v>
      </c>
      <c r="P7187" s="867" t="s">
        <v>2555</v>
      </c>
    </row>
    <row r="7188" spans="1:16" ht="19.5" hidden="1" thickBot="1" x14ac:dyDescent="0.3">
      <c r="A7188" s="1046">
        <f>MAX(A7027:A7185)+1</f>
        <v>4429</v>
      </c>
      <c r="B7188" s="759" t="s">
        <v>2423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2471</v>
      </c>
      <c r="I7188" s="537" t="s">
        <v>2476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2477</v>
      </c>
      <c r="P7188" s="867" t="s">
        <v>2559</v>
      </c>
    </row>
    <row r="7189" spans="1:16" ht="19.5" hidden="1" thickBot="1" x14ac:dyDescent="0.3">
      <c r="A7189" s="1047"/>
      <c r="B7189" s="852" t="s">
        <v>2476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2471</v>
      </c>
      <c r="I7189" s="839" t="s">
        <v>2476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2543</v>
      </c>
      <c r="P7189" s="867" t="s">
        <v>2560</v>
      </c>
    </row>
    <row r="7190" spans="1:16" ht="19.5" hidden="1" thickBot="1" x14ac:dyDescent="0.3">
      <c r="A7190" s="1048"/>
      <c r="B7190" s="798" t="s">
        <v>2453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2471</v>
      </c>
      <c r="I7190" s="801" t="s">
        <v>2476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2512</v>
      </c>
      <c r="P7190" s="867" t="s">
        <v>2561</v>
      </c>
    </row>
    <row r="7191" spans="1:16" ht="19.5" hidden="1" thickBot="1" x14ac:dyDescent="0.3">
      <c r="A7191" s="1042">
        <f>MAX(A7030:A7188)+1</f>
        <v>4430</v>
      </c>
      <c r="B7191" s="610" t="s">
        <v>2423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44" t="s">
        <v>2475</v>
      </c>
      <c r="H7191" s="483" t="s">
        <v>2471</v>
      </c>
      <c r="I7191" s="484" t="s">
        <v>2476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2480</v>
      </c>
      <c r="P7191" s="867" t="s">
        <v>2577</v>
      </c>
    </row>
    <row r="7192" spans="1:16" ht="19.5" hidden="1" thickBot="1" x14ac:dyDescent="0.3">
      <c r="A7192" s="1062"/>
      <c r="B7192" s="769" t="s">
        <v>2423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71"/>
      <c r="H7192" s="763" t="s">
        <v>2471</v>
      </c>
      <c r="I7192" s="768" t="s">
        <v>2476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2479</v>
      </c>
      <c r="P7192" s="867" t="s">
        <v>2576</v>
      </c>
    </row>
    <row r="7193" spans="1:16" ht="19.5" hidden="1" thickBot="1" x14ac:dyDescent="0.3">
      <c r="A7193" s="1062"/>
      <c r="B7193" s="864" t="s">
        <v>2471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71"/>
      <c r="H7193" s="860" t="s">
        <v>2471</v>
      </c>
      <c r="I7193" s="860" t="s">
        <v>2476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80">
        <v>0.5</v>
      </c>
      <c r="O7193" s="897" t="s">
        <v>2533</v>
      </c>
      <c r="P7193" s="867" t="s">
        <v>2578</v>
      </c>
    </row>
    <row r="7194" spans="1:16" ht="19.5" hidden="1" thickBot="1" x14ac:dyDescent="0.3">
      <c r="A7194" s="1043"/>
      <c r="B7194" s="805" t="s">
        <v>2471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45"/>
      <c r="H7194" s="808" t="s">
        <v>2471</v>
      </c>
      <c r="I7194" s="808" t="s">
        <v>2476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1">
        <v>0.5</v>
      </c>
      <c r="O7194" s="897" t="s">
        <v>2532</v>
      </c>
      <c r="P7194" s="867" t="s">
        <v>2579</v>
      </c>
    </row>
    <row r="7195" spans="1:16" ht="19.5" hidden="1" thickBot="1" x14ac:dyDescent="0.3">
      <c r="A7195" s="503">
        <f>MAX(A7032:A7194)+1</f>
        <v>4431</v>
      </c>
      <c r="B7195" s="636" t="s">
        <v>2423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2471</v>
      </c>
      <c r="I7195" s="642" t="s">
        <v>2476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2487</v>
      </c>
      <c r="P7195" s="867" t="s">
        <v>2583</v>
      </c>
    </row>
    <row r="7196" spans="1:16" ht="19.5" hidden="1" thickBot="1" x14ac:dyDescent="0.3">
      <c r="A7196" s="1039">
        <f>MAX(A7033:A7195)+1</f>
        <v>4432</v>
      </c>
      <c r="B7196" s="479" t="s">
        <v>2423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2471</v>
      </c>
      <c r="I7196" s="484" t="s">
        <v>2471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2486</v>
      </c>
      <c r="P7196" s="867" t="s">
        <v>2539</v>
      </c>
    </row>
    <row r="7197" spans="1:16" ht="19.5" hidden="1" thickBot="1" x14ac:dyDescent="0.3">
      <c r="A7197" s="1040"/>
      <c r="B7197" s="523" t="s">
        <v>2423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2471</v>
      </c>
      <c r="I7197" s="528" t="s">
        <v>2471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2488</v>
      </c>
      <c r="P7197" s="867" t="s">
        <v>2540</v>
      </c>
    </row>
    <row r="7198" spans="1:16" ht="19.5" hidden="1" thickBot="1" x14ac:dyDescent="0.3">
      <c r="A7198" s="1041"/>
      <c r="B7198" s="645" t="s">
        <v>2423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2471</v>
      </c>
      <c r="I7198" s="651" t="s">
        <v>2471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2485</v>
      </c>
      <c r="P7198" s="867" t="s">
        <v>2541</v>
      </c>
    </row>
    <row r="7199" spans="1:16" ht="19.5" hidden="1" thickBot="1" x14ac:dyDescent="0.3">
      <c r="A7199" s="1046">
        <f t="shared" ref="A7199" si="219">MAX(A7036:A7198)+1</f>
        <v>4433</v>
      </c>
      <c r="B7199" s="759" t="s">
        <v>2423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2476</v>
      </c>
      <c r="I7199" s="537" t="s">
        <v>2476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2481</v>
      </c>
      <c r="P7199" s="867" t="s">
        <v>2557</v>
      </c>
    </row>
    <row r="7200" spans="1:16" ht="19.5" hidden="1" thickBot="1" x14ac:dyDescent="0.3">
      <c r="A7200" s="1048"/>
      <c r="B7200" s="798" t="s">
        <v>2471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2476</v>
      </c>
      <c r="I7200" s="801" t="s">
        <v>2476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2534</v>
      </c>
      <c r="P7200" s="867" t="s">
        <v>2558</v>
      </c>
    </row>
    <row r="7201" spans="1:18" ht="19.5" hidden="1" thickBot="1" x14ac:dyDescent="0.3">
      <c r="A7201" s="1042">
        <f>MAX(A7037:A7199)+1</f>
        <v>4434</v>
      </c>
      <c r="B7201" s="610" t="s">
        <v>2423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2476</v>
      </c>
      <c r="I7201" s="484" t="s">
        <v>2476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2482</v>
      </c>
      <c r="P7201" s="867" t="s">
        <v>2562</v>
      </c>
    </row>
    <row r="7202" spans="1:18" ht="19.5" hidden="1" thickBot="1" x14ac:dyDescent="0.3">
      <c r="A7202" s="1062"/>
      <c r="B7202" s="792" t="s">
        <v>2476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2476</v>
      </c>
      <c r="I7202" s="795" t="s">
        <v>2476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2545</v>
      </c>
      <c r="P7202" s="867" t="s">
        <v>2564</v>
      </c>
    </row>
    <row r="7203" spans="1:18" ht="19.5" hidden="1" thickBot="1" x14ac:dyDescent="0.3">
      <c r="A7203" s="1062"/>
      <c r="B7203" s="841" t="s">
        <v>2471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2476</v>
      </c>
      <c r="I7203" s="844" t="s">
        <v>2476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2535</v>
      </c>
      <c r="P7203" s="867" t="s">
        <v>2556</v>
      </c>
    </row>
    <row r="7204" spans="1:18" ht="19.5" hidden="1" thickBot="1" x14ac:dyDescent="0.3">
      <c r="A7204" s="1060">
        <f>MAX(A7038:A7201)+1</f>
        <v>4435</v>
      </c>
      <c r="B7204" s="759" t="s">
        <v>2423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072" t="s">
        <v>1634</v>
      </c>
      <c r="H7204" s="535" t="s">
        <v>2476</v>
      </c>
      <c r="I7204" s="537" t="s">
        <v>2476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2483</v>
      </c>
      <c r="P7204" s="867" t="s">
        <v>2574</v>
      </c>
    </row>
    <row r="7205" spans="1:18" ht="19.5" hidden="1" thickBot="1" x14ac:dyDescent="0.3">
      <c r="A7205" s="1061"/>
      <c r="B7205" s="798" t="s">
        <v>2476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073"/>
      <c r="H7205" s="801" t="s">
        <v>2476</v>
      </c>
      <c r="I7205" s="801" t="s">
        <v>2476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2547</v>
      </c>
      <c r="P7205" s="867" t="s">
        <v>2575</v>
      </c>
    </row>
    <row r="7206" spans="1:18" ht="19.5" hidden="1" thickBot="1" x14ac:dyDescent="0.3">
      <c r="A7206" s="1039">
        <f>MAX(A7039:A7204)+1</f>
        <v>4436</v>
      </c>
      <c r="B7206" s="610" t="s">
        <v>2423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074" t="s">
        <v>1634</v>
      </c>
      <c r="H7206" s="483" t="s">
        <v>2476</v>
      </c>
      <c r="I7206" s="484" t="s">
        <v>2546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2484</v>
      </c>
      <c r="P7206" s="867" t="s">
        <v>2580</v>
      </c>
    </row>
    <row r="7207" spans="1:18" ht="19.5" hidden="1" thickBot="1" x14ac:dyDescent="0.3">
      <c r="A7207" s="1041"/>
      <c r="B7207" s="805" t="s">
        <v>2476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075"/>
      <c r="H7207" s="808" t="s">
        <v>2476</v>
      </c>
      <c r="I7207" s="808" t="s">
        <v>2546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2548</v>
      </c>
      <c r="P7207" s="867" t="s">
        <v>2581</v>
      </c>
    </row>
    <row r="7208" spans="1:18" ht="19.5" hidden="1" thickBot="1" x14ac:dyDescent="0.3">
      <c r="A7208" s="503">
        <f>MAX(A7040:A7206)+1</f>
        <v>4437</v>
      </c>
      <c r="B7208" s="636" t="s">
        <v>2423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2476</v>
      </c>
      <c r="I7208" s="642" t="s">
        <v>2546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2489</v>
      </c>
      <c r="P7208" s="867" t="s">
        <v>2582</v>
      </c>
    </row>
    <row r="7209" spans="1:18" ht="19.5" hidden="1" thickBot="1" x14ac:dyDescent="0.3">
      <c r="A7209" s="1039">
        <f>MAX(A7041:A7208)+1</f>
        <v>4438</v>
      </c>
      <c r="B7209" s="479" t="s">
        <v>2471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2546</v>
      </c>
      <c r="I7209" s="484" t="s">
        <v>2525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2526</v>
      </c>
      <c r="P7209" s="867" t="s">
        <v>2611</v>
      </c>
    </row>
    <row r="7210" spans="1:18" ht="19.5" hidden="1" thickBot="1" x14ac:dyDescent="0.3">
      <c r="A7210" s="1040"/>
      <c r="B7210" s="495" t="s">
        <v>2471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2546</v>
      </c>
      <c r="I7210" s="500" t="s">
        <v>2525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2527</v>
      </c>
      <c r="P7210" s="867" t="s">
        <v>2612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2476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2525</v>
      </c>
      <c r="I7211" s="510" t="s">
        <v>2525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2549</v>
      </c>
      <c r="P7211" s="867" t="s">
        <v>2610</v>
      </c>
    </row>
    <row r="7212" spans="1:18" ht="19.5" hidden="1" thickBot="1" x14ac:dyDescent="0.3">
      <c r="A7212" s="513">
        <f t="shared" si="220"/>
        <v>4440</v>
      </c>
      <c r="B7212" s="514" t="s">
        <v>2476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2525</v>
      </c>
      <c r="I7212" s="520" t="s">
        <v>2565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2550</v>
      </c>
      <c r="P7212" s="867" t="s">
        <v>2647</v>
      </c>
    </row>
    <row r="7213" spans="1:18" ht="19.5" hidden="1" thickBot="1" x14ac:dyDescent="0.3">
      <c r="A7213" s="503">
        <f t="shared" si="220"/>
        <v>4441</v>
      </c>
      <c r="B7213" s="504" t="s">
        <v>2476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2525</v>
      </c>
      <c r="I7213" s="510" t="s">
        <v>2587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2552</v>
      </c>
      <c r="P7213" s="867" t="s">
        <v>2659</v>
      </c>
    </row>
    <row r="7214" spans="1:18" ht="19.5" hidden="1" thickBot="1" x14ac:dyDescent="0.3">
      <c r="A7214" s="513">
        <f t="shared" si="220"/>
        <v>4442</v>
      </c>
      <c r="B7214" s="663" t="s">
        <v>2476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2525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2551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2476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2525</v>
      </c>
      <c r="I7215" s="558" t="s">
        <v>2565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2553</v>
      </c>
      <c r="P7215" s="867" t="s">
        <v>2646</v>
      </c>
    </row>
    <row r="7216" spans="1:18" ht="19.5" hidden="1" thickBot="1" x14ac:dyDescent="0.3">
      <c r="A7216" s="1042">
        <f t="shared" si="220"/>
        <v>4444</v>
      </c>
      <c r="B7216" s="610" t="s">
        <v>2546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2565</v>
      </c>
      <c r="I7216" s="484" t="s">
        <v>2565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2566</v>
      </c>
      <c r="P7216" s="867" t="s">
        <v>2640</v>
      </c>
      <c r="Q7216" s="847" t="s">
        <v>2641</v>
      </c>
      <c r="R7216" s="847" t="s">
        <v>2642</v>
      </c>
    </row>
    <row r="7217" spans="1:20" ht="19.5" hidden="1" thickBot="1" x14ac:dyDescent="0.3">
      <c r="A7217" s="1043"/>
      <c r="B7217" s="805" t="s">
        <v>2565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2565</v>
      </c>
      <c r="I7217" s="808" t="s">
        <v>2565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2635</v>
      </c>
      <c r="P7217" s="867" t="s">
        <v>2639</v>
      </c>
    </row>
    <row r="7218" spans="1:20" ht="19.5" hidden="1" thickBot="1" x14ac:dyDescent="0.3">
      <c r="A7218" s="1046">
        <f>MAX(A7049:A7216)+1</f>
        <v>4445</v>
      </c>
      <c r="B7218" s="760" t="s">
        <v>2546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2565</v>
      </c>
      <c r="I7218" s="569" t="s">
        <v>2565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2567</v>
      </c>
      <c r="P7218" s="867" t="s">
        <v>2643</v>
      </c>
      <c r="Q7218" s="847" t="s">
        <v>2645</v>
      </c>
      <c r="T7218" s="833"/>
    </row>
    <row r="7219" spans="1:20" ht="19.5" hidden="1" thickBot="1" x14ac:dyDescent="0.3">
      <c r="A7219" s="1048"/>
      <c r="B7219" s="798" t="s">
        <v>2525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2565</v>
      </c>
      <c r="I7219" s="801" t="s">
        <v>2565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2584</v>
      </c>
      <c r="P7219" s="867" t="s">
        <v>2644</v>
      </c>
    </row>
    <row r="7220" spans="1:20" ht="19.5" hidden="1" thickBot="1" x14ac:dyDescent="0.3">
      <c r="A7220" s="513">
        <f>MAX(A7050:A7218)+1</f>
        <v>4446</v>
      </c>
      <c r="B7220" s="514" t="s">
        <v>2546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2565</v>
      </c>
      <c r="I7220" s="520" t="s">
        <v>2615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2569</v>
      </c>
      <c r="P7220" s="867" t="s">
        <v>2725</v>
      </c>
      <c r="Q7220" s="847">
        <v>13639</v>
      </c>
      <c r="R7220" s="833" t="s">
        <v>2694</v>
      </c>
    </row>
    <row r="7221" spans="1:20" ht="19.5" hidden="1" thickBot="1" x14ac:dyDescent="0.3">
      <c r="A7221" s="1046">
        <f t="shared" ref="A7221" si="221">MAX(A7051:A7220)+1</f>
        <v>4447</v>
      </c>
      <c r="B7221" s="760" t="s">
        <v>2546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2568</v>
      </c>
      <c r="I7221" s="569" t="s">
        <v>2587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2570</v>
      </c>
      <c r="P7221" s="867" t="s">
        <v>2657</v>
      </c>
    </row>
    <row r="7222" spans="1:20" ht="19.5" hidden="1" thickBot="1" x14ac:dyDescent="0.3">
      <c r="A7222" s="1048"/>
      <c r="B7222" s="798" t="s">
        <v>2587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2568</v>
      </c>
      <c r="I7222" s="801" t="s">
        <v>2587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2648</v>
      </c>
      <c r="P7222" s="867" t="s">
        <v>2658</v>
      </c>
    </row>
    <row r="7223" spans="1:20" ht="19.5" hidden="1" thickBot="1" x14ac:dyDescent="0.3">
      <c r="A7223" s="1042">
        <f>MAX(A7052:A7221)+1</f>
        <v>4448</v>
      </c>
      <c r="B7223" s="610" t="s">
        <v>2546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2568</v>
      </c>
      <c r="I7223" s="484" t="s">
        <v>2615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2571</v>
      </c>
      <c r="P7223" s="867" t="s">
        <v>2687</v>
      </c>
      <c r="Q7223" s="847" t="s">
        <v>2689</v>
      </c>
      <c r="S7223" s="833"/>
    </row>
    <row r="7224" spans="1:20" ht="19.5" hidden="1" thickBot="1" x14ac:dyDescent="0.3">
      <c r="A7224" s="1043"/>
      <c r="B7224" s="805" t="s">
        <v>2568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2568</v>
      </c>
      <c r="I7224" s="808" t="s">
        <v>2615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2636</v>
      </c>
      <c r="P7224" s="867" t="s">
        <v>2688</v>
      </c>
    </row>
    <row r="7225" spans="1:20" ht="19.5" hidden="1" thickBot="1" x14ac:dyDescent="0.3">
      <c r="A7225" s="1046">
        <f>MAX(A7053:A7223)+1</f>
        <v>4449</v>
      </c>
      <c r="B7225" s="760" t="s">
        <v>2546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2568</v>
      </c>
      <c r="I7225" s="569" t="s">
        <v>2568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2572</v>
      </c>
      <c r="P7225" s="867" t="s">
        <v>2668</v>
      </c>
    </row>
    <row r="7226" spans="1:20" ht="19.5" hidden="1" thickBot="1" x14ac:dyDescent="0.3">
      <c r="A7226" s="1048"/>
      <c r="B7226" s="798" t="s">
        <v>2568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2568</v>
      </c>
      <c r="I7226" s="801" t="s">
        <v>2568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2637</v>
      </c>
      <c r="P7226" s="867" t="s">
        <v>2669</v>
      </c>
    </row>
    <row r="7227" spans="1:20" ht="19.5" hidden="1" thickBot="1" x14ac:dyDescent="0.3">
      <c r="A7227" s="1042">
        <f>MAX(A7054:A7225)+1</f>
        <v>4450</v>
      </c>
      <c r="B7227" s="610" t="s">
        <v>2546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2568</v>
      </c>
      <c r="I7227" s="484" t="s">
        <v>2568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2573</v>
      </c>
      <c r="P7227" s="867" t="s">
        <v>2678</v>
      </c>
    </row>
    <row r="7228" spans="1:20" ht="19.5" hidden="1" thickBot="1" x14ac:dyDescent="0.3">
      <c r="A7228" s="1043"/>
      <c r="B7228" s="805" t="s">
        <v>2568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2568</v>
      </c>
      <c r="I7228" s="808" t="s">
        <v>2568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2638</v>
      </c>
      <c r="P7228" s="867" t="s">
        <v>2679</v>
      </c>
    </row>
    <row r="7229" spans="1:20" ht="19.5" hidden="1" thickBot="1" x14ac:dyDescent="0.3">
      <c r="A7229" s="503">
        <f>MAX(A7055:A7227)+1</f>
        <v>4451</v>
      </c>
      <c r="B7229" s="504" t="s">
        <v>2525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2568</v>
      </c>
      <c r="I7229" s="510" t="s">
        <v>2568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2585</v>
      </c>
      <c r="P7229" s="867" t="s">
        <v>2662</v>
      </c>
    </row>
    <row r="7230" spans="1:20" ht="19.5" hidden="1" thickBot="1" x14ac:dyDescent="0.3">
      <c r="A7230" s="1039">
        <f>MAX(A7056:A7229)+1</f>
        <v>4452</v>
      </c>
      <c r="B7230" s="479" t="s">
        <v>2525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2568</v>
      </c>
      <c r="I7230" s="484" t="s">
        <v>2587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2591</v>
      </c>
      <c r="P7230" s="867" t="s">
        <v>2653</v>
      </c>
    </row>
    <row r="7231" spans="1:20" ht="19.5" hidden="1" thickBot="1" x14ac:dyDescent="0.3">
      <c r="A7231" s="1041"/>
      <c r="B7231" s="645" t="s">
        <v>2525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2568</v>
      </c>
      <c r="I7231" s="651" t="s">
        <v>2614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2592</v>
      </c>
      <c r="P7231" s="867" t="s">
        <v>2680</v>
      </c>
    </row>
    <row r="7232" spans="1:20" ht="19.5" hidden="1" thickBot="1" x14ac:dyDescent="0.3">
      <c r="A7232" s="1055">
        <f>MAX(A7058:A7231)+1</f>
        <v>4453</v>
      </c>
      <c r="B7232" s="531" t="s">
        <v>2525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2568</v>
      </c>
      <c r="I7232" s="537" t="s">
        <v>2614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2595</v>
      </c>
      <c r="P7232" s="867" t="s">
        <v>2681</v>
      </c>
    </row>
    <row r="7233" spans="1:16" ht="19.5" hidden="1" thickBot="1" x14ac:dyDescent="0.3">
      <c r="A7233" s="1057"/>
      <c r="B7233" s="563" t="s">
        <v>2525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2568</v>
      </c>
      <c r="I7233" s="569" t="s">
        <v>2614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2593</v>
      </c>
      <c r="P7233" s="867" t="s">
        <v>2682</v>
      </c>
    </row>
    <row r="7234" spans="1:16" ht="19.5" hidden="1" thickBot="1" x14ac:dyDescent="0.3">
      <c r="A7234" s="1056"/>
      <c r="B7234" s="636" t="s">
        <v>2525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2568</v>
      </c>
      <c r="I7234" s="642" t="s">
        <v>2614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2594</v>
      </c>
      <c r="P7234" s="867" t="s">
        <v>2683</v>
      </c>
    </row>
    <row r="7235" spans="1:16" ht="57" hidden="1" thickBot="1" x14ac:dyDescent="0.3">
      <c r="A7235" s="1039">
        <f>MAX(A7061:A7234)+1</f>
        <v>4454</v>
      </c>
      <c r="B7235" s="479" t="s">
        <v>2525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5" t="s">
        <v>2613</v>
      </c>
      <c r="H7235" s="483" t="s">
        <v>2568</v>
      </c>
      <c r="I7235" s="484" t="s">
        <v>2587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2607</v>
      </c>
      <c r="P7235" s="867" t="s">
        <v>2661</v>
      </c>
    </row>
    <row r="7236" spans="1:16" ht="19.5" hidden="1" thickBot="1" x14ac:dyDescent="0.3">
      <c r="A7236" s="1041"/>
      <c r="B7236" s="645" t="s">
        <v>2525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2568</v>
      </c>
      <c r="I7236" s="651" t="s">
        <v>2587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2608</v>
      </c>
      <c r="P7236" s="867" t="s">
        <v>2660</v>
      </c>
    </row>
    <row r="7237" spans="1:16" ht="19.5" hidden="1" thickBot="1" x14ac:dyDescent="0.3">
      <c r="A7237" s="1055">
        <f>MAX(A7063:A7236)+1</f>
        <v>4455</v>
      </c>
      <c r="B7237" s="750" t="s">
        <v>2525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2568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2604</v>
      </c>
      <c r="P7237" s="921" t="s">
        <v>1024</v>
      </c>
    </row>
    <row r="7238" spans="1:16" ht="19.5" hidden="1" thickBot="1" x14ac:dyDescent="0.3">
      <c r="A7238" s="1057"/>
      <c r="B7238" s="563" t="s">
        <v>2525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2568</v>
      </c>
      <c r="I7238" s="569" t="s">
        <v>2587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2602</v>
      </c>
      <c r="P7238" s="867" t="s">
        <v>2655</v>
      </c>
    </row>
    <row r="7239" spans="1:16" ht="19.5" hidden="1" thickBot="1" x14ac:dyDescent="0.3">
      <c r="A7239" s="1057"/>
      <c r="B7239" s="563" t="s">
        <v>2525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2568</v>
      </c>
      <c r="I7239" s="569" t="s">
        <v>2587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2603</v>
      </c>
      <c r="P7239" s="867" t="s">
        <v>2656</v>
      </c>
    </row>
    <row r="7240" spans="1:16" ht="19.5" hidden="1" thickBot="1" x14ac:dyDescent="0.3">
      <c r="A7240" s="1057"/>
      <c r="B7240" s="911" t="s">
        <v>2525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2568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2606</v>
      </c>
      <c r="P7240" s="921" t="s">
        <v>1024</v>
      </c>
    </row>
    <row r="7241" spans="1:16" ht="19.5" hidden="1" thickBot="1" x14ac:dyDescent="0.3">
      <c r="A7241" s="1056"/>
      <c r="B7241" s="933" t="s">
        <v>2525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2586</v>
      </c>
      <c r="H7241" s="937" t="s">
        <v>2568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2605</v>
      </c>
      <c r="P7241" s="921" t="s">
        <v>1024</v>
      </c>
    </row>
    <row r="7242" spans="1:16" ht="19.5" hidden="1" thickBot="1" x14ac:dyDescent="0.3">
      <c r="A7242" s="1042">
        <f>MAX(A7068:A7241)+1</f>
        <v>4456</v>
      </c>
      <c r="B7242" s="610" t="s">
        <v>2525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2587</v>
      </c>
      <c r="I7242" s="484" t="s">
        <v>2615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2588</v>
      </c>
      <c r="P7242" s="867" t="s">
        <v>2685</v>
      </c>
    </row>
    <row r="7243" spans="1:16" ht="19.5" hidden="1" thickBot="1" x14ac:dyDescent="0.3">
      <c r="A7243" s="1043"/>
      <c r="B7243" s="805" t="s">
        <v>2614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2587</v>
      </c>
      <c r="I7243" s="808" t="s">
        <v>2615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2670</v>
      </c>
      <c r="P7243" s="867" t="s">
        <v>2684</v>
      </c>
    </row>
    <row r="7244" spans="1:16" ht="19.5" hidden="1" thickBot="1" x14ac:dyDescent="0.3">
      <c r="A7244" s="1055">
        <f>MAX(A7069:A7242)+1</f>
        <v>4457</v>
      </c>
      <c r="B7244" s="531" t="s">
        <v>2525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2587</v>
      </c>
      <c r="I7244" s="537" t="s">
        <v>2615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2589</v>
      </c>
      <c r="P7244" s="867" t="s">
        <v>2709</v>
      </c>
    </row>
    <row r="7245" spans="1:16" ht="19.5" hidden="1" thickBot="1" x14ac:dyDescent="0.3">
      <c r="A7245" s="1057"/>
      <c r="B7245" s="563" t="s">
        <v>2525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2587</v>
      </c>
      <c r="I7245" s="569" t="s">
        <v>2615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2590</v>
      </c>
      <c r="P7245" s="867" t="s">
        <v>2707</v>
      </c>
    </row>
    <row r="7246" spans="1:16" ht="19.5" hidden="1" thickBot="1" x14ac:dyDescent="0.3">
      <c r="A7246" s="1057"/>
      <c r="B7246" s="905" t="s">
        <v>2615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2587</v>
      </c>
      <c r="I7246" s="908" t="s">
        <v>2615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2690</v>
      </c>
      <c r="P7246" s="867" t="s">
        <v>2710</v>
      </c>
    </row>
    <row r="7247" spans="1:16" ht="19.5" hidden="1" thickBot="1" x14ac:dyDescent="0.3">
      <c r="A7247" s="1056"/>
      <c r="B7247" s="832" t="s">
        <v>2614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2587</v>
      </c>
      <c r="I7247" s="829" t="s">
        <v>2615</v>
      </c>
      <c r="J7247" s="831"/>
      <c r="K7247" s="829" t="str">
        <f t="shared" ref="K7247:K730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2671</v>
      </c>
      <c r="P7247" s="867" t="s">
        <v>2708</v>
      </c>
    </row>
    <row r="7248" spans="1:16" ht="57" hidden="1" thickBot="1" x14ac:dyDescent="0.3">
      <c r="A7248" s="1039">
        <f>MAX(A7071:A7247)+1</f>
        <v>4458</v>
      </c>
      <c r="B7248" s="479" t="s">
        <v>2525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2587</v>
      </c>
      <c r="I7248" s="484" t="s">
        <v>2615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2597</v>
      </c>
      <c r="P7248" s="867" t="s">
        <v>2728</v>
      </c>
    </row>
    <row r="7249" spans="1:16" ht="19.5" hidden="1" thickBot="1" x14ac:dyDescent="0.3">
      <c r="A7249" s="1040"/>
      <c r="B7249" s="523" t="s">
        <v>2525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2587</v>
      </c>
      <c r="I7249" s="528" t="s">
        <v>2615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2598</v>
      </c>
      <c r="P7249" s="867" t="s">
        <v>2729</v>
      </c>
    </row>
    <row r="7250" spans="1:16" ht="19.5" hidden="1" thickBot="1" x14ac:dyDescent="0.3">
      <c r="A7250" s="1040"/>
      <c r="B7250" s="523" t="s">
        <v>2525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2587</v>
      </c>
      <c r="I7250" s="528" t="s">
        <v>2615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2596</v>
      </c>
      <c r="P7250" s="867" t="s">
        <v>2730</v>
      </c>
    </row>
    <row r="7251" spans="1:16" ht="19.5" hidden="1" thickBot="1" x14ac:dyDescent="0.3">
      <c r="A7251" s="1041"/>
      <c r="B7251" s="859" t="s">
        <v>2587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2587</v>
      </c>
      <c r="I7251" s="856" t="s">
        <v>2615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2650</v>
      </c>
      <c r="P7251" s="867" t="s">
        <v>2731</v>
      </c>
    </row>
    <row r="7252" spans="1:16" ht="19.5" hidden="1" thickBot="1" x14ac:dyDescent="0.3">
      <c r="A7252" s="1055">
        <f>MAX(A7074:A7251)+1</f>
        <v>4459</v>
      </c>
      <c r="B7252" s="531" t="s">
        <v>2525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2587</v>
      </c>
      <c r="I7252" s="537" t="s">
        <v>2587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2600</v>
      </c>
      <c r="P7252" s="867" t="s">
        <v>2654</v>
      </c>
    </row>
    <row r="7253" spans="1:16" ht="19.5" hidden="1" thickBot="1" x14ac:dyDescent="0.3">
      <c r="A7253" s="1057"/>
      <c r="B7253" s="563" t="s">
        <v>2525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2587</v>
      </c>
      <c r="I7253" s="569" t="s">
        <v>2615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2599</v>
      </c>
      <c r="P7253" s="867" t="s">
        <v>2732</v>
      </c>
    </row>
    <row r="7254" spans="1:16" ht="19.5" hidden="1" thickBot="1" x14ac:dyDescent="0.3">
      <c r="A7254" s="1057"/>
      <c r="B7254" s="905" t="s">
        <v>2614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2587</v>
      </c>
      <c r="I7254" s="908" t="s">
        <v>2615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2675</v>
      </c>
      <c r="P7254" s="867" t="s">
        <v>2734</v>
      </c>
    </row>
    <row r="7255" spans="1:16" ht="19.5" hidden="1" thickBot="1" x14ac:dyDescent="0.3">
      <c r="A7255" s="1056"/>
      <c r="B7255" s="832" t="s">
        <v>2587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2587</v>
      </c>
      <c r="I7255" s="829" t="s">
        <v>2615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2651</v>
      </c>
      <c r="P7255" s="867" t="s">
        <v>2733</v>
      </c>
    </row>
    <row r="7256" spans="1:16" ht="19.5" hidden="1" thickBot="1" x14ac:dyDescent="0.3">
      <c r="A7256" s="1042">
        <f>MAX(A7076:A7255)+1</f>
        <v>4460</v>
      </c>
      <c r="B7256" s="610" t="s">
        <v>2525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2587</v>
      </c>
      <c r="I7256" s="484" t="s">
        <v>2664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2601</v>
      </c>
      <c r="P7256" s="867" t="s">
        <v>2738</v>
      </c>
    </row>
    <row r="7257" spans="1:16" ht="19.5" hidden="1" thickBot="1" x14ac:dyDescent="0.3">
      <c r="A7257" s="1043"/>
      <c r="B7257" s="805" t="s">
        <v>2587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2587</v>
      </c>
      <c r="I7257" s="808" t="s">
        <v>2664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2649</v>
      </c>
      <c r="P7257" s="867" t="s">
        <v>2739</v>
      </c>
    </row>
    <row r="7258" spans="1:16" ht="19.5" hidden="1" thickBot="1" x14ac:dyDescent="0.3">
      <c r="A7258" s="503">
        <f>MAX(A7077:A7256)+1</f>
        <v>4461</v>
      </c>
      <c r="B7258" s="504" t="s">
        <v>2565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2587</v>
      </c>
      <c r="I7258" s="510" t="s">
        <v>2587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2616</v>
      </c>
      <c r="P7258" s="867" t="s">
        <v>2652</v>
      </c>
    </row>
    <row r="7259" spans="1:16" ht="19.5" hidden="1" thickBot="1" x14ac:dyDescent="0.3">
      <c r="A7259" s="1039">
        <f>MAX(A7078:A7258)+1</f>
        <v>4462</v>
      </c>
      <c r="B7259" s="479" t="s">
        <v>2565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2614</v>
      </c>
      <c r="I7259" s="484" t="s">
        <v>2615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2620</v>
      </c>
      <c r="P7259" s="867" t="s">
        <v>2697</v>
      </c>
    </row>
    <row r="7260" spans="1:16" ht="19.5" hidden="1" thickBot="1" x14ac:dyDescent="0.3">
      <c r="A7260" s="1040"/>
      <c r="B7260" s="986" t="s">
        <v>2615</v>
      </c>
      <c r="C7260" s="987" t="s">
        <v>26</v>
      </c>
      <c r="D7260" s="988">
        <v>0.4</v>
      </c>
      <c r="E7260" s="988" t="s">
        <v>1496</v>
      </c>
      <c r="F7260" s="989" t="s">
        <v>16</v>
      </c>
      <c r="G7260" s="990" t="s">
        <v>76</v>
      </c>
      <c r="H7260" s="989" t="s">
        <v>2614</v>
      </c>
      <c r="I7260" s="989" t="s">
        <v>1496</v>
      </c>
      <c r="J7260" s="991"/>
      <c r="K7260" s="989" t="str">
        <f t="shared" si="222"/>
        <v>тмена</v>
      </c>
      <c r="L7260" s="989" t="s">
        <v>265</v>
      </c>
      <c r="M7260" s="989">
        <v>420</v>
      </c>
      <c r="N7260" s="919">
        <v>4.1666666666666664E-2</v>
      </c>
      <c r="O7260" s="920" t="s">
        <v>2691</v>
      </c>
      <c r="P7260" s="921" t="s">
        <v>1024</v>
      </c>
    </row>
    <row r="7261" spans="1:16" ht="19.5" hidden="1" thickBot="1" x14ac:dyDescent="0.3">
      <c r="A7261" s="1041"/>
      <c r="B7261" s="887" t="s">
        <v>2614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2614</v>
      </c>
      <c r="I7261" s="808" t="s">
        <v>2615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2672</v>
      </c>
      <c r="P7261" s="867" t="s">
        <v>2698</v>
      </c>
    </row>
    <row r="7262" spans="1:16" ht="19.5" hidden="1" thickBot="1" x14ac:dyDescent="0.3">
      <c r="A7262" s="1055">
        <f>MAX(A7079:A7259)+1</f>
        <v>4463</v>
      </c>
      <c r="B7262" s="531" t="s">
        <v>2565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2614</v>
      </c>
      <c r="I7262" s="537" t="s">
        <v>2615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2622</v>
      </c>
      <c r="P7262" s="867" t="s">
        <v>2706</v>
      </c>
    </row>
    <row r="7263" spans="1:16" ht="19.5" hidden="1" thickBot="1" x14ac:dyDescent="0.3">
      <c r="A7263" s="1057"/>
      <c r="B7263" s="563" t="s">
        <v>2565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2614</v>
      </c>
      <c r="I7263" s="569" t="s">
        <v>2615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2623</v>
      </c>
      <c r="P7263" s="867" t="s">
        <v>2703</v>
      </c>
    </row>
    <row r="7264" spans="1:16" ht="19.5" hidden="1" thickBot="1" x14ac:dyDescent="0.3">
      <c r="A7264" s="1057"/>
      <c r="B7264" s="563" t="s">
        <v>2565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2614</v>
      </c>
      <c r="I7264" s="569" t="s">
        <v>2615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2624</v>
      </c>
      <c r="P7264" s="867" t="s">
        <v>2704</v>
      </c>
    </row>
    <row r="7265" spans="1:16" ht="19.5" hidden="1" thickBot="1" x14ac:dyDescent="0.3">
      <c r="A7265" s="1057"/>
      <c r="B7265" s="905" t="s">
        <v>2615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2614</v>
      </c>
      <c r="I7265" s="908" t="s">
        <v>2615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2692</v>
      </c>
      <c r="P7265" s="867" t="s">
        <v>2702</v>
      </c>
    </row>
    <row r="7266" spans="1:16" ht="19.5" hidden="1" thickBot="1" x14ac:dyDescent="0.3">
      <c r="A7266" s="1056"/>
      <c r="B7266" s="832" t="s">
        <v>2614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2614</v>
      </c>
      <c r="I7266" s="829" t="s">
        <v>2615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2673</v>
      </c>
      <c r="P7266" s="867" t="s">
        <v>2705</v>
      </c>
    </row>
    <row r="7267" spans="1:16" ht="19.5" hidden="1" thickBot="1" x14ac:dyDescent="0.3">
      <c r="A7267" s="1039">
        <f>MAX(A7082:A7266)+1</f>
        <v>4464</v>
      </c>
      <c r="B7267" s="479" t="s">
        <v>2565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2614</v>
      </c>
      <c r="I7267" s="484" t="s">
        <v>2711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2630</v>
      </c>
      <c r="P7267" s="867" t="s">
        <v>2775</v>
      </c>
    </row>
    <row r="7268" spans="1:16" ht="19.5" hidden="1" thickBot="1" x14ac:dyDescent="0.3">
      <c r="A7268" s="1040"/>
      <c r="B7268" s="523" t="s">
        <v>2565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2614</v>
      </c>
      <c r="I7268" s="528" t="s">
        <v>2711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2629</v>
      </c>
      <c r="P7268" s="867" t="s">
        <v>2776</v>
      </c>
    </row>
    <row r="7269" spans="1:16" ht="19.5" hidden="1" thickBot="1" x14ac:dyDescent="0.3">
      <c r="A7269" s="1040"/>
      <c r="B7269" s="944" t="s">
        <v>2711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2614</v>
      </c>
      <c r="I7269" s="947" t="s">
        <v>2711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2764</v>
      </c>
      <c r="P7269" s="867" t="s">
        <v>2778</v>
      </c>
    </row>
    <row r="7270" spans="1:16" ht="19.5" hidden="1" thickBot="1" x14ac:dyDescent="0.3">
      <c r="A7270" s="1041"/>
      <c r="B7270" s="859" t="s">
        <v>2614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2614</v>
      </c>
      <c r="I7270" s="856" t="s">
        <v>2711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2674</v>
      </c>
      <c r="P7270" s="867" t="s">
        <v>2777</v>
      </c>
    </row>
    <row r="7271" spans="1:16" ht="19.5" hidden="1" thickBot="1" x14ac:dyDescent="0.3">
      <c r="A7271" s="1046">
        <f>MAX(A7084:A7270)+1</f>
        <v>4465</v>
      </c>
      <c r="B7271" s="760" t="s">
        <v>2565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2614</v>
      </c>
      <c r="I7271" s="569" t="s">
        <v>2615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2631</v>
      </c>
      <c r="P7271" s="867" t="s">
        <v>2726</v>
      </c>
    </row>
    <row r="7272" spans="1:16" ht="19.5" hidden="1" thickBot="1" x14ac:dyDescent="0.3">
      <c r="A7272" s="1048"/>
      <c r="B7272" s="798" t="s">
        <v>2614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2614</v>
      </c>
      <c r="I7272" s="801" t="s">
        <v>2615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2676</v>
      </c>
      <c r="P7272" s="867" t="s">
        <v>2727</v>
      </c>
    </row>
    <row r="7273" spans="1:16" ht="19.5" hidden="1" thickBot="1" x14ac:dyDescent="0.3">
      <c r="A7273" s="1042">
        <f>MAX(A7085:A7271)+1</f>
        <v>4466</v>
      </c>
      <c r="B7273" s="610" t="s">
        <v>2565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2614</v>
      </c>
      <c r="I7273" s="484" t="s">
        <v>2615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2632</v>
      </c>
      <c r="P7273" s="867" t="s">
        <v>2723</v>
      </c>
    </row>
    <row r="7274" spans="1:16" ht="19.5" hidden="1" thickBot="1" x14ac:dyDescent="0.3">
      <c r="A7274" s="1043"/>
      <c r="B7274" s="805" t="s">
        <v>2614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2614</v>
      </c>
      <c r="I7274" s="808" t="s">
        <v>2615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2677</v>
      </c>
      <c r="P7274" s="867" t="s">
        <v>2724</v>
      </c>
    </row>
    <row r="7275" spans="1:16" ht="19.5" hidden="1" thickBot="1" x14ac:dyDescent="0.3">
      <c r="A7275" s="1055">
        <f>MAX(A7086:A7273)+1</f>
        <v>4467</v>
      </c>
      <c r="B7275" s="531" t="s">
        <v>2565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2614</v>
      </c>
      <c r="I7275" s="537" t="s">
        <v>2711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2625</v>
      </c>
      <c r="P7275" s="867" t="s">
        <v>2829</v>
      </c>
    </row>
    <row r="7276" spans="1:16" ht="19.5" hidden="1" thickBot="1" x14ac:dyDescent="0.3">
      <c r="A7276" s="1056"/>
      <c r="B7276" s="636" t="s">
        <v>2565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2614</v>
      </c>
      <c r="I7276" s="642" t="s">
        <v>2711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2628</v>
      </c>
      <c r="P7276" s="867" t="s">
        <v>2830</v>
      </c>
    </row>
    <row r="7277" spans="1:16" ht="19.5" hidden="1" thickBot="1" x14ac:dyDescent="0.3">
      <c r="A7277" s="513">
        <f>MAX(A7088:A7276)+1</f>
        <v>4468</v>
      </c>
      <c r="B7277" s="514" t="s">
        <v>2565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2615</v>
      </c>
      <c r="I7277" s="520" t="s">
        <v>2615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2617</v>
      </c>
      <c r="P7277" s="867" t="s">
        <v>2699</v>
      </c>
    </row>
    <row r="7278" spans="1:16" ht="19.5" hidden="1" thickBot="1" x14ac:dyDescent="0.3">
      <c r="A7278" s="1046">
        <f>MAX(A7089:A7277)+1</f>
        <v>4469</v>
      </c>
      <c r="B7278" s="760" t="s">
        <v>2565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2615</v>
      </c>
      <c r="I7278" s="569" t="s">
        <v>2615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2621</v>
      </c>
      <c r="P7278" s="867" t="s">
        <v>2700</v>
      </c>
    </row>
    <row r="7279" spans="1:16" ht="19.5" hidden="1" thickBot="1" x14ac:dyDescent="0.3">
      <c r="A7279" s="1048"/>
      <c r="B7279" s="798" t="s">
        <v>2615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2615</v>
      </c>
      <c r="I7279" s="801" t="s">
        <v>2615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2686</v>
      </c>
      <c r="P7279" s="867" t="s">
        <v>2701</v>
      </c>
    </row>
    <row r="7280" spans="1:16" ht="169.5" hidden="1" thickBot="1" x14ac:dyDescent="0.3">
      <c r="A7280" s="513">
        <f>MAX(A7090:A7278)+1</f>
        <v>4470</v>
      </c>
      <c r="B7280" s="514" t="s">
        <v>2565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2618</v>
      </c>
      <c r="H7280" s="518" t="s">
        <v>2615</v>
      </c>
      <c r="I7280" s="520" t="s">
        <v>2664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2633</v>
      </c>
      <c r="P7280" s="867" t="s">
        <v>2735</v>
      </c>
    </row>
    <row r="7281" spans="1:16" ht="19.5" hidden="1" thickBot="1" x14ac:dyDescent="0.3">
      <c r="A7281" s="1046">
        <f>MAX(A7091:A7280)+1</f>
        <v>4471</v>
      </c>
      <c r="B7281" s="760" t="s">
        <v>2565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58" t="s">
        <v>2619</v>
      </c>
      <c r="H7281" s="567" t="s">
        <v>2615</v>
      </c>
      <c r="I7281" s="569" t="s">
        <v>2693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2634</v>
      </c>
      <c r="P7281" s="867" t="s">
        <v>2759</v>
      </c>
    </row>
    <row r="7282" spans="1:16" ht="19.5" hidden="1" thickBot="1" x14ac:dyDescent="0.3">
      <c r="A7282" s="1048"/>
      <c r="B7282" s="798" t="s">
        <v>2693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59"/>
      <c r="H7282" s="801" t="s">
        <v>2615</v>
      </c>
      <c r="I7282" s="801" t="s">
        <v>2693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2740</v>
      </c>
      <c r="P7282" s="867" t="s">
        <v>2760</v>
      </c>
    </row>
    <row r="7283" spans="1:16" ht="19.5" hidden="1" thickBot="1" x14ac:dyDescent="0.3">
      <c r="A7283" s="1039">
        <f>MAX(A7092:A7281)+1</f>
        <v>4472</v>
      </c>
      <c r="B7283" s="479" t="s">
        <v>2565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2615</v>
      </c>
      <c r="I7283" s="484" t="s">
        <v>2693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2627</v>
      </c>
      <c r="P7283" s="867" t="s">
        <v>2762</v>
      </c>
    </row>
    <row r="7284" spans="1:16" ht="19.5" hidden="1" thickBot="1" x14ac:dyDescent="0.3">
      <c r="A7284" s="1041"/>
      <c r="B7284" s="645" t="s">
        <v>2565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2615</v>
      </c>
      <c r="I7284" s="651" t="s">
        <v>2693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2626</v>
      </c>
      <c r="P7284" s="867" t="s">
        <v>2761</v>
      </c>
    </row>
    <row r="7285" spans="1:16" ht="19.5" hidden="1" thickBot="1" x14ac:dyDescent="0.3">
      <c r="A7285" s="1055">
        <f>MAX(A7094:A7284)+1</f>
        <v>4473</v>
      </c>
      <c r="B7285" s="531" t="s">
        <v>2614</v>
      </c>
      <c r="C7285" s="532" t="s">
        <v>2663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2664</v>
      </c>
      <c r="I7285" s="537" t="s">
        <v>2664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2665</v>
      </c>
      <c r="P7285" s="867" t="s">
        <v>2736</v>
      </c>
    </row>
    <row r="7286" spans="1:16" ht="19.5" hidden="1" thickBot="1" x14ac:dyDescent="0.3">
      <c r="A7286" s="1056"/>
      <c r="B7286" s="636" t="s">
        <v>2614</v>
      </c>
      <c r="C7286" s="637" t="s">
        <v>2663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2664</v>
      </c>
      <c r="I7286" s="642" t="s">
        <v>2664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2666</v>
      </c>
      <c r="P7286" s="867" t="s">
        <v>2737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2614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2664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2667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2615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2693</v>
      </c>
      <c r="I7288" s="510" t="s">
        <v>2693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2695</v>
      </c>
      <c r="P7288" s="867" t="s">
        <v>2763</v>
      </c>
    </row>
    <row r="7289" spans="1:16" ht="19.5" hidden="1" thickBot="1" x14ac:dyDescent="0.3">
      <c r="A7289" s="662">
        <f t="shared" si="223"/>
        <v>4476</v>
      </c>
      <c r="B7289" s="663" t="s">
        <v>2615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2693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2696</v>
      </c>
      <c r="P7289" s="921" t="s">
        <v>1024</v>
      </c>
    </row>
    <row r="7290" spans="1:16" ht="19.5" hidden="1" thickBot="1" x14ac:dyDescent="0.3">
      <c r="A7290" s="1046">
        <f t="shared" si="223"/>
        <v>4477</v>
      </c>
      <c r="B7290" s="759" t="s">
        <v>2664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2711</v>
      </c>
      <c r="I7290" s="537" t="s">
        <v>2711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2712</v>
      </c>
      <c r="P7290" s="867" t="s">
        <v>2785</v>
      </c>
    </row>
    <row r="7291" spans="1:16" ht="19.5" hidden="1" thickBot="1" x14ac:dyDescent="0.3">
      <c r="A7291" s="1047"/>
      <c r="B7291" s="852" t="s">
        <v>2711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2711</v>
      </c>
      <c r="I7291" s="839" t="s">
        <v>2711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2765</v>
      </c>
      <c r="P7291" s="867" t="s">
        <v>2786</v>
      </c>
    </row>
    <row r="7292" spans="1:16" ht="19.5" hidden="1" thickBot="1" x14ac:dyDescent="0.3">
      <c r="A7292" s="1048"/>
      <c r="B7292" s="785" t="s">
        <v>2693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2711</v>
      </c>
      <c r="I7292" s="788" t="s">
        <v>2711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2758</v>
      </c>
      <c r="P7292" s="867" t="s">
        <v>2787</v>
      </c>
    </row>
    <row r="7293" spans="1:16" ht="19.5" hidden="1" thickBot="1" x14ac:dyDescent="0.3">
      <c r="A7293" s="1042">
        <f>MAX(A7100:A7290)+1</f>
        <v>4478</v>
      </c>
      <c r="B7293" s="610" t="s">
        <v>2664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2711</v>
      </c>
      <c r="I7293" s="484" t="s">
        <v>2713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2714</v>
      </c>
      <c r="P7293" s="867" t="s">
        <v>2809</v>
      </c>
    </row>
    <row r="7294" spans="1:16" ht="19.5" hidden="1" thickBot="1" x14ac:dyDescent="0.3">
      <c r="A7294" s="1062"/>
      <c r="B7294" s="864" t="s">
        <v>2713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2711</v>
      </c>
      <c r="I7294" s="860" t="s">
        <v>2713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2795</v>
      </c>
      <c r="P7294" s="867" t="s">
        <v>2810</v>
      </c>
    </row>
    <row r="7295" spans="1:16" ht="19.5" hidden="1" thickBot="1" x14ac:dyDescent="0.3">
      <c r="A7295" s="1043"/>
      <c r="B7295" s="805" t="s">
        <v>2711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2711</v>
      </c>
      <c r="I7295" s="808" t="s">
        <v>2713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2794</v>
      </c>
      <c r="P7295" s="867" t="s">
        <v>2811</v>
      </c>
    </row>
    <row r="7296" spans="1:16" ht="19.5" hidden="1" thickBot="1" x14ac:dyDescent="0.3">
      <c r="A7296" s="1055">
        <f>MAX(A7101:A7293)+1</f>
        <v>4479</v>
      </c>
      <c r="B7296" s="531" t="s">
        <v>2664</v>
      </c>
      <c r="C7296" s="532" t="s">
        <v>2716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2711</v>
      </c>
      <c r="I7296" s="537" t="s">
        <v>2766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2718</v>
      </c>
      <c r="P7296" s="867" t="s">
        <v>2837</v>
      </c>
    </row>
    <row r="7297" spans="1:16" ht="19.5" hidden="1" thickBot="1" x14ac:dyDescent="0.3">
      <c r="A7297" s="1056"/>
      <c r="B7297" s="590" t="s">
        <v>2664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2711</v>
      </c>
      <c r="I7297" s="596" t="s">
        <v>2766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2717</v>
      </c>
      <c r="P7297" s="867" t="s">
        <v>2843</v>
      </c>
    </row>
    <row r="7298" spans="1:16" ht="19.5" hidden="1" thickBot="1" x14ac:dyDescent="0.3">
      <c r="A7298" s="1042">
        <f>MAX(A7104:A7297)+1</f>
        <v>4480</v>
      </c>
      <c r="B7298" s="610" t="s">
        <v>2664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2713</v>
      </c>
      <c r="I7298" s="484" t="s">
        <v>2713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2715</v>
      </c>
      <c r="P7298" s="867" t="s">
        <v>2812</v>
      </c>
    </row>
    <row r="7299" spans="1:16" ht="19.5" hidden="1" thickBot="1" x14ac:dyDescent="0.3">
      <c r="A7299" s="1062"/>
      <c r="B7299" s="864" t="s">
        <v>2713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2713</v>
      </c>
      <c r="I7299" s="860" t="s">
        <v>2713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2796</v>
      </c>
      <c r="P7299" s="867" t="s">
        <v>2814</v>
      </c>
    </row>
    <row r="7300" spans="1:16" ht="19.5" hidden="1" thickBot="1" x14ac:dyDescent="0.3">
      <c r="A7300" s="1043"/>
      <c r="B7300" s="805" t="s">
        <v>2711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2713</v>
      </c>
      <c r="I7300" s="808" t="s">
        <v>2713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2793</v>
      </c>
      <c r="P7300" s="867" t="s">
        <v>2813</v>
      </c>
    </row>
    <row r="7301" spans="1:16" x14ac:dyDescent="0.25">
      <c r="A7301" s="1046">
        <f>MAX(A7105:A7298)+1</f>
        <v>4481</v>
      </c>
      <c r="B7301" s="760" t="s">
        <v>2664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2713</v>
      </c>
      <c r="I7301" s="569" t="s">
        <v>2741</v>
      </c>
      <c r="J7301" s="570"/>
      <c r="K7301" s="563"/>
      <c r="L7301" s="567" t="s">
        <v>266</v>
      </c>
      <c r="M7301" s="567">
        <v>810</v>
      </c>
      <c r="N7301" s="571">
        <v>0.41666666666666669</v>
      </c>
      <c r="O7301" s="897" t="s">
        <v>2721</v>
      </c>
      <c r="P7301" s="867" t="s">
        <v>2807</v>
      </c>
    </row>
    <row r="7302" spans="1:16" x14ac:dyDescent="0.25">
      <c r="A7302" s="1047"/>
      <c r="B7302" s="824" t="s">
        <v>2664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2713</v>
      </c>
      <c r="I7302" s="782" t="s">
        <v>2741</v>
      </c>
      <c r="J7302" s="825"/>
      <c r="K7302" s="849"/>
      <c r="L7302" s="819" t="s">
        <v>28</v>
      </c>
      <c r="M7302" s="819">
        <v>1907.4600000000003</v>
      </c>
      <c r="N7302" s="811">
        <v>0.41666666666666669</v>
      </c>
      <c r="O7302" s="897" t="s">
        <v>2720</v>
      </c>
      <c r="P7302" s="867" t="s">
        <v>2833</v>
      </c>
    </row>
    <row r="7303" spans="1:16" x14ac:dyDescent="0.25">
      <c r="A7303" s="1047"/>
      <c r="B7303" s="824" t="s">
        <v>2664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2713</v>
      </c>
      <c r="I7303" s="782" t="s">
        <v>2741</v>
      </c>
      <c r="J7303" s="825"/>
      <c r="K7303" s="849"/>
      <c r="L7303" s="819" t="s">
        <v>28</v>
      </c>
      <c r="M7303" s="819">
        <v>15001</v>
      </c>
      <c r="N7303" s="811">
        <v>0.41666666666666669</v>
      </c>
      <c r="O7303" s="897" t="s">
        <v>2719</v>
      </c>
      <c r="P7303" s="867" t="s">
        <v>2834</v>
      </c>
    </row>
    <row r="7304" spans="1:16" x14ac:dyDescent="0.25">
      <c r="A7304" s="1047"/>
      <c r="B7304" s="798" t="s">
        <v>2741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2713</v>
      </c>
      <c r="I7304" s="801" t="s">
        <v>2741</v>
      </c>
      <c r="J7304" s="803"/>
      <c r="K7304" s="848"/>
      <c r="L7304" s="801" t="s">
        <v>28</v>
      </c>
      <c r="M7304" s="801">
        <v>900</v>
      </c>
      <c r="N7304" s="811">
        <v>0.41666666666666669</v>
      </c>
      <c r="O7304" s="897" t="s">
        <v>2800</v>
      </c>
      <c r="P7304" s="867" t="s">
        <v>2836</v>
      </c>
    </row>
    <row r="7305" spans="1:16" ht="19.5" thickBot="1" x14ac:dyDescent="0.3">
      <c r="A7305" s="1048"/>
      <c r="B7305" s="785" t="s">
        <v>2713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2713</v>
      </c>
      <c r="I7305" s="788" t="s">
        <v>2741</v>
      </c>
      <c r="J7305" s="790"/>
      <c r="K7305" s="877"/>
      <c r="L7305" s="788" t="s">
        <v>28</v>
      </c>
      <c r="M7305" s="788">
        <v>600</v>
      </c>
      <c r="N7305" s="784">
        <v>0.41666666666666669</v>
      </c>
      <c r="O7305" s="897" t="s">
        <v>2797</v>
      </c>
      <c r="P7305" s="867" t="s">
        <v>2835</v>
      </c>
    </row>
    <row r="7306" spans="1:16" x14ac:dyDescent="0.25">
      <c r="A7306" s="1042">
        <f>MAX(A7108:A7303)+1</f>
        <v>4482</v>
      </c>
      <c r="B7306" s="610" t="s">
        <v>2664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2713</v>
      </c>
      <c r="I7306" s="484" t="s">
        <v>2741</v>
      </c>
      <c r="J7306" s="485"/>
      <c r="K7306" s="479"/>
      <c r="L7306" s="483" t="s">
        <v>28</v>
      </c>
      <c r="M7306" s="483">
        <v>17809.12</v>
      </c>
      <c r="N7306" s="486">
        <v>0.45833333333333331</v>
      </c>
      <c r="O7306" s="897" t="s">
        <v>2722</v>
      </c>
      <c r="P7306" s="867" t="s">
        <v>2827</v>
      </c>
    </row>
    <row r="7307" spans="1:16" x14ac:dyDescent="0.25">
      <c r="A7307" s="1062"/>
      <c r="B7307" s="995" t="s">
        <v>2741</v>
      </c>
      <c r="C7307" s="996" t="s">
        <v>47</v>
      </c>
      <c r="D7307" s="997">
        <v>3.09</v>
      </c>
      <c r="E7307" s="997" t="s">
        <v>1496</v>
      </c>
      <c r="F7307" s="998" t="s">
        <v>16</v>
      </c>
      <c r="G7307" s="999" t="s">
        <v>76</v>
      </c>
      <c r="H7307" s="998" t="s">
        <v>2713</v>
      </c>
      <c r="I7307" s="998" t="s">
        <v>1496</v>
      </c>
      <c r="J7307" s="1000"/>
      <c r="K7307" s="1001"/>
      <c r="L7307" s="998" t="s">
        <v>28</v>
      </c>
      <c r="M7307" s="998">
        <v>3091.6800000000003</v>
      </c>
      <c r="N7307" s="961">
        <v>0.45833333333333331</v>
      </c>
      <c r="O7307" s="920" t="s">
        <v>2799</v>
      </c>
      <c r="P7307" s="921" t="s">
        <v>1024</v>
      </c>
    </row>
    <row r="7308" spans="1:16" ht="19.5" thickBot="1" x14ac:dyDescent="0.3">
      <c r="A7308" s="1043"/>
      <c r="B7308" s="805" t="s">
        <v>2713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2713</v>
      </c>
      <c r="I7308" s="808" t="s">
        <v>2741</v>
      </c>
      <c r="J7308" s="810"/>
      <c r="K7308" s="887"/>
      <c r="L7308" s="808" t="s">
        <v>28</v>
      </c>
      <c r="M7308" s="808">
        <v>1410</v>
      </c>
      <c r="N7308" s="778">
        <v>0.45833333333333331</v>
      </c>
      <c r="O7308" s="897" t="s">
        <v>2798</v>
      </c>
      <c r="P7308" s="867" t="s">
        <v>2828</v>
      </c>
    </row>
    <row r="7309" spans="1:16" ht="19.5" thickBot="1" x14ac:dyDescent="0.3">
      <c r="A7309" s="503">
        <f>MAX(A7111:A7306)+1</f>
        <v>4483</v>
      </c>
      <c r="B7309" s="504" t="s">
        <v>2693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2713</v>
      </c>
      <c r="I7309" s="510" t="s">
        <v>2713</v>
      </c>
      <c r="J7309" s="511"/>
      <c r="K7309" s="504"/>
      <c r="L7309" s="508" t="s">
        <v>265</v>
      </c>
      <c r="M7309" s="508">
        <v>14405.88</v>
      </c>
      <c r="N7309" s="512">
        <v>4.1666666666666664E-2</v>
      </c>
      <c r="O7309" s="897" t="s">
        <v>2742</v>
      </c>
      <c r="P7309" s="867" t="s">
        <v>2808</v>
      </c>
    </row>
    <row r="7310" spans="1:16" ht="19.5" thickBot="1" x14ac:dyDescent="0.3">
      <c r="A7310" s="513">
        <f>MAX(A7112:A7309)+1</f>
        <v>4484</v>
      </c>
      <c r="B7310" s="514" t="s">
        <v>2693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2713</v>
      </c>
      <c r="I7310" s="520" t="s">
        <v>2741</v>
      </c>
      <c r="J7310" s="521"/>
      <c r="K7310" s="514"/>
      <c r="L7310" s="518" t="s">
        <v>28</v>
      </c>
      <c r="M7310" s="518">
        <v>13048.8</v>
      </c>
      <c r="N7310" s="522">
        <v>0.41666666666666669</v>
      </c>
      <c r="O7310" s="897" t="s">
        <v>2743</v>
      </c>
      <c r="P7310" s="867" t="s">
        <v>2838</v>
      </c>
    </row>
    <row r="7311" spans="1:16" x14ac:dyDescent="0.25">
      <c r="A7311" s="1055">
        <f>MAX(A7113:A7310)+1</f>
        <v>4485</v>
      </c>
      <c r="B7311" s="750" t="s">
        <v>2693</v>
      </c>
      <c r="C7311" s="751" t="s">
        <v>981</v>
      </c>
      <c r="D7311" s="752">
        <v>0.998</v>
      </c>
      <c r="E7311" s="753" t="s">
        <v>1496</v>
      </c>
      <c r="F7311" s="994" t="s">
        <v>16</v>
      </c>
      <c r="G7311" s="931" t="s">
        <v>2299</v>
      </c>
      <c r="H7311" s="754" t="s">
        <v>2713</v>
      </c>
      <c r="I7311" s="932" t="s">
        <v>1496</v>
      </c>
      <c r="J7311" s="755"/>
      <c r="K7311" s="750"/>
      <c r="L7311" s="754" t="s">
        <v>266</v>
      </c>
      <c r="M7311" s="754">
        <v>998.4</v>
      </c>
      <c r="N7311" s="756">
        <v>0.5</v>
      </c>
      <c r="O7311" s="920" t="s">
        <v>2746</v>
      </c>
      <c r="P7311" s="921" t="s">
        <v>1024</v>
      </c>
    </row>
    <row r="7312" spans="1:16" x14ac:dyDescent="0.25">
      <c r="A7312" s="1057"/>
      <c r="B7312" s="563" t="s">
        <v>2693</v>
      </c>
      <c r="C7312" s="564" t="s">
        <v>480</v>
      </c>
      <c r="D7312" s="565">
        <v>8.77</v>
      </c>
      <c r="E7312" s="566">
        <v>7.319</v>
      </c>
      <c r="F7312" s="992" t="s">
        <v>16</v>
      </c>
      <c r="G7312" s="568"/>
      <c r="H7312" s="567" t="s">
        <v>2713</v>
      </c>
      <c r="I7312" s="569" t="s">
        <v>2741</v>
      </c>
      <c r="J7312" s="570"/>
      <c r="K7312" s="563"/>
      <c r="L7312" s="567" t="s">
        <v>266</v>
      </c>
      <c r="M7312" s="567">
        <v>8886.4399999999987</v>
      </c>
      <c r="N7312" s="571">
        <v>0.5</v>
      </c>
      <c r="O7312" s="897" t="s">
        <v>2751</v>
      </c>
      <c r="P7312" s="867" t="s">
        <v>2805</v>
      </c>
    </row>
    <row r="7313" spans="1:18" x14ac:dyDescent="0.25">
      <c r="A7313" s="1057"/>
      <c r="B7313" s="563" t="s">
        <v>2693</v>
      </c>
      <c r="C7313" s="564" t="s">
        <v>480</v>
      </c>
      <c r="D7313" s="565">
        <v>0.5</v>
      </c>
      <c r="E7313" s="566">
        <v>0.505</v>
      </c>
      <c r="F7313" s="992" t="s">
        <v>16</v>
      </c>
      <c r="G7313" s="568" t="s">
        <v>2299</v>
      </c>
      <c r="H7313" s="567" t="s">
        <v>2713</v>
      </c>
      <c r="I7313" s="569" t="s">
        <v>2741</v>
      </c>
      <c r="J7313" s="570"/>
      <c r="K7313" s="563"/>
      <c r="L7313" s="567" t="s">
        <v>266</v>
      </c>
      <c r="M7313" s="567">
        <v>504</v>
      </c>
      <c r="N7313" s="571">
        <v>0.5</v>
      </c>
      <c r="O7313" s="897" t="s">
        <v>2752</v>
      </c>
      <c r="P7313" s="867" t="s">
        <v>2802</v>
      </c>
    </row>
    <row r="7314" spans="1:18" x14ac:dyDescent="0.25">
      <c r="A7314" s="1057"/>
      <c r="B7314" s="563" t="s">
        <v>2693</v>
      </c>
      <c r="C7314" s="564" t="s">
        <v>981</v>
      </c>
      <c r="D7314" s="565">
        <v>4.9359999999999999</v>
      </c>
      <c r="E7314" s="566">
        <v>4.4569999999999999</v>
      </c>
      <c r="F7314" s="992" t="s">
        <v>16</v>
      </c>
      <c r="G7314" s="568"/>
      <c r="H7314" s="567" t="s">
        <v>2713</v>
      </c>
      <c r="I7314" s="569" t="s">
        <v>2741</v>
      </c>
      <c r="J7314" s="570"/>
      <c r="K7314" s="563"/>
      <c r="L7314" s="567" t="s">
        <v>266</v>
      </c>
      <c r="M7314" s="567">
        <v>4937.8600000000006</v>
      </c>
      <c r="N7314" s="571">
        <v>0.5</v>
      </c>
      <c r="O7314" s="897" t="s">
        <v>2748</v>
      </c>
      <c r="P7314" s="867" t="s">
        <v>2806</v>
      </c>
    </row>
    <row r="7315" spans="1:18" ht="19.5" thickBot="1" x14ac:dyDescent="0.3">
      <c r="A7315" s="1057"/>
      <c r="B7315" s="563" t="s">
        <v>2693</v>
      </c>
      <c r="C7315" s="564" t="s">
        <v>32</v>
      </c>
      <c r="D7315" s="565">
        <v>3.3860000000000001</v>
      </c>
      <c r="E7315" s="566">
        <v>3.3460000000000001</v>
      </c>
      <c r="F7315" s="992" t="s">
        <v>16</v>
      </c>
      <c r="G7315" s="568" t="s">
        <v>1702</v>
      </c>
      <c r="H7315" s="567" t="s">
        <v>2713</v>
      </c>
      <c r="I7315" s="569" t="s">
        <v>2741</v>
      </c>
      <c r="J7315" s="570"/>
      <c r="K7315" s="563"/>
      <c r="L7315" s="567" t="s">
        <v>266</v>
      </c>
      <c r="M7315" s="567">
        <v>3396.4500000000003</v>
      </c>
      <c r="N7315" s="571">
        <v>0.5</v>
      </c>
      <c r="O7315" s="897" t="s">
        <v>2747</v>
      </c>
      <c r="P7315" s="867" t="s">
        <v>2804</v>
      </c>
    </row>
    <row r="7316" spans="1:18" x14ac:dyDescent="0.25">
      <c r="A7316" s="1057"/>
      <c r="B7316" s="750" t="s">
        <v>2693</v>
      </c>
      <c r="C7316" s="751" t="s">
        <v>32</v>
      </c>
      <c r="D7316" s="752">
        <v>2.496</v>
      </c>
      <c r="E7316" s="753" t="s">
        <v>1496</v>
      </c>
      <c r="F7316" s="994" t="s">
        <v>16</v>
      </c>
      <c r="G7316" s="931" t="s">
        <v>2586</v>
      </c>
      <c r="H7316" s="754" t="s">
        <v>2713</v>
      </c>
      <c r="I7316" s="932" t="s">
        <v>1496</v>
      </c>
      <c r="J7316" s="755"/>
      <c r="K7316" s="750"/>
      <c r="L7316" s="754" t="s">
        <v>266</v>
      </c>
      <c r="M7316" s="754">
        <v>2496</v>
      </c>
      <c r="N7316" s="756">
        <v>0.5</v>
      </c>
      <c r="O7316" s="920" t="s">
        <v>2750</v>
      </c>
      <c r="P7316" s="921" t="s">
        <v>1024</v>
      </c>
    </row>
    <row r="7317" spans="1:18" ht="19.5" thickBot="1" x14ac:dyDescent="0.3">
      <c r="A7317" s="1056"/>
      <c r="B7317" s="590" t="s">
        <v>2693</v>
      </c>
      <c r="C7317" s="591" t="s">
        <v>32</v>
      </c>
      <c r="D7317" s="592">
        <v>0.63</v>
      </c>
      <c r="E7317" s="593">
        <v>0.628</v>
      </c>
      <c r="F7317" s="993" t="s">
        <v>16</v>
      </c>
      <c r="G7317" s="595" t="s">
        <v>2586</v>
      </c>
      <c r="H7317" s="594" t="s">
        <v>2713</v>
      </c>
      <c r="I7317" s="596" t="s">
        <v>2713</v>
      </c>
      <c r="J7317" s="597"/>
      <c r="K7317" s="590"/>
      <c r="L7317" s="594" t="s">
        <v>266</v>
      </c>
      <c r="M7317" s="594">
        <v>630</v>
      </c>
      <c r="N7317" s="598">
        <v>0.5</v>
      </c>
      <c r="O7317" s="897" t="s">
        <v>2749</v>
      </c>
      <c r="P7317" s="867" t="s">
        <v>2803</v>
      </c>
    </row>
    <row r="7318" spans="1:18" x14ac:dyDescent="0.25">
      <c r="A7318" s="1042">
        <f>MAX(A7129:A7317)+1</f>
        <v>4486</v>
      </c>
      <c r="B7318" s="610" t="s">
        <v>2693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2741</v>
      </c>
      <c r="I7318" s="484" t="s">
        <v>2766</v>
      </c>
      <c r="J7318" s="485"/>
      <c r="K7318" s="479"/>
      <c r="L7318" s="483" t="s">
        <v>265</v>
      </c>
      <c r="M7318" s="483">
        <v>17019.879999999997</v>
      </c>
      <c r="N7318" s="486">
        <v>4.1666666666666664E-2</v>
      </c>
      <c r="O7318" s="897" t="s">
        <v>2745</v>
      </c>
      <c r="P7318" s="867" t="s">
        <v>2839</v>
      </c>
    </row>
    <row r="7319" spans="1:18" x14ac:dyDescent="0.25">
      <c r="A7319" s="1062"/>
      <c r="B7319" s="769" t="s">
        <v>2693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2741</v>
      </c>
      <c r="I7319" s="768" t="s">
        <v>2766</v>
      </c>
      <c r="J7319" s="779"/>
      <c r="K7319" s="791"/>
      <c r="L7319" s="763" t="s">
        <v>265</v>
      </c>
      <c r="M7319" s="763">
        <v>1811.24</v>
      </c>
      <c r="N7319" s="770">
        <v>4.1666666666666664E-2</v>
      </c>
      <c r="O7319" s="897" t="s">
        <v>2744</v>
      </c>
      <c r="P7319" s="867" t="s">
        <v>2840</v>
      </c>
    </row>
    <row r="7320" spans="1:18" ht="19.5" thickBot="1" x14ac:dyDescent="0.3">
      <c r="A7320" s="1043"/>
      <c r="B7320" s="841" t="s">
        <v>2741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2741</v>
      </c>
      <c r="I7320" s="844" t="s">
        <v>2766</v>
      </c>
      <c r="J7320" s="845"/>
      <c r="K7320" s="886"/>
      <c r="L7320" s="844" t="s">
        <v>265</v>
      </c>
      <c r="M7320" s="844">
        <v>2025</v>
      </c>
      <c r="N7320" s="846">
        <v>4.1666666666666664E-2</v>
      </c>
      <c r="O7320" s="897" t="s">
        <v>2801</v>
      </c>
      <c r="P7320" s="867" t="s">
        <v>2841</v>
      </c>
    </row>
    <row r="7321" spans="1:18" x14ac:dyDescent="0.25">
      <c r="A7321" s="1052">
        <f>MAX(A7131:A7320)+1</f>
        <v>4487</v>
      </c>
      <c r="B7321" s="1004" t="s">
        <v>2693</v>
      </c>
      <c r="C7321" s="1005" t="s">
        <v>15</v>
      </c>
      <c r="D7321" s="1006">
        <v>9.1549999999999994</v>
      </c>
      <c r="E7321" s="1007"/>
      <c r="F7321" s="1008" t="s">
        <v>16</v>
      </c>
      <c r="G7321" s="1038" t="s">
        <v>2844</v>
      </c>
      <c r="H7321" s="1008" t="s">
        <v>2741</v>
      </c>
      <c r="I7321" s="1009"/>
      <c r="J7321" s="1010"/>
      <c r="K7321" s="1011"/>
      <c r="L7321" s="1008" t="s">
        <v>28</v>
      </c>
      <c r="M7321" s="1008">
        <v>9325.31</v>
      </c>
      <c r="N7321" s="1012">
        <v>0.41666666666666669</v>
      </c>
      <c r="O7321" s="897" t="s">
        <v>2754</v>
      </c>
      <c r="Q7321" s="847">
        <v>7467</v>
      </c>
      <c r="R7321" s="833" t="s">
        <v>2694</v>
      </c>
    </row>
    <row r="7322" spans="1:18" x14ac:dyDescent="0.25">
      <c r="A7322" s="1053"/>
      <c r="B7322" s="1013" t="s">
        <v>2693</v>
      </c>
      <c r="C7322" s="1014" t="s">
        <v>24</v>
      </c>
      <c r="D7322" s="1015">
        <v>8.4339999999999993</v>
      </c>
      <c r="E7322" s="1016"/>
      <c r="F7322" s="1017" t="s">
        <v>16</v>
      </c>
      <c r="G7322" s="1018"/>
      <c r="H7322" s="1017" t="s">
        <v>2741</v>
      </c>
      <c r="I7322" s="1019"/>
      <c r="J7322" s="1020"/>
      <c r="K7322" s="1021"/>
      <c r="L7322" s="1017" t="s">
        <v>28</v>
      </c>
      <c r="M7322" s="1017">
        <v>8606.24</v>
      </c>
      <c r="N7322" s="1022">
        <v>0.41666666666666669</v>
      </c>
      <c r="O7322" s="897" t="s">
        <v>2753</v>
      </c>
      <c r="Q7322" s="847">
        <v>6946</v>
      </c>
      <c r="R7322" s="833" t="s">
        <v>2694</v>
      </c>
    </row>
    <row r="7323" spans="1:18" ht="37.5" x14ac:dyDescent="0.25">
      <c r="A7323" s="1053"/>
      <c r="B7323" s="1023" t="s">
        <v>2766</v>
      </c>
      <c r="C7323" s="1024" t="s">
        <v>15</v>
      </c>
      <c r="D7323" s="1025">
        <v>1.56</v>
      </c>
      <c r="E7323" s="1025"/>
      <c r="F7323" s="1026" t="s">
        <v>16</v>
      </c>
      <c r="G7323" s="1027" t="s">
        <v>2845</v>
      </c>
      <c r="H7323" s="1026" t="s">
        <v>2741</v>
      </c>
      <c r="I7323" s="1026"/>
      <c r="J7323" s="1028"/>
      <c r="K7323" s="1029"/>
      <c r="L7323" s="1026" t="s">
        <v>28</v>
      </c>
      <c r="M7323" s="1026">
        <v>1560</v>
      </c>
      <c r="N7323" s="1022">
        <v>0.41666666666666669</v>
      </c>
      <c r="O7323" s="897" t="s">
        <v>2849</v>
      </c>
      <c r="Q7323" s="847">
        <v>1571</v>
      </c>
      <c r="R7323" s="833" t="s">
        <v>2694</v>
      </c>
    </row>
    <row r="7324" spans="1:18" ht="19.5" thickBot="1" x14ac:dyDescent="0.3">
      <c r="A7324" s="1054"/>
      <c r="B7324" s="1030" t="s">
        <v>2766</v>
      </c>
      <c r="C7324" s="1031" t="s">
        <v>24</v>
      </c>
      <c r="D7324" s="1032">
        <v>1.59</v>
      </c>
      <c r="E7324" s="1032"/>
      <c r="F7324" s="1033" t="s">
        <v>16</v>
      </c>
      <c r="G7324" s="1034" t="s">
        <v>76</v>
      </c>
      <c r="H7324" s="1033" t="s">
        <v>2741</v>
      </c>
      <c r="I7324" s="1033"/>
      <c r="J7324" s="1035"/>
      <c r="K7324" s="1036"/>
      <c r="L7324" s="1033" t="s">
        <v>28</v>
      </c>
      <c r="M7324" s="1033">
        <v>1590</v>
      </c>
      <c r="N7324" s="1037">
        <v>0.41666666666666669</v>
      </c>
      <c r="O7324" s="897" t="s">
        <v>2815</v>
      </c>
      <c r="Q7324" s="847">
        <v>1597</v>
      </c>
      <c r="R7324" s="833" t="s">
        <v>2694</v>
      </c>
    </row>
    <row r="7325" spans="1:18" x14ac:dyDescent="0.25">
      <c r="A7325" s="1039">
        <f>MAX(A7133:A7324)+1</f>
        <v>4488</v>
      </c>
      <c r="B7325" s="523" t="s">
        <v>2693</v>
      </c>
      <c r="C7325" s="524" t="s">
        <v>587</v>
      </c>
      <c r="D7325" s="525">
        <v>7.93</v>
      </c>
      <c r="E7325" s="526"/>
      <c r="F7325" s="527" t="s">
        <v>16</v>
      </c>
      <c r="G7325" s="561" t="s">
        <v>47</v>
      </c>
      <c r="H7325" s="527" t="s">
        <v>2741</v>
      </c>
      <c r="I7325" s="528"/>
      <c r="J7325" s="529"/>
      <c r="K7325" s="523"/>
      <c r="L7325" s="527" t="s">
        <v>28</v>
      </c>
      <c r="M7325" s="527">
        <v>7930.4400000000014</v>
      </c>
      <c r="N7325" s="530">
        <v>0.45833333333333331</v>
      </c>
      <c r="O7325" s="897" t="s">
        <v>2756</v>
      </c>
      <c r="Q7325" s="847">
        <v>6955</v>
      </c>
      <c r="R7325" s="833" t="s">
        <v>2694</v>
      </c>
    </row>
    <row r="7326" spans="1:18" x14ac:dyDescent="0.25">
      <c r="A7326" s="1040"/>
      <c r="B7326" s="523" t="s">
        <v>2693</v>
      </c>
      <c r="C7326" s="524" t="s">
        <v>47</v>
      </c>
      <c r="D7326" s="525">
        <v>9.65</v>
      </c>
      <c r="E7326" s="526"/>
      <c r="F7326" s="527" t="s">
        <v>16</v>
      </c>
      <c r="G7326" s="561"/>
      <c r="H7326" s="527" t="s">
        <v>2741</v>
      </c>
      <c r="I7326" s="528"/>
      <c r="J7326" s="529"/>
      <c r="K7326" s="523"/>
      <c r="L7326" s="527" t="s">
        <v>28</v>
      </c>
      <c r="M7326" s="527">
        <v>9749.8799999999974</v>
      </c>
      <c r="N7326" s="530">
        <v>0.45833333333333331</v>
      </c>
      <c r="O7326" s="897" t="s">
        <v>2755</v>
      </c>
      <c r="Q7326" s="847">
        <v>8414</v>
      </c>
      <c r="R7326" s="833" t="s">
        <v>2694</v>
      </c>
    </row>
    <row r="7327" spans="1:18" ht="19.5" thickBot="1" x14ac:dyDescent="0.3">
      <c r="A7327" s="1041"/>
      <c r="B7327" s="859" t="s">
        <v>2766</v>
      </c>
      <c r="C7327" s="854" t="s">
        <v>47</v>
      </c>
      <c r="D7327" s="855">
        <v>2.34</v>
      </c>
      <c r="E7327" s="855"/>
      <c r="F7327" s="856" t="s">
        <v>16</v>
      </c>
      <c r="G7327" s="857" t="s">
        <v>76</v>
      </c>
      <c r="H7327" s="856" t="s">
        <v>2741</v>
      </c>
      <c r="I7327" s="856"/>
      <c r="J7327" s="858"/>
      <c r="K7327" s="859"/>
      <c r="L7327" s="856" t="s">
        <v>28</v>
      </c>
      <c r="M7327" s="856">
        <v>2340</v>
      </c>
      <c r="N7327" s="653">
        <v>0.45833333333333331</v>
      </c>
      <c r="O7327" s="897" t="s">
        <v>2816</v>
      </c>
      <c r="Q7327" s="847">
        <v>2362</v>
      </c>
      <c r="R7327" s="833" t="s">
        <v>2694</v>
      </c>
    </row>
    <row r="7328" spans="1:18" x14ac:dyDescent="0.25">
      <c r="A7328" s="1046">
        <f>MAX(A7135:A7327)+1</f>
        <v>4489</v>
      </c>
      <c r="B7328" s="760" t="s">
        <v>2693</v>
      </c>
      <c r="C7328" s="564" t="s">
        <v>23</v>
      </c>
      <c r="D7328" s="565">
        <v>17.599</v>
      </c>
      <c r="E7328" s="566"/>
      <c r="F7328" s="567" t="s">
        <v>16</v>
      </c>
      <c r="G7328" s="568"/>
      <c r="H7328" s="567" t="s">
        <v>2741</v>
      </c>
      <c r="I7328" s="569"/>
      <c r="J7328" s="570"/>
      <c r="K7328" s="563"/>
      <c r="L7328" s="567" t="s">
        <v>28</v>
      </c>
      <c r="M7328" s="567">
        <v>17671.72</v>
      </c>
      <c r="N7328" s="571">
        <v>0.5</v>
      </c>
      <c r="O7328" s="897" t="s">
        <v>2757</v>
      </c>
      <c r="Q7328" s="847">
        <v>16259</v>
      </c>
      <c r="R7328" s="833" t="s">
        <v>2694</v>
      </c>
    </row>
    <row r="7329" spans="1:19" ht="19.5" thickBot="1" x14ac:dyDescent="0.3">
      <c r="A7329" s="1048"/>
      <c r="B7329" s="798" t="s">
        <v>2766</v>
      </c>
      <c r="C7329" s="799" t="s">
        <v>23</v>
      </c>
      <c r="D7329" s="800">
        <v>1.41</v>
      </c>
      <c r="E7329" s="800"/>
      <c r="F7329" s="801" t="s">
        <v>16</v>
      </c>
      <c r="G7329" s="802" t="s">
        <v>76</v>
      </c>
      <c r="H7329" s="801" t="s">
        <v>2741</v>
      </c>
      <c r="I7329" s="801"/>
      <c r="J7329" s="803"/>
      <c r="K7329" s="848"/>
      <c r="L7329" s="801" t="s">
        <v>28</v>
      </c>
      <c r="M7329" s="801">
        <v>1410</v>
      </c>
      <c r="N7329" s="804">
        <v>0.5</v>
      </c>
      <c r="O7329" s="897" t="s">
        <v>2817</v>
      </c>
      <c r="Q7329" s="847">
        <v>1411</v>
      </c>
      <c r="R7329" s="833" t="s">
        <v>2694</v>
      </c>
    </row>
    <row r="7330" spans="1:19" x14ac:dyDescent="0.25">
      <c r="A7330" s="1042">
        <f>MAX(A7136:A7328)+1</f>
        <v>4490</v>
      </c>
      <c r="B7330" s="610" t="s">
        <v>2711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2766</v>
      </c>
      <c r="I7330" s="484" t="s">
        <v>2766</v>
      </c>
      <c r="J7330" s="485"/>
      <c r="K7330" s="479"/>
      <c r="L7330" s="483" t="s">
        <v>265</v>
      </c>
      <c r="M7330" s="483">
        <v>17603.78</v>
      </c>
      <c r="N7330" s="486">
        <v>4.1666666666666664E-2</v>
      </c>
      <c r="O7330" s="897" t="s">
        <v>2769</v>
      </c>
      <c r="P7330" s="867" t="s">
        <v>2831</v>
      </c>
    </row>
    <row r="7331" spans="1:19" ht="19.5" thickBot="1" x14ac:dyDescent="0.3">
      <c r="A7331" s="1043"/>
      <c r="B7331" s="805" t="s">
        <v>2766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2766</v>
      </c>
      <c r="I7331" s="808" t="s">
        <v>2766</v>
      </c>
      <c r="J7331" s="810"/>
      <c r="K7331" s="887"/>
      <c r="L7331" s="808" t="s">
        <v>265</v>
      </c>
      <c r="M7331" s="808">
        <v>3420</v>
      </c>
      <c r="N7331" s="778">
        <v>4.1666666666666664E-2</v>
      </c>
      <c r="O7331" s="897" t="s">
        <v>2819</v>
      </c>
      <c r="P7331" s="867" t="s">
        <v>2832</v>
      </c>
    </row>
    <row r="7332" spans="1:19" ht="26.25" customHeight="1" x14ac:dyDescent="0.25">
      <c r="A7332" s="1046">
        <f>MAX(A7137:A7330)+1</f>
        <v>4491</v>
      </c>
      <c r="B7332" s="759" t="s">
        <v>2711</v>
      </c>
      <c r="C7332" s="532" t="s">
        <v>15</v>
      </c>
      <c r="D7332" s="533">
        <v>7.9119999999999999</v>
      </c>
      <c r="E7332" s="534"/>
      <c r="F7332" s="535" t="s">
        <v>16</v>
      </c>
      <c r="G7332" s="1049" t="s">
        <v>2767</v>
      </c>
      <c r="H7332" s="535" t="s">
        <v>2766</v>
      </c>
      <c r="I7332" s="537"/>
      <c r="J7332" s="538"/>
      <c r="K7332" s="531"/>
      <c r="L7332" s="535" t="s">
        <v>28</v>
      </c>
      <c r="M7332" s="535">
        <v>8078.6400000000012</v>
      </c>
      <c r="N7332" s="539">
        <v>0.41666666666666669</v>
      </c>
      <c r="O7332" s="897" t="s">
        <v>2772</v>
      </c>
      <c r="Q7332" s="1003">
        <v>-698</v>
      </c>
      <c r="R7332" s="833">
        <v>7380</v>
      </c>
      <c r="S7332" s="2">
        <f>R7332-M7332</f>
        <v>-698.64000000000124</v>
      </c>
    </row>
    <row r="7333" spans="1:19" ht="26.25" customHeight="1" x14ac:dyDescent="0.25">
      <c r="A7333" s="1047"/>
      <c r="B7333" s="824" t="s">
        <v>2711</v>
      </c>
      <c r="C7333" s="820" t="s">
        <v>24</v>
      </c>
      <c r="D7333" s="821">
        <v>5.5549999999999997</v>
      </c>
      <c r="E7333" s="822"/>
      <c r="F7333" s="819" t="s">
        <v>16</v>
      </c>
      <c r="G7333" s="1050"/>
      <c r="H7333" s="819" t="s">
        <v>2766</v>
      </c>
      <c r="I7333" s="782"/>
      <c r="J7333" s="825"/>
      <c r="K7333" s="849"/>
      <c r="L7333" s="819" t="s">
        <v>28</v>
      </c>
      <c r="M7333" s="819">
        <v>5692.6</v>
      </c>
      <c r="N7333" s="811">
        <v>0.41666666666666669</v>
      </c>
      <c r="O7333" s="897" t="s">
        <v>2771</v>
      </c>
      <c r="Q7333" s="1003">
        <v>-387</v>
      </c>
      <c r="R7333" s="833">
        <v>5305</v>
      </c>
      <c r="S7333" s="2">
        <f t="shared" ref="S7333:S7335" si="224">R7333-M7333</f>
        <v>-387.60000000000036</v>
      </c>
    </row>
    <row r="7334" spans="1:19" ht="26.25" customHeight="1" thickBot="1" x14ac:dyDescent="0.3">
      <c r="A7334" s="1048"/>
      <c r="B7334" s="798" t="s">
        <v>2766</v>
      </c>
      <c r="C7334" s="799" t="s">
        <v>15</v>
      </c>
      <c r="D7334" s="800">
        <v>1.1100000000000001</v>
      </c>
      <c r="E7334" s="800"/>
      <c r="F7334" s="801" t="s">
        <v>16</v>
      </c>
      <c r="G7334" s="1051"/>
      <c r="H7334" s="801" t="s">
        <v>2766</v>
      </c>
      <c r="I7334" s="801"/>
      <c r="J7334" s="803"/>
      <c r="K7334" s="848"/>
      <c r="L7334" s="801" t="s">
        <v>28</v>
      </c>
      <c r="M7334" s="801">
        <v>1110</v>
      </c>
      <c r="N7334" s="804">
        <v>0.41666666666666669</v>
      </c>
      <c r="O7334" s="920" t="s">
        <v>2826</v>
      </c>
      <c r="Q7334" s="1003">
        <v>1110</v>
      </c>
      <c r="R7334" s="833">
        <v>1110</v>
      </c>
      <c r="S7334" s="2">
        <f t="shared" si="224"/>
        <v>0</v>
      </c>
    </row>
    <row r="7335" spans="1:19" x14ac:dyDescent="0.25">
      <c r="A7335" s="1042">
        <f>MAX(A7139:A7334)+1</f>
        <v>4492</v>
      </c>
      <c r="B7335" s="610" t="s">
        <v>2711</v>
      </c>
      <c r="C7335" s="480" t="s">
        <v>23</v>
      </c>
      <c r="D7335" s="481">
        <v>16.652000000000001</v>
      </c>
      <c r="E7335" s="482"/>
      <c r="F7335" s="483" t="s">
        <v>16</v>
      </c>
      <c r="G7335" s="1044" t="s">
        <v>1633</v>
      </c>
      <c r="H7335" s="483" t="s">
        <v>2766</v>
      </c>
      <c r="I7335" s="484"/>
      <c r="J7335" s="485"/>
      <c r="K7335" s="479"/>
      <c r="L7335" s="483" t="s">
        <v>28</v>
      </c>
      <c r="M7335" s="483">
        <v>16838.939999999999</v>
      </c>
      <c r="N7335" s="486">
        <v>0.45833333333333331</v>
      </c>
      <c r="O7335" s="897" t="s">
        <v>2773</v>
      </c>
      <c r="Q7335" s="1002">
        <v>-1916</v>
      </c>
      <c r="R7335" s="833">
        <v>14922</v>
      </c>
      <c r="S7335" s="2">
        <f t="shared" si="224"/>
        <v>-1916.9399999999987</v>
      </c>
    </row>
    <row r="7336" spans="1:19" ht="19.5" thickBot="1" x14ac:dyDescent="0.3">
      <c r="A7336" s="1043"/>
      <c r="B7336" s="805" t="s">
        <v>2766</v>
      </c>
      <c r="C7336" s="806" t="s">
        <v>23</v>
      </c>
      <c r="D7336" s="807">
        <v>1.905</v>
      </c>
      <c r="E7336" s="807"/>
      <c r="F7336" s="808" t="s">
        <v>16</v>
      </c>
      <c r="G7336" s="1045"/>
      <c r="H7336" s="808" t="s">
        <v>2766</v>
      </c>
      <c r="I7336" s="808"/>
      <c r="J7336" s="810"/>
      <c r="K7336" s="887"/>
      <c r="L7336" s="808" t="s">
        <v>28</v>
      </c>
      <c r="M7336" s="808">
        <v>1905</v>
      </c>
      <c r="N7336" s="778">
        <v>0.45833333333333331</v>
      </c>
      <c r="O7336" s="897" t="s">
        <v>2818</v>
      </c>
      <c r="Q7336" s="1002">
        <v>1905</v>
      </c>
    </row>
    <row r="7337" spans="1:19" ht="19.5" thickBot="1" x14ac:dyDescent="0.3">
      <c r="A7337" s="503">
        <f>MAX(A7140:A7335)+1</f>
        <v>4493</v>
      </c>
      <c r="B7337" s="636" t="s">
        <v>2711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2766</v>
      </c>
      <c r="I7337" s="642" t="s">
        <v>2766</v>
      </c>
      <c r="J7337" s="643"/>
      <c r="K7337" s="636"/>
      <c r="L7337" s="640" t="s">
        <v>265</v>
      </c>
      <c r="M7337" s="640">
        <v>15191.000000000004</v>
      </c>
      <c r="N7337" s="644">
        <v>4.1666666666666664E-2</v>
      </c>
      <c r="O7337" s="897" t="s">
        <v>2779</v>
      </c>
      <c r="P7337" s="867" t="s">
        <v>2842</v>
      </c>
    </row>
    <row r="7338" spans="1:19" x14ac:dyDescent="0.25">
      <c r="A7338" s="1039">
        <f>MAX(A7141:A7337)+1</f>
        <v>4494</v>
      </c>
      <c r="B7338" s="479" t="s">
        <v>2711</v>
      </c>
      <c r="C7338" s="480" t="s">
        <v>667</v>
      </c>
      <c r="D7338" s="481">
        <v>6.0410000000000004</v>
      </c>
      <c r="E7338" s="482"/>
      <c r="F7338" s="483" t="s">
        <v>30</v>
      </c>
      <c r="G7338" s="549"/>
      <c r="H7338" s="483" t="s">
        <v>2766</v>
      </c>
      <c r="I7338" s="484"/>
      <c r="J7338" s="485"/>
      <c r="K7338" s="479"/>
      <c r="L7338" s="483" t="s">
        <v>28</v>
      </c>
      <c r="M7338" s="483">
        <v>6041.5199999999995</v>
      </c>
      <c r="N7338" s="486">
        <v>0.41666666666666669</v>
      </c>
      <c r="O7338" s="897" t="s">
        <v>2791</v>
      </c>
      <c r="Q7338" s="847">
        <v>6042</v>
      </c>
      <c r="R7338" s="833" t="s">
        <v>2694</v>
      </c>
    </row>
    <row r="7339" spans="1:19" x14ac:dyDescent="0.25">
      <c r="A7339" s="1040"/>
      <c r="B7339" s="523" t="s">
        <v>2711</v>
      </c>
      <c r="C7339" s="524" t="s">
        <v>15</v>
      </c>
      <c r="D7339" s="525">
        <v>4.8330000000000002</v>
      </c>
      <c r="E7339" s="526"/>
      <c r="F7339" s="527" t="s">
        <v>30</v>
      </c>
      <c r="G7339" s="561"/>
      <c r="H7339" s="527" t="s">
        <v>2766</v>
      </c>
      <c r="I7339" s="528"/>
      <c r="J7339" s="529"/>
      <c r="K7339" s="523"/>
      <c r="L7339" s="527" t="s">
        <v>28</v>
      </c>
      <c r="M7339" s="527">
        <v>4833.12</v>
      </c>
      <c r="N7339" s="530">
        <v>0.41666666666666669</v>
      </c>
      <c r="O7339" s="897" t="s">
        <v>2783</v>
      </c>
      <c r="Q7339" s="847">
        <v>4833</v>
      </c>
      <c r="R7339" s="833" t="s">
        <v>2694</v>
      </c>
    </row>
    <row r="7340" spans="1:19" ht="19.5" thickBot="1" x14ac:dyDescent="0.3">
      <c r="A7340" s="1041"/>
      <c r="B7340" s="645" t="s">
        <v>2711</v>
      </c>
      <c r="C7340" s="646" t="s">
        <v>24</v>
      </c>
      <c r="D7340" s="647">
        <v>2.4369999999999998</v>
      </c>
      <c r="E7340" s="648"/>
      <c r="F7340" s="649" t="s">
        <v>30</v>
      </c>
      <c r="G7340" s="650"/>
      <c r="H7340" s="649" t="s">
        <v>2766</v>
      </c>
      <c r="I7340" s="651"/>
      <c r="J7340" s="652"/>
      <c r="K7340" s="645"/>
      <c r="L7340" s="649" t="s">
        <v>28</v>
      </c>
      <c r="M7340" s="649">
        <v>2437.6799999999998</v>
      </c>
      <c r="N7340" s="653">
        <v>0.41666666666666669</v>
      </c>
      <c r="O7340" s="897" t="s">
        <v>2781</v>
      </c>
      <c r="P7340" s="952"/>
      <c r="Q7340" s="847">
        <v>2438</v>
      </c>
      <c r="R7340" s="833" t="s">
        <v>2694</v>
      </c>
    </row>
    <row r="7341" spans="1:19" x14ac:dyDescent="0.25">
      <c r="A7341" s="1055">
        <f>MAX(A7144:A7340)+1</f>
        <v>4495</v>
      </c>
      <c r="B7341" s="531" t="s">
        <v>2711</v>
      </c>
      <c r="C7341" s="532" t="s">
        <v>587</v>
      </c>
      <c r="D7341" s="533">
        <v>9.3539999999999992</v>
      </c>
      <c r="E7341" s="534"/>
      <c r="F7341" s="535" t="s">
        <v>30</v>
      </c>
      <c r="G7341" s="536" t="s">
        <v>23</v>
      </c>
      <c r="H7341" s="535" t="s">
        <v>2766</v>
      </c>
      <c r="I7341" s="537"/>
      <c r="J7341" s="538"/>
      <c r="K7341" s="531"/>
      <c r="L7341" s="535" t="s">
        <v>28</v>
      </c>
      <c r="M7341" s="535">
        <v>9354.24</v>
      </c>
      <c r="N7341" s="539">
        <v>0.45833333333333331</v>
      </c>
      <c r="O7341" s="897" t="s">
        <v>2792</v>
      </c>
      <c r="Q7341" s="847">
        <v>9287</v>
      </c>
      <c r="R7341" s="833" t="s">
        <v>2694</v>
      </c>
    </row>
    <row r="7342" spans="1:19" ht="19.5" thickBot="1" x14ac:dyDescent="0.3">
      <c r="A7342" s="1056"/>
      <c r="B7342" s="636" t="s">
        <v>2711</v>
      </c>
      <c r="C7342" s="637" t="s">
        <v>23</v>
      </c>
      <c r="D7342" s="638">
        <v>5.0990000000000002</v>
      </c>
      <c r="E7342" s="639"/>
      <c r="F7342" s="640" t="s">
        <v>30</v>
      </c>
      <c r="G7342" s="641"/>
      <c r="H7342" s="640" t="s">
        <v>2766</v>
      </c>
      <c r="I7342" s="642"/>
      <c r="J7342" s="643"/>
      <c r="K7342" s="636"/>
      <c r="L7342" s="640" t="s">
        <v>28</v>
      </c>
      <c r="M7342" s="640">
        <v>5099.5200000000004</v>
      </c>
      <c r="N7342" s="644">
        <v>0.45833333333333331</v>
      </c>
      <c r="O7342" s="897" t="s">
        <v>2790</v>
      </c>
      <c r="P7342" s="952"/>
      <c r="Q7342" s="847">
        <v>5100</v>
      </c>
      <c r="R7342" s="833" t="s">
        <v>2694</v>
      </c>
    </row>
    <row r="7343" spans="1:19" ht="19.5" thickBot="1" x14ac:dyDescent="0.3">
      <c r="A7343" s="513">
        <f t="shared" ref="A7343:A7354" si="225">MAX(A7146:A7342)+1</f>
        <v>4496</v>
      </c>
      <c r="B7343" s="514" t="s">
        <v>2711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2768</v>
      </c>
      <c r="I7343" s="520" t="s">
        <v>2768</v>
      </c>
      <c r="J7343" s="521"/>
      <c r="K7343" s="514"/>
      <c r="L7343" s="518" t="s">
        <v>265</v>
      </c>
      <c r="M7343" s="518">
        <v>19177.359999999997</v>
      </c>
      <c r="N7343" s="522">
        <v>4.1666666666666664E-2</v>
      </c>
      <c r="O7343" s="897" t="s">
        <v>2770</v>
      </c>
      <c r="P7343" s="867" t="s">
        <v>2850</v>
      </c>
      <c r="Q7343" s="847">
        <v>17836</v>
      </c>
      <c r="R7343" s="833" t="s">
        <v>2694</v>
      </c>
    </row>
    <row r="7344" spans="1:19" ht="19.5" thickBot="1" x14ac:dyDescent="0.3">
      <c r="A7344" s="503">
        <f t="shared" si="225"/>
        <v>4497</v>
      </c>
      <c r="B7344" s="504" t="s">
        <v>2711</v>
      </c>
      <c r="C7344" s="505" t="s">
        <v>23</v>
      </c>
      <c r="D7344" s="506">
        <v>17.602</v>
      </c>
      <c r="E7344" s="507"/>
      <c r="F7344" s="508" t="s">
        <v>16</v>
      </c>
      <c r="G7344" s="509"/>
      <c r="H7344" s="508" t="s">
        <v>2768</v>
      </c>
      <c r="I7344" s="510"/>
      <c r="J7344" s="511"/>
      <c r="K7344" s="504"/>
      <c r="L7344" s="508" t="s">
        <v>28</v>
      </c>
      <c r="M7344" s="508">
        <v>17741.260000000002</v>
      </c>
      <c r="N7344" s="512">
        <v>0.41666666666666669</v>
      </c>
      <c r="O7344" s="897" t="s">
        <v>2780</v>
      </c>
      <c r="Q7344" s="847">
        <v>-17</v>
      </c>
    </row>
    <row r="7345" spans="1:18" ht="38.25" thickBot="1" x14ac:dyDescent="0.3">
      <c r="A7345" s="513">
        <f t="shared" si="225"/>
        <v>4498</v>
      </c>
      <c r="B7345" s="514" t="s">
        <v>2711</v>
      </c>
      <c r="C7345" s="515" t="s">
        <v>47</v>
      </c>
      <c r="D7345" s="516">
        <v>16.655999999999999</v>
      </c>
      <c r="E7345" s="517"/>
      <c r="F7345" s="518" t="s">
        <v>16</v>
      </c>
      <c r="G7345" s="519" t="s">
        <v>1633</v>
      </c>
      <c r="H7345" s="518" t="s">
        <v>2768</v>
      </c>
      <c r="I7345" s="520"/>
      <c r="J7345" s="521"/>
      <c r="K7345" s="514"/>
      <c r="L7345" s="518" t="s">
        <v>28</v>
      </c>
      <c r="M7345" s="518">
        <v>16888.060000000001</v>
      </c>
      <c r="N7345" s="522">
        <v>0.45833333333333331</v>
      </c>
      <c r="O7345" s="897" t="s">
        <v>2788</v>
      </c>
      <c r="Q7345" s="847">
        <v>-56</v>
      </c>
    </row>
    <row r="7346" spans="1:18" ht="38.25" thickBot="1" x14ac:dyDescent="0.3">
      <c r="A7346" s="503">
        <f t="shared" si="225"/>
        <v>4499</v>
      </c>
      <c r="B7346" s="504" t="s">
        <v>2711</v>
      </c>
      <c r="C7346" s="505" t="s">
        <v>2774</v>
      </c>
      <c r="D7346" s="506">
        <v>18.163</v>
      </c>
      <c r="E7346" s="507"/>
      <c r="F7346" s="508" t="s">
        <v>16</v>
      </c>
      <c r="G7346" s="509" t="s">
        <v>2782</v>
      </c>
      <c r="H7346" s="508" t="s">
        <v>2768</v>
      </c>
      <c r="I7346" s="510"/>
      <c r="J7346" s="511" t="s">
        <v>25</v>
      </c>
      <c r="K7346" s="504"/>
      <c r="L7346" s="508" t="s">
        <v>265</v>
      </c>
      <c r="M7346" s="508">
        <v>18284.600000000002</v>
      </c>
      <c r="N7346" s="512">
        <v>0.5</v>
      </c>
      <c r="O7346" s="897" t="s">
        <v>2789</v>
      </c>
      <c r="Q7346" s="847">
        <v>16058</v>
      </c>
      <c r="R7346" s="833" t="s">
        <v>2694</v>
      </c>
    </row>
    <row r="7347" spans="1:18" ht="19.5" thickBot="1" x14ac:dyDescent="0.3">
      <c r="A7347" s="513">
        <f t="shared" si="225"/>
        <v>4500</v>
      </c>
      <c r="B7347" s="514" t="s">
        <v>2711</v>
      </c>
      <c r="C7347" s="515" t="s">
        <v>587</v>
      </c>
      <c r="D7347" s="516">
        <v>11.188000000000001</v>
      </c>
      <c r="E7347" s="517"/>
      <c r="F7347" s="518" t="s">
        <v>30</v>
      </c>
      <c r="G7347" s="519" t="s">
        <v>47</v>
      </c>
      <c r="H7347" s="518" t="s">
        <v>2768</v>
      </c>
      <c r="I7347" s="520"/>
      <c r="J7347" s="521"/>
      <c r="K7347" s="514"/>
      <c r="L7347" s="518" t="s">
        <v>28</v>
      </c>
      <c r="M7347" s="518">
        <v>11188.800000000001</v>
      </c>
      <c r="N7347" s="522">
        <v>0.41666666666666669</v>
      </c>
      <c r="O7347" s="897" t="s">
        <v>2784</v>
      </c>
    </row>
    <row r="7348" spans="1:18" ht="19.5" thickBot="1" x14ac:dyDescent="0.3">
      <c r="A7348" s="503">
        <f t="shared" si="225"/>
        <v>4501</v>
      </c>
      <c r="B7348" s="504" t="s">
        <v>2766</v>
      </c>
      <c r="C7348" s="505" t="s">
        <v>32</v>
      </c>
      <c r="D7348" s="506">
        <v>17.600000000000001</v>
      </c>
      <c r="E7348" s="507"/>
      <c r="F7348" s="508" t="s">
        <v>16</v>
      </c>
      <c r="G7348" s="509" t="s">
        <v>2299</v>
      </c>
      <c r="H7348" s="508" t="s">
        <v>2820</v>
      </c>
      <c r="I7348" s="510"/>
      <c r="J7348" s="511"/>
      <c r="K7348" s="504"/>
      <c r="L7348" s="508" t="s">
        <v>266</v>
      </c>
      <c r="M7348" s="508">
        <v>17604.599999999999</v>
      </c>
      <c r="N7348" s="512">
        <v>0.41666666666666669</v>
      </c>
      <c r="O7348" s="897" t="s">
        <v>2821</v>
      </c>
      <c r="P7348" s="867" t="s">
        <v>2413</v>
      </c>
    </row>
    <row r="7349" spans="1:18" x14ac:dyDescent="0.25">
      <c r="A7349" s="1039">
        <f t="shared" si="225"/>
        <v>4502</v>
      </c>
      <c r="B7349" s="479" t="s">
        <v>2766</v>
      </c>
      <c r="C7349" s="480" t="s">
        <v>55</v>
      </c>
      <c r="D7349" s="481">
        <v>2.0419999999999998</v>
      </c>
      <c r="E7349" s="482"/>
      <c r="F7349" s="483" t="s">
        <v>16</v>
      </c>
      <c r="G7349" s="549" t="s">
        <v>844</v>
      </c>
      <c r="H7349" s="483" t="s">
        <v>2820</v>
      </c>
      <c r="I7349" s="484"/>
      <c r="J7349" s="485"/>
      <c r="K7349" s="479"/>
      <c r="L7349" s="483" t="s">
        <v>266</v>
      </c>
      <c r="M7349" s="483">
        <v>2042.1699999999998</v>
      </c>
      <c r="N7349" s="486">
        <v>0.45833333333333331</v>
      </c>
      <c r="O7349" s="897" t="s">
        <v>2822</v>
      </c>
      <c r="P7349" s="952"/>
      <c r="Q7349" s="900"/>
    </row>
    <row r="7350" spans="1:18" x14ac:dyDescent="0.25">
      <c r="A7350" s="1040"/>
      <c r="B7350" s="523" t="s">
        <v>2766</v>
      </c>
      <c r="C7350" s="524" t="s">
        <v>55</v>
      </c>
      <c r="D7350" s="525">
        <v>7.2949999999999999</v>
      </c>
      <c r="E7350" s="526"/>
      <c r="F7350" s="527" t="s">
        <v>16</v>
      </c>
      <c r="G7350" s="561" t="s">
        <v>845</v>
      </c>
      <c r="H7350" s="527" t="s">
        <v>2820</v>
      </c>
      <c r="I7350" s="528"/>
      <c r="J7350" s="529"/>
      <c r="K7350" s="523"/>
      <c r="L7350" s="527" t="s">
        <v>266</v>
      </c>
      <c r="M7350" s="527">
        <v>7295.6399999999994</v>
      </c>
      <c r="N7350" s="530">
        <v>0.45833333333333331</v>
      </c>
      <c r="O7350" s="897" t="s">
        <v>2823</v>
      </c>
      <c r="P7350" s="952"/>
      <c r="Q7350" s="900"/>
    </row>
    <row r="7351" spans="1:18" x14ac:dyDescent="0.25">
      <c r="A7351" s="1040"/>
      <c r="B7351" s="523" t="s">
        <v>2766</v>
      </c>
      <c r="C7351" s="524" t="s">
        <v>55</v>
      </c>
      <c r="D7351" s="525">
        <v>5.5060000000000002</v>
      </c>
      <c r="E7351" s="526"/>
      <c r="F7351" s="527" t="s">
        <v>16</v>
      </c>
      <c r="G7351" s="561" t="s">
        <v>2299</v>
      </c>
      <c r="H7351" s="527" t="s">
        <v>2820</v>
      </c>
      <c r="I7351" s="528"/>
      <c r="J7351" s="529"/>
      <c r="K7351" s="523"/>
      <c r="L7351" s="527" t="s">
        <v>266</v>
      </c>
      <c r="M7351" s="527">
        <v>5506.8</v>
      </c>
      <c r="N7351" s="530">
        <v>0.45833333333333331</v>
      </c>
      <c r="O7351" s="897" t="s">
        <v>2825</v>
      </c>
      <c r="P7351" s="952"/>
      <c r="Q7351" s="900"/>
    </row>
    <row r="7352" spans="1:18" ht="19.5" thickBot="1" x14ac:dyDescent="0.3">
      <c r="A7352" s="1041"/>
      <c r="B7352" s="645" t="s">
        <v>2766</v>
      </c>
      <c r="C7352" s="646" t="s">
        <v>32</v>
      </c>
      <c r="D7352" s="647">
        <v>3.5019999999999998</v>
      </c>
      <c r="E7352" s="648"/>
      <c r="F7352" s="649" t="s">
        <v>16</v>
      </c>
      <c r="G7352" s="650" t="s">
        <v>2586</v>
      </c>
      <c r="H7352" s="649" t="s">
        <v>2820</v>
      </c>
      <c r="I7352" s="651"/>
      <c r="J7352" s="652"/>
      <c r="K7352" s="645"/>
      <c r="L7352" s="649" t="s">
        <v>266</v>
      </c>
      <c r="M7352" s="649">
        <v>3502.2</v>
      </c>
      <c r="N7352" s="653">
        <v>0.45833333333333331</v>
      </c>
      <c r="O7352" s="897" t="s">
        <v>2824</v>
      </c>
      <c r="P7352" s="952"/>
      <c r="Q7352" s="900"/>
    </row>
    <row r="7353" spans="1:18" ht="19.5" thickBot="1" x14ac:dyDescent="0.3">
      <c r="A7353" s="503">
        <f t="shared" si="225"/>
        <v>4503</v>
      </c>
      <c r="B7353" s="504" t="s">
        <v>2768</v>
      </c>
      <c r="C7353" s="505" t="s">
        <v>32</v>
      </c>
      <c r="D7353" s="506">
        <v>18.038</v>
      </c>
      <c r="E7353" s="507"/>
      <c r="F7353" s="508" t="s">
        <v>16</v>
      </c>
      <c r="G7353" s="509"/>
      <c r="H7353" s="508" t="s">
        <v>2846</v>
      </c>
      <c r="I7353" s="510"/>
      <c r="J7353" s="511"/>
      <c r="K7353" s="504"/>
      <c r="L7353" s="508" t="s">
        <v>266</v>
      </c>
      <c r="M7353" s="508">
        <v>18146.96</v>
      </c>
      <c r="N7353" s="512">
        <v>0.41666666666666669</v>
      </c>
      <c r="O7353" s="897" t="s">
        <v>2847</v>
      </c>
    </row>
    <row r="7354" spans="1:18" ht="19.5" thickBot="1" x14ac:dyDescent="0.3">
      <c r="A7354" s="572">
        <f t="shared" si="225"/>
        <v>4504</v>
      </c>
      <c r="B7354" s="573" t="s">
        <v>2768</v>
      </c>
      <c r="C7354" s="574" t="s">
        <v>32</v>
      </c>
      <c r="D7354" s="575">
        <v>18.001999999999999</v>
      </c>
      <c r="E7354" s="576"/>
      <c r="F7354" s="577" t="s">
        <v>16</v>
      </c>
      <c r="G7354" s="578"/>
      <c r="H7354" s="577" t="s">
        <v>2846</v>
      </c>
      <c r="I7354" s="579"/>
      <c r="J7354" s="580"/>
      <c r="K7354" s="573"/>
      <c r="L7354" s="577" t="s">
        <v>266</v>
      </c>
      <c r="M7354" s="577">
        <v>18098.380000000005</v>
      </c>
      <c r="N7354" s="581">
        <v>0.45833333333333331</v>
      </c>
      <c r="O7354" s="897" t="s">
        <v>2848</v>
      </c>
    </row>
    <row r="7355" spans="1:18" ht="19.5" thickBot="1" x14ac:dyDescent="0.3">
      <c r="A7355" s="503">
        <f t="shared" ref="A7355:A7380" si="226">MAX(A7159:A7354)+1</f>
        <v>4505</v>
      </c>
      <c r="B7355" s="504" t="s">
        <v>2820</v>
      </c>
      <c r="C7355" s="505" t="s">
        <v>26</v>
      </c>
      <c r="D7355" s="506">
        <v>17.472999999999999</v>
      </c>
      <c r="E7355" s="507"/>
      <c r="F7355" s="508" t="s">
        <v>16</v>
      </c>
      <c r="G7355" s="509"/>
      <c r="H7355" s="508" t="s">
        <v>2851</v>
      </c>
      <c r="I7355" s="510"/>
      <c r="J7355" s="511"/>
      <c r="K7355" s="504"/>
      <c r="L7355" s="508" t="s">
        <v>265</v>
      </c>
      <c r="M7355" s="508">
        <v>17648.800000000003</v>
      </c>
      <c r="N7355" s="512">
        <v>4.1666666666666664E-2</v>
      </c>
      <c r="O7355" s="897" t="s">
        <v>2854</v>
      </c>
    </row>
    <row r="7356" spans="1:18" ht="19.5" thickBot="1" x14ac:dyDescent="0.3">
      <c r="A7356" s="513">
        <f t="shared" si="226"/>
        <v>4506</v>
      </c>
      <c r="B7356" s="514" t="s">
        <v>2820</v>
      </c>
      <c r="C7356" s="515" t="s">
        <v>26</v>
      </c>
      <c r="D7356" s="516">
        <v>17.004999999999999</v>
      </c>
      <c r="E7356" s="517"/>
      <c r="F7356" s="518" t="s">
        <v>16</v>
      </c>
      <c r="G7356" s="519"/>
      <c r="H7356" s="518" t="s">
        <v>2851</v>
      </c>
      <c r="I7356" s="520"/>
      <c r="J7356" s="521"/>
      <c r="K7356" s="514"/>
      <c r="L7356" s="518" t="s">
        <v>265</v>
      </c>
      <c r="M7356" s="518">
        <v>17019</v>
      </c>
      <c r="N7356" s="522">
        <v>8.3333333333333329E-2</v>
      </c>
      <c r="O7356" s="897" t="s">
        <v>2855</v>
      </c>
    </row>
    <row r="7357" spans="1:18" ht="19.5" thickBot="1" x14ac:dyDescent="0.3">
      <c r="A7357" s="503">
        <f t="shared" si="226"/>
        <v>4507</v>
      </c>
      <c r="B7357" s="504" t="s">
        <v>2820</v>
      </c>
      <c r="C7357" s="505" t="s">
        <v>23</v>
      </c>
      <c r="D7357" s="506">
        <v>12.382999999999999</v>
      </c>
      <c r="E7357" s="507"/>
      <c r="F7357" s="508" t="s">
        <v>30</v>
      </c>
      <c r="G7357" s="509"/>
      <c r="H7357" s="508" t="s">
        <v>2851</v>
      </c>
      <c r="I7357" s="510"/>
      <c r="J7357" s="511"/>
      <c r="K7357" s="504"/>
      <c r="L7357" s="508" t="s">
        <v>28</v>
      </c>
      <c r="M7357" s="508">
        <v>12383.240000000002</v>
      </c>
      <c r="N7357" s="512">
        <v>0.41666666666666669</v>
      </c>
      <c r="O7357" s="897" t="s">
        <v>2853</v>
      </c>
    </row>
    <row r="7358" spans="1:18" ht="19.5" thickBot="1" x14ac:dyDescent="0.3">
      <c r="A7358" s="513">
        <f t="shared" si="226"/>
        <v>4508</v>
      </c>
      <c r="B7358" s="514" t="s">
        <v>2820</v>
      </c>
      <c r="C7358" s="515" t="s">
        <v>764</v>
      </c>
      <c r="D7358" s="516">
        <v>11.73</v>
      </c>
      <c r="E7358" s="517"/>
      <c r="F7358" s="518" t="s">
        <v>30</v>
      </c>
      <c r="G7358" s="519"/>
      <c r="H7358" s="518" t="s">
        <v>2851</v>
      </c>
      <c r="I7358" s="520"/>
      <c r="J7358" s="521"/>
      <c r="K7358" s="514"/>
      <c r="L7358" s="518" t="s">
        <v>28</v>
      </c>
      <c r="M7358" s="518">
        <v>11730.6</v>
      </c>
      <c r="N7358" s="522">
        <v>0.45833333333333331</v>
      </c>
      <c r="O7358" s="897" t="s">
        <v>2852</v>
      </c>
    </row>
    <row r="7359" spans="1:18" ht="19.5" thickBot="1" x14ac:dyDescent="0.3">
      <c r="A7359" s="503">
        <f t="shared" si="226"/>
        <v>4509</v>
      </c>
      <c r="B7359" s="504" t="s">
        <v>2820</v>
      </c>
      <c r="C7359" s="505" t="s">
        <v>26</v>
      </c>
      <c r="D7359" s="506">
        <v>17.542999999999999</v>
      </c>
      <c r="E7359" s="507"/>
      <c r="F7359" s="508" t="s">
        <v>16</v>
      </c>
      <c r="G7359" s="509"/>
      <c r="H7359" s="508" t="s">
        <v>2856</v>
      </c>
      <c r="I7359" s="510"/>
      <c r="J7359" s="511"/>
      <c r="K7359" s="504"/>
      <c r="L7359" s="508" t="s">
        <v>265</v>
      </c>
      <c r="M7359" s="508">
        <v>17716.34</v>
      </c>
      <c r="N7359" s="512">
        <v>4.1666666666666664E-2</v>
      </c>
      <c r="O7359" s="897" t="s">
        <v>2857</v>
      </c>
    </row>
    <row r="7360" spans="1:18" ht="19.5" thickBot="1" x14ac:dyDescent="0.3">
      <c r="A7360" s="513">
        <f t="shared" si="226"/>
        <v>4510</v>
      </c>
      <c r="B7360" s="514" t="s">
        <v>2820</v>
      </c>
      <c r="C7360" s="515" t="s">
        <v>26</v>
      </c>
      <c r="D7360" s="516">
        <v>17.510000000000002</v>
      </c>
      <c r="E7360" s="517"/>
      <c r="F7360" s="518" t="s">
        <v>16</v>
      </c>
      <c r="G7360" s="519"/>
      <c r="H7360" s="518" t="s">
        <v>2856</v>
      </c>
      <c r="I7360" s="520"/>
      <c r="J7360" s="521"/>
      <c r="K7360" s="514"/>
      <c r="L7360" s="518" t="s">
        <v>265</v>
      </c>
      <c r="M7360" s="518">
        <v>17700.18</v>
      </c>
      <c r="N7360" s="522">
        <v>8.3333333333333329E-2</v>
      </c>
      <c r="O7360" s="897" t="s">
        <v>2858</v>
      </c>
    </row>
    <row r="7361" spans="1:17" ht="56.25" x14ac:dyDescent="0.25">
      <c r="A7361" s="1055">
        <f t="shared" si="226"/>
        <v>4511</v>
      </c>
      <c r="B7361" s="531" t="s">
        <v>2820</v>
      </c>
      <c r="C7361" s="532" t="s">
        <v>587</v>
      </c>
      <c r="D7361" s="533">
        <v>0.90400000000000003</v>
      </c>
      <c r="E7361" s="534"/>
      <c r="F7361" s="535" t="s">
        <v>16</v>
      </c>
      <c r="G7361" s="536" t="s">
        <v>794</v>
      </c>
      <c r="H7361" s="535" t="s">
        <v>2856</v>
      </c>
      <c r="I7361" s="537"/>
      <c r="J7361" s="538"/>
      <c r="K7361" s="531"/>
      <c r="L7361" s="535" t="s">
        <v>28</v>
      </c>
      <c r="M7361" s="535">
        <v>917.6400000000001</v>
      </c>
      <c r="N7361" s="539">
        <v>0.41666666666666669</v>
      </c>
      <c r="O7361" s="897" t="s">
        <v>2861</v>
      </c>
    </row>
    <row r="7362" spans="1:17" x14ac:dyDescent="0.25">
      <c r="A7362" s="1057"/>
      <c r="B7362" s="563" t="s">
        <v>2820</v>
      </c>
      <c r="C7362" s="564" t="s">
        <v>587</v>
      </c>
      <c r="D7362" s="565">
        <v>8.1349999999999998</v>
      </c>
      <c r="E7362" s="566"/>
      <c r="F7362" s="567" t="s">
        <v>16</v>
      </c>
      <c r="G7362" s="568" t="s">
        <v>47</v>
      </c>
      <c r="H7362" s="567" t="s">
        <v>2856</v>
      </c>
      <c r="I7362" s="569"/>
      <c r="J7362" s="570"/>
      <c r="K7362" s="563"/>
      <c r="L7362" s="567" t="s">
        <v>28</v>
      </c>
      <c r="M7362" s="567">
        <v>8135.2799999999988</v>
      </c>
      <c r="N7362" s="571">
        <v>0.41666666666666669</v>
      </c>
      <c r="O7362" s="897" t="s">
        <v>2862</v>
      </c>
      <c r="Q7362" s="900"/>
    </row>
    <row r="7363" spans="1:17" ht="19.5" thickBot="1" x14ac:dyDescent="0.3">
      <c r="A7363" s="1056"/>
      <c r="B7363" s="636" t="s">
        <v>2820</v>
      </c>
      <c r="C7363" s="637" t="s">
        <v>47</v>
      </c>
      <c r="D7363" s="638">
        <v>8.4789999999999992</v>
      </c>
      <c r="E7363" s="639"/>
      <c r="F7363" s="640" t="s">
        <v>16</v>
      </c>
      <c r="G7363" s="641"/>
      <c r="H7363" s="640" t="s">
        <v>2856</v>
      </c>
      <c r="I7363" s="642"/>
      <c r="J7363" s="643"/>
      <c r="K7363" s="636"/>
      <c r="L7363" s="640" t="s">
        <v>28</v>
      </c>
      <c r="M7363" s="640">
        <v>8702.58</v>
      </c>
      <c r="N7363" s="644">
        <v>0.41666666666666669</v>
      </c>
      <c r="O7363" s="897" t="s">
        <v>2859</v>
      </c>
      <c r="Q7363" s="900"/>
    </row>
    <row r="7364" spans="1:17" x14ac:dyDescent="0.25">
      <c r="A7364" s="1039">
        <f t="shared" si="226"/>
        <v>4512</v>
      </c>
      <c r="B7364" s="479" t="s">
        <v>2820</v>
      </c>
      <c r="C7364" s="480" t="s">
        <v>913</v>
      </c>
      <c r="D7364" s="481">
        <v>0.91500000000000004</v>
      </c>
      <c r="E7364" s="482"/>
      <c r="F7364" s="483" t="s">
        <v>16</v>
      </c>
      <c r="G7364" s="549"/>
      <c r="H7364" s="483" t="s">
        <v>2856</v>
      </c>
      <c r="I7364" s="484"/>
      <c r="J7364" s="485"/>
      <c r="K7364" s="479"/>
      <c r="L7364" s="483" t="s">
        <v>266</v>
      </c>
      <c r="M7364" s="483">
        <v>920.10000000000014</v>
      </c>
      <c r="N7364" s="486">
        <v>0.45833333333333331</v>
      </c>
      <c r="O7364" s="897" t="s">
        <v>2865</v>
      </c>
    </row>
    <row r="7365" spans="1:17" x14ac:dyDescent="0.25">
      <c r="A7365" s="1040"/>
      <c r="B7365" s="523" t="s">
        <v>2820</v>
      </c>
      <c r="C7365" s="524" t="s">
        <v>839</v>
      </c>
      <c r="D7365" s="525">
        <v>2.2000000000000002</v>
      </c>
      <c r="E7365" s="526"/>
      <c r="F7365" s="527" t="s">
        <v>16</v>
      </c>
      <c r="G7365" s="561"/>
      <c r="H7365" s="527" t="s">
        <v>2856</v>
      </c>
      <c r="I7365" s="528"/>
      <c r="J7365" s="529"/>
      <c r="K7365" s="523"/>
      <c r="L7365" s="527" t="s">
        <v>28</v>
      </c>
      <c r="M7365" s="527">
        <v>2218.1999999999998</v>
      </c>
      <c r="N7365" s="530">
        <v>0.45833333333333331</v>
      </c>
      <c r="O7365" s="897" t="s">
        <v>2863</v>
      </c>
    </row>
    <row r="7366" spans="1:17" ht="19.5" thickBot="1" x14ac:dyDescent="0.3">
      <c r="A7366" s="1041"/>
      <c r="B7366" s="645" t="s">
        <v>2820</v>
      </c>
      <c r="C7366" s="646" t="s">
        <v>23</v>
      </c>
      <c r="D7366" s="647">
        <v>10.568</v>
      </c>
      <c r="E7366" s="648"/>
      <c r="F7366" s="649" t="s">
        <v>16</v>
      </c>
      <c r="G7366" s="650"/>
      <c r="H7366" s="649" t="s">
        <v>2856</v>
      </c>
      <c r="I7366" s="651"/>
      <c r="J7366" s="652"/>
      <c r="K7366" s="645"/>
      <c r="L7366" s="649" t="s">
        <v>28</v>
      </c>
      <c r="M7366" s="649">
        <v>10736.63</v>
      </c>
      <c r="N7366" s="653">
        <v>0.45833333333333331</v>
      </c>
      <c r="O7366" s="897" t="s">
        <v>2860</v>
      </c>
    </row>
    <row r="7367" spans="1:17" ht="19.5" thickBot="1" x14ac:dyDescent="0.3">
      <c r="A7367" s="503">
        <f t="shared" si="226"/>
        <v>4513</v>
      </c>
      <c r="B7367" s="504" t="s">
        <v>2820</v>
      </c>
      <c r="C7367" s="505" t="s">
        <v>840</v>
      </c>
      <c r="D7367" s="506">
        <v>17.908000000000001</v>
      </c>
      <c r="E7367" s="507"/>
      <c r="F7367" s="508" t="s">
        <v>16</v>
      </c>
      <c r="G7367" s="509"/>
      <c r="H7367" s="508" t="s">
        <v>2856</v>
      </c>
      <c r="I7367" s="510"/>
      <c r="J7367" s="511"/>
      <c r="K7367" s="504"/>
      <c r="L7367" s="508" t="s">
        <v>266</v>
      </c>
      <c r="M7367" s="508">
        <v>18018.059999999998</v>
      </c>
      <c r="N7367" s="512">
        <v>0.5</v>
      </c>
      <c r="O7367" s="897" t="s">
        <v>2864</v>
      </c>
    </row>
    <row r="7368" spans="1:17" x14ac:dyDescent="0.25">
      <c r="A7368" s="1039">
        <f t="shared" si="226"/>
        <v>4514</v>
      </c>
      <c r="B7368" s="479" t="s">
        <v>2820</v>
      </c>
      <c r="C7368" s="480" t="s">
        <v>981</v>
      </c>
      <c r="D7368" s="481">
        <v>2.5</v>
      </c>
      <c r="E7368" s="482"/>
      <c r="F7368" s="483" t="s">
        <v>16</v>
      </c>
      <c r="G7368" s="549" t="s">
        <v>2299</v>
      </c>
      <c r="H7368" s="483" t="s">
        <v>2856</v>
      </c>
      <c r="I7368" s="484"/>
      <c r="J7368" s="485"/>
      <c r="K7368" s="479"/>
      <c r="L7368" s="483" t="s">
        <v>266</v>
      </c>
      <c r="M7368" s="483">
        <v>2503.7999999999997</v>
      </c>
      <c r="N7368" s="486">
        <v>0.54166666666666663</v>
      </c>
      <c r="O7368" s="897" t="s">
        <v>2867</v>
      </c>
    </row>
    <row r="7369" spans="1:17" x14ac:dyDescent="0.25">
      <c r="A7369" s="1040"/>
      <c r="B7369" s="523" t="s">
        <v>2820</v>
      </c>
      <c r="C7369" s="524" t="s">
        <v>32</v>
      </c>
      <c r="D7369" s="525">
        <v>5.7220000000000004</v>
      </c>
      <c r="E7369" s="526"/>
      <c r="F7369" s="527" t="s">
        <v>16</v>
      </c>
      <c r="G7369" s="561" t="s">
        <v>1702</v>
      </c>
      <c r="H7369" s="527" t="s">
        <v>2856</v>
      </c>
      <c r="I7369" s="528"/>
      <c r="J7369" s="529"/>
      <c r="K7369" s="523"/>
      <c r="L7369" s="527" t="s">
        <v>266</v>
      </c>
      <c r="M7369" s="527">
        <v>5722.3</v>
      </c>
      <c r="N7369" s="530">
        <v>0.54166666666666663</v>
      </c>
      <c r="O7369" s="897" t="s">
        <v>2868</v>
      </c>
    </row>
    <row r="7370" spans="1:17" ht="19.5" thickBot="1" x14ac:dyDescent="0.3">
      <c r="A7370" s="1041"/>
      <c r="B7370" s="645" t="s">
        <v>2820</v>
      </c>
      <c r="C7370" s="646" t="s">
        <v>47</v>
      </c>
      <c r="D7370" s="647">
        <v>9.3130000000000006</v>
      </c>
      <c r="E7370" s="648"/>
      <c r="F7370" s="649" t="s">
        <v>16</v>
      </c>
      <c r="G7370" s="650"/>
      <c r="H7370" s="649" t="s">
        <v>2856</v>
      </c>
      <c r="I7370" s="651"/>
      <c r="J7370" s="652"/>
      <c r="K7370" s="645"/>
      <c r="L7370" s="649" t="s">
        <v>28</v>
      </c>
      <c r="M7370" s="649">
        <v>9429.26</v>
      </c>
      <c r="N7370" s="653">
        <v>0.54166666666666663</v>
      </c>
      <c r="O7370" s="897" t="s">
        <v>2866</v>
      </c>
    </row>
    <row r="7371" spans="1:17" x14ac:dyDescent="0.25">
      <c r="A7371" s="676">
        <f t="shared" si="226"/>
        <v>4515</v>
      </c>
      <c r="B7371" s="676"/>
      <c r="C7371" s="473"/>
      <c r="D7371" s="474"/>
      <c r="E7371" s="475"/>
      <c r="F7371" s="676"/>
      <c r="G7371" s="476"/>
      <c r="H7371" s="676"/>
      <c r="I7371" s="477"/>
      <c r="J7371" s="478"/>
      <c r="K7371" s="676"/>
      <c r="L7371" s="676"/>
      <c r="M7371" s="676"/>
      <c r="N7371" s="676"/>
    </row>
    <row r="7372" spans="1:17" x14ac:dyDescent="0.25">
      <c r="A7372" s="676">
        <f t="shared" si="226"/>
        <v>4516</v>
      </c>
      <c r="B7372" s="676"/>
      <c r="C7372" s="473"/>
      <c r="D7372" s="474"/>
      <c r="E7372" s="475"/>
      <c r="F7372" s="676"/>
      <c r="G7372" s="476"/>
      <c r="H7372" s="676"/>
      <c r="I7372" s="477"/>
      <c r="J7372" s="478"/>
      <c r="K7372" s="676"/>
      <c r="L7372" s="676"/>
      <c r="M7372" s="676"/>
      <c r="N7372" s="676"/>
    </row>
    <row r="7373" spans="1:17" x14ac:dyDescent="0.25">
      <c r="A7373" s="676">
        <f t="shared" si="226"/>
        <v>4517</v>
      </c>
      <c r="B7373" s="676"/>
      <c r="C7373" s="473"/>
      <c r="D7373" s="474"/>
      <c r="E7373" s="475"/>
      <c r="F7373" s="676"/>
      <c r="G7373" s="476"/>
      <c r="H7373" s="676"/>
      <c r="I7373" s="477"/>
      <c r="J7373" s="478"/>
      <c r="K7373" s="676"/>
      <c r="L7373" s="676"/>
      <c r="M7373" s="676"/>
      <c r="N7373" s="676"/>
    </row>
    <row r="7374" spans="1:17" x14ac:dyDescent="0.25">
      <c r="A7374" s="676">
        <f t="shared" si="226"/>
        <v>4518</v>
      </c>
      <c r="B7374" s="676"/>
      <c r="C7374" s="473"/>
      <c r="D7374" s="474"/>
      <c r="E7374" s="475"/>
      <c r="F7374" s="676"/>
      <c r="G7374" s="476"/>
      <c r="H7374" s="676"/>
      <c r="I7374" s="477"/>
      <c r="J7374" s="478"/>
      <c r="K7374" s="676"/>
      <c r="L7374" s="676"/>
      <c r="M7374" s="676"/>
      <c r="N7374" s="676"/>
    </row>
    <row r="7375" spans="1:17" x14ac:dyDescent="0.25">
      <c r="A7375" s="676">
        <f t="shared" si="226"/>
        <v>4519</v>
      </c>
      <c r="B7375" s="676"/>
      <c r="C7375" s="473"/>
      <c r="D7375" s="474"/>
      <c r="E7375" s="475"/>
      <c r="F7375" s="676"/>
      <c r="G7375" s="476"/>
      <c r="H7375" s="676"/>
      <c r="I7375" s="477"/>
      <c r="J7375" s="478"/>
      <c r="K7375" s="676"/>
      <c r="L7375" s="676"/>
      <c r="M7375" s="676"/>
      <c r="N7375" s="676"/>
    </row>
    <row r="7376" spans="1:17" x14ac:dyDescent="0.25">
      <c r="A7376" s="676">
        <f t="shared" si="226"/>
        <v>4520</v>
      </c>
      <c r="B7376" s="676"/>
      <c r="C7376" s="473"/>
      <c r="D7376" s="474"/>
      <c r="E7376" s="475"/>
      <c r="F7376" s="676"/>
      <c r="G7376" s="476"/>
      <c r="H7376" s="676"/>
      <c r="I7376" s="477"/>
      <c r="J7376" s="478"/>
      <c r="K7376" s="676"/>
      <c r="L7376" s="676"/>
      <c r="M7376" s="676"/>
      <c r="N7376" s="676"/>
    </row>
    <row r="7377" spans="1:14" x14ac:dyDescent="0.25">
      <c r="A7377" s="676">
        <f t="shared" si="226"/>
        <v>4521</v>
      </c>
      <c r="B7377" s="676"/>
      <c r="C7377" s="473"/>
      <c r="D7377" s="474"/>
      <c r="E7377" s="475"/>
      <c r="F7377" s="676"/>
      <c r="G7377" s="476"/>
      <c r="H7377" s="676"/>
      <c r="I7377" s="477"/>
      <c r="J7377" s="478"/>
      <c r="K7377" s="676"/>
      <c r="L7377" s="676"/>
      <c r="M7377" s="676"/>
      <c r="N7377" s="676"/>
    </row>
    <row r="7378" spans="1:14" x14ac:dyDescent="0.25">
      <c r="A7378" s="676">
        <f t="shared" si="226"/>
        <v>4522</v>
      </c>
      <c r="B7378" s="676"/>
      <c r="C7378" s="473"/>
      <c r="D7378" s="474"/>
      <c r="E7378" s="475"/>
      <c r="F7378" s="676"/>
      <c r="G7378" s="476"/>
      <c r="H7378" s="676"/>
      <c r="I7378" s="477"/>
      <c r="J7378" s="478"/>
      <c r="K7378" s="676"/>
      <c r="L7378" s="676"/>
      <c r="M7378" s="676"/>
      <c r="N7378" s="676"/>
    </row>
    <row r="7379" spans="1:14" x14ac:dyDescent="0.25">
      <c r="A7379" s="676">
        <f t="shared" si="226"/>
        <v>4523</v>
      </c>
      <c r="B7379" s="676"/>
      <c r="C7379" s="473"/>
      <c r="D7379" s="474"/>
      <c r="E7379" s="475"/>
      <c r="F7379" s="676"/>
      <c r="G7379" s="476"/>
      <c r="H7379" s="676"/>
      <c r="I7379" s="477"/>
      <c r="J7379" s="478"/>
      <c r="K7379" s="676"/>
      <c r="L7379" s="676"/>
      <c r="M7379" s="676"/>
      <c r="N7379" s="676"/>
    </row>
    <row r="7380" spans="1:14" x14ac:dyDescent="0.25">
      <c r="A7380" s="676">
        <f t="shared" si="226"/>
        <v>4524</v>
      </c>
      <c r="B7380" s="676"/>
      <c r="C7380" s="473"/>
      <c r="D7380" s="474"/>
      <c r="E7380" s="475"/>
      <c r="F7380" s="676"/>
      <c r="G7380" s="476"/>
      <c r="H7380" s="676"/>
      <c r="I7380" s="477"/>
      <c r="J7380" s="478"/>
      <c r="K7380" s="676"/>
      <c r="L7380" s="676"/>
      <c r="M7380" s="676"/>
      <c r="N7380" s="676"/>
    </row>
  </sheetData>
  <autoFilter ref="A2:R7369" xr:uid="{9E4C531E-AD50-422A-AC7C-8C5AF4C19268}">
    <filterColumn colId="10">
      <filters blank="1"/>
    </filterColumn>
  </autoFilter>
  <mergeCells count="1955">
    <mergeCell ref="A7368:A7370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G6604:G6605"/>
    <mergeCell ref="G5489:G5490"/>
    <mergeCell ref="G5534:G5538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A7218:A7219"/>
    <mergeCell ref="A7204:A7205"/>
    <mergeCell ref="A7281:A7282"/>
    <mergeCell ref="A7296:A7297"/>
    <mergeCell ref="A7328:A7329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361:A7363"/>
    <mergeCell ref="A7364:A7366"/>
    <mergeCell ref="A7349:A7352"/>
    <mergeCell ref="A7335:A7336"/>
    <mergeCell ref="G7335:G7336"/>
    <mergeCell ref="A7330:A7331"/>
    <mergeCell ref="A7332:A7334"/>
    <mergeCell ref="G7332:G7334"/>
    <mergeCell ref="A7321:A7324"/>
    <mergeCell ref="A7325:A7327"/>
    <mergeCell ref="A7285:A7286"/>
    <mergeCell ref="A7267:A7270"/>
    <mergeCell ref="A7275:A7276"/>
    <mergeCell ref="A7283:A7284"/>
    <mergeCell ref="A7230:A7231"/>
    <mergeCell ref="A7232:A7234"/>
    <mergeCell ref="A7235:A7236"/>
    <mergeCell ref="A7237:A7241"/>
    <mergeCell ref="A7244:A7247"/>
    <mergeCell ref="A7248:A7251"/>
    <mergeCell ref="A7252:A7255"/>
    <mergeCell ref="G7281:G7282"/>
    <mergeCell ref="A7338:A7340"/>
    <mergeCell ref="A7341:A7342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2026-09-23T16:44:29Z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