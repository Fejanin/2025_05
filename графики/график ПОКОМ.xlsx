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C624812F-46AD-40B0-BB29-B1E8A79675FC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Лист1!$A$2:$R$7293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E7218" i="1" l="1"/>
  <c r="E7216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s="1"/>
  <c r="A7120" i="1" s="1"/>
  <c r="A7124" i="1" s="1"/>
  <c r="A7125" i="1" s="1"/>
  <c r="A7126" i="1" s="1"/>
  <c r="A7127" i="1" s="1"/>
  <c r="A7129" i="1" s="1"/>
  <c r="A7131" i="1" s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s="1"/>
  <c r="A7167" i="1" s="1"/>
  <c r="A7169" i="1" s="1"/>
  <c r="A7172" i="1" s="1"/>
  <c r="A7173" i="1" s="1"/>
  <c r="A7177" i="1" s="1"/>
  <c r="A7180" i="1" s="1"/>
  <c r="A7183" i="1" s="1"/>
  <c r="A7184" i="1" s="1"/>
  <c r="A7185" i="1" s="1"/>
  <c r="A7188" i="1" s="1"/>
  <c r="A7191" i="1" s="1"/>
  <c r="A7195" i="1" s="1"/>
  <c r="A7196" i="1" s="1"/>
  <c r="A7199" i="1" s="1"/>
  <c r="A7201" i="1" s="1"/>
  <c r="A7204" i="1" s="1"/>
  <c r="A7206" i="1" s="1"/>
  <c r="A7208" i="1" s="1"/>
  <c r="A7209" i="1" s="1"/>
  <c r="A7211" i="1" s="1"/>
  <c r="A7212" i="1" l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l="1"/>
  <c r="A7244" i="1" s="1"/>
  <c r="A7247" i="1" s="1"/>
  <c r="A7251" i="1" s="1"/>
  <c r="A7255" i="1" l="1"/>
  <c r="A7257" i="1" s="1"/>
  <c r="A7258" i="1" s="1"/>
  <c r="A7260" i="1" l="1"/>
  <c r="A7264" i="1" s="1"/>
  <c r="A7267" i="1" s="1"/>
  <c r="A7269" i="1" s="1"/>
  <c r="A7271" i="1" s="1"/>
  <c r="A7273" i="1" s="1"/>
  <c r="A7274" i="1" s="1"/>
  <c r="A7275" i="1" s="1"/>
  <c r="A7276" i="1" s="1"/>
  <c r="A7277" i="1" s="1"/>
  <c r="A7279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</calcChain>
</file>

<file path=xl/sharedStrings.xml><?xml version="1.0" encoding="utf-8"?>
<sst xmlns="http://schemas.openxmlformats.org/spreadsheetml/2006/main" count="46919" uniqueCount="2673">
  <si>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</si>
  <si>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</si>
  <si>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</si>
  <si>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</si>
  <si>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</si>
  <si>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</si>
  <si>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</si>
  <si>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</si>
  <si>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</si>
  <si>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</si>
  <si>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</si>
  <si>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</si>
  <si>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</si>
  <si>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</si>
  <si>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</si>
  <si>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</si>
  <si>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</si>
  <si>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</si>
  <si>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</si>
  <si>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</si>
  <si>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</si>
  <si>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</si>
  <si>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</si>
  <si>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</si>
  <si>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</si>
  <si>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</si>
  <si>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</si>
  <si>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</si>
  <si>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</si>
  <si>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</si>
  <si>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</si>
  <si>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</si>
  <si>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</si>
  <si>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</si>
  <si>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</si>
  <si>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</si>
  <si>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</si>
  <si>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</si>
  <si>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</si>
  <si>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</si>
  <si>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</si>
  <si>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</si>
  <si>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</si>
  <si>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</si>
  <si>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</si>
  <si>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</si>
  <si>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</si>
  <si>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</si>
  <si>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</si>
  <si>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</si>
  <si>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</si>
  <si>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</si>
  <si>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</si>
  <si>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</si>
  <si>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</si>
  <si>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</si>
  <si>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</si>
  <si>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</si>
  <si>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</si>
  <si>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</si>
  <si>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</si>
  <si>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</si>
  <si>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</si>
  <si>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</si>
  <si>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</si>
  <si>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</si>
  <si>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</si>
  <si>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</si>
  <si>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</si>
  <si>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</si>
  <si>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</si>
  <si>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</si>
  <si>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</si>
  <si>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</si>
  <si>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</si>
  <si>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</si>
  <si>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</si>
  <si>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</si>
  <si>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</si>
  <si>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</si>
  <si>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</si>
  <si>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</si>
  <si>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</si>
  <si>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</si>
  <si>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</si>
  <si>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</si>
  <si>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</si>
  <si>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</si>
  <si>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</si>
  <si>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</si>
  <si>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</si>
  <si>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</si>
  <si>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</si>
  <si>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</si>
  <si>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</si>
  <si>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</si>
  <si>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</si>
  <si>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</si>
  <si>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</si>
  <si>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</si>
  <si>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</si>
  <si>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</si>
  <si>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</si>
  <si>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</si>
  <si>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</si>
  <si>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</si>
  <si>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</si>
  <si>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</si>
  <si>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</si>
  <si>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</si>
  <si>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</si>
  <si>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</si>
  <si>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</si>
  <si>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</si>
  <si>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</si>
  <si>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</si>
  <si>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</si>
  <si>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</si>
  <si>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</si>
  <si>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</si>
  <si>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</si>
  <si>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</si>
  <si>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</si>
  <si>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</si>
  <si>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</si>
  <si>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</si>
  <si>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</si>
  <si>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</si>
  <si>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</si>
  <si>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</si>
  <si>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</si>
  <si>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</si>
  <si>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</si>
  <si>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</si>
  <si>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</si>
  <si>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</si>
  <si>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</si>
  <si>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</si>
  <si>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</si>
  <si>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</si>
  <si>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</si>
  <si>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</si>
  <si>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</si>
  <si>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</si>
  <si>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</si>
  <si>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</si>
  <si>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</si>
  <si>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</si>
  <si>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</si>
  <si>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</si>
  <si>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</si>
  <si>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</si>
  <si>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</si>
  <si>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</si>
  <si>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</si>
  <si>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</si>
  <si>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</si>
  <si>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</si>
  <si>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</si>
  <si>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</si>
  <si>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</si>
  <si>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</si>
  <si>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</si>
  <si>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</si>
  <si>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</si>
  <si>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</si>
  <si>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</si>
  <si>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</si>
  <si>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</si>
  <si>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</si>
  <si>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</si>
  <si>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</si>
  <si>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</si>
  <si>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</si>
  <si>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</si>
  <si>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</si>
  <si>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</si>
  <si>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</si>
  <si>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</si>
  <si>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</si>
  <si>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</si>
  <si>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</si>
  <si>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</si>
  <si>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</si>
  <si>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</si>
  <si>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</si>
  <si>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</si>
  <si>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</si>
  <si>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</si>
  <si>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</si>
  <si>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</si>
  <si>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</si>
  <si>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</si>
  <si>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</si>
  <si>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</si>
  <si>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</si>
  <si>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</si>
  <si>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</si>
  <si>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</si>
  <si>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</si>
  <si>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</si>
  <si>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</si>
  <si>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</si>
  <si>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</si>
  <si>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</si>
  <si>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</si>
  <si>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</si>
  <si>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</si>
  <si>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</si>
  <si>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</si>
  <si>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</si>
  <si>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</si>
  <si>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</si>
  <si>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</si>
  <si>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</si>
  <si>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</si>
  <si>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</si>
  <si>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</si>
  <si>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</si>
  <si>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</si>
  <si>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</si>
  <si>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</si>
  <si>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</si>
  <si>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</si>
  <si>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</si>
  <si>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</si>
  <si>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</si>
  <si>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</si>
  <si>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</si>
  <si>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</si>
  <si>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</si>
  <si>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</si>
  <si>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</si>
  <si>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</si>
  <si>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</si>
  <si>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</si>
  <si>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</si>
  <si>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</si>
  <si>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</si>
  <si>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</si>
  <si>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</si>
  <si>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</si>
  <si>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</si>
  <si>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</si>
  <si>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</si>
  <si>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</si>
  <si>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</si>
  <si>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</si>
  <si>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</si>
  <si>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</si>
  <si>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</si>
  <si>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</si>
  <si>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</si>
  <si>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</si>
  <si>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</si>
  <si>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</si>
  <si>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</si>
  <si>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</si>
  <si>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</si>
  <si>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</si>
  <si>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</si>
  <si>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</si>
  <si>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</si>
  <si>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</si>
  <si>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</si>
  <si>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</si>
  <si>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</si>
  <si>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</si>
  <si>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</si>
  <si>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</si>
  <si>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</si>
  <si>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</si>
  <si>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</si>
  <si>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</si>
  <si>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</si>
  <si>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</si>
  <si>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</si>
  <si>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</si>
  <si>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</si>
  <si>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</si>
  <si>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</si>
  <si>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</si>
  <si>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</si>
  <si>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</si>
  <si>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</si>
  <si>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</si>
  <si>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</si>
  <si>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</si>
  <si>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</si>
  <si>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</si>
  <si>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</si>
  <si>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</si>
  <si>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</si>
  <si>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</si>
  <si>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</si>
  <si>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</si>
  <si>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</si>
  <si>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</si>
  <si>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</si>
  <si>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</si>
  <si>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</si>
  <si>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</si>
  <si>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</si>
  <si>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</si>
  <si>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</si>
  <si>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</si>
  <si>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</si>
  <si>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</si>
  <si>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</si>
  <si>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</si>
  <si>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</si>
  <si>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</si>
  <si>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</si>
  <si>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</si>
  <si>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</si>
  <si>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</si>
  <si>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</si>
  <si>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</si>
  <si>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</si>
  <si>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</si>
  <si>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</si>
  <si>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</si>
  <si>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</si>
  <si>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</si>
  <si>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</si>
  <si>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</si>
  <si>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</si>
  <si>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</si>
  <si>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</si>
  <si>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</si>
  <si>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</si>
  <si>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</si>
  <si>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</si>
  <si>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</si>
  <si>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</si>
  <si>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</si>
  <si>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</si>
  <si>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</si>
  <si>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</si>
  <si>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</si>
  <si>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</si>
  <si>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</si>
  <si>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</si>
  <si>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</si>
  <si>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</si>
  <si>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</si>
  <si>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</si>
  <si>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</si>
  <si>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</si>
  <si>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</si>
  <si>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</si>
  <si>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</si>
  <si>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</si>
  <si>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</si>
  <si>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</si>
  <si>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</si>
  <si>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</si>
  <si>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</si>
  <si>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</si>
  <si>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</si>
  <si>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</si>
  <si>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</si>
  <si>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</si>
  <si>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</si>
  <si>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</si>
  <si>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</si>
  <si>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</si>
  <si>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</si>
  <si>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</si>
  <si>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</si>
  <si>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</si>
  <si>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</si>
  <si>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</si>
  <si>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</si>
  <si>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</si>
  <si>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</si>
  <si>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</si>
  <si>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</si>
  <si>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</si>
  <si>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</si>
  <si>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</si>
  <si>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</si>
  <si>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</si>
  <si>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</si>
  <si>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</si>
  <si>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</si>
  <si>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</si>
  <si>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</si>
  <si>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</si>
  <si>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</si>
  <si>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</si>
  <si>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</si>
  <si>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</si>
  <si>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</si>
  <si>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</si>
  <si>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</si>
  <si>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</si>
  <si>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</si>
  <si>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</si>
  <si>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</si>
  <si>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</si>
  <si>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</si>
  <si>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</si>
  <si>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</si>
  <si>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</si>
  <si>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</si>
  <si>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</si>
  <si>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</si>
  <si>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</si>
  <si>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</si>
  <si>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</si>
  <si>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</si>
  <si>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</si>
  <si>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</si>
  <si>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</si>
  <si>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</si>
  <si>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</si>
  <si>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</si>
  <si>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</si>
  <si>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</si>
  <si>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</si>
  <si>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</si>
  <si>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</si>
  <si>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</si>
  <si>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</si>
  <si>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</si>
  <si>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</si>
  <si>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</si>
  <si>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</si>
  <si>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</si>
  <si>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</si>
  <si>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</si>
  <si>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</si>
  <si>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</si>
  <si>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</si>
  <si>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</si>
  <si>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</si>
  <si>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</si>
  <si>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</si>
  <si>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</si>
  <si>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</si>
  <si>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</si>
  <si>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</si>
  <si>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</si>
  <si>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</si>
  <si>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</si>
  <si>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</si>
  <si>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</si>
  <si>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</si>
  <si>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</si>
  <si>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</si>
  <si>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</si>
  <si>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</si>
  <si>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</si>
  <si>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</si>
  <si>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</si>
  <si>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</si>
  <si>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</si>
  <si>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</si>
  <si>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</si>
  <si>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</si>
  <si>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</si>
  <si>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</si>
  <si>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</si>
  <si>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</si>
  <si>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</si>
  <si>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</si>
  <si>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</si>
  <si>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</si>
  <si>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</si>
  <si>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</si>
  <si>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</si>
  <si>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</si>
  <si>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</si>
  <si>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</si>
  <si>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</si>
  <si>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</si>
  <si>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</si>
  <si>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</si>
  <si>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</si>
  <si>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</si>
  <si>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</si>
  <si>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</si>
  <si>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</si>
  <si>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</si>
  <si>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</si>
  <si>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</si>
  <si>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</si>
  <si>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</si>
  <si>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</si>
  <si>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</si>
  <si>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</si>
  <si>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</si>
  <si>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</si>
  <si>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</si>
  <si>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</si>
  <si>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</si>
  <si>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</si>
  <si>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</si>
  <si>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</si>
  <si>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</si>
  <si>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</si>
  <si>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</si>
  <si>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</si>
  <si>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</si>
  <si>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</si>
  <si>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</si>
  <si>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</si>
  <si>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</si>
  <si>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</si>
  <si>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</si>
  <si>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</si>
  <si>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</si>
  <si>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</si>
  <si>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</si>
  <si>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</si>
  <si>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</si>
  <si>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</si>
  <si>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</si>
  <si>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</si>
  <si>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</si>
  <si>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</si>
  <si>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</si>
  <si>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</si>
  <si>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</si>
  <si>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</si>
  <si>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</si>
  <si>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</si>
  <si>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</si>
  <si>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</si>
  <si>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</si>
  <si>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</si>
  <si>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</si>
  <si>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</si>
  <si>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</si>
  <si>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</si>
  <si>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</si>
  <si>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</si>
  <si>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</si>
  <si>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</si>
  <si>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</si>
  <si>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</si>
  <si>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</si>
  <si>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</si>
  <si>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</si>
  <si>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</si>
  <si>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</si>
  <si>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</si>
  <si>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</si>
  <si>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</si>
  <si>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</si>
  <si>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</si>
  <si>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</si>
  <si>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</si>
  <si>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</si>
  <si>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</si>
  <si>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</si>
  <si>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</si>
  <si>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</si>
  <si>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</si>
  <si>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</si>
  <si>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</si>
  <si>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</si>
  <si>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</si>
  <si>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</si>
  <si>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</si>
  <si>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</si>
  <si>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</si>
  <si>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</si>
  <si>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</si>
  <si>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</si>
  <si>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</si>
  <si>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</si>
  <si>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</si>
  <si>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</si>
  <si>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</si>
  <si>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</si>
  <si>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</si>
  <si>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</si>
  <si>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</si>
  <si>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</si>
  <si>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</si>
  <si>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</si>
  <si>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</si>
  <si>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</si>
  <si>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</si>
  <si>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</si>
  <si>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</si>
  <si>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</si>
  <si>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</si>
  <si>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</si>
  <si>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</si>
  <si>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</si>
  <si>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</si>
  <si>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</si>
  <si>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</si>
  <si>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</si>
  <si>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</si>
  <si>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</si>
  <si>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</si>
  <si>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</si>
  <si>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</si>
  <si>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</si>
  <si>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</si>
  <si>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</si>
  <si>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</si>
  <si>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</si>
  <si>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</si>
  <si>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</si>
  <si>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</si>
  <si>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</si>
  <si>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</si>
  <si>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</si>
  <si>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</si>
  <si>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</si>
  <si>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</si>
  <si>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</si>
  <si>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</si>
  <si>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</si>
  <si>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</si>
  <si>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</si>
  <si>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</si>
  <si>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</si>
  <si>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</si>
  <si>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</si>
  <si>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</si>
  <si>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</si>
  <si>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</si>
  <si>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</si>
  <si>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</si>
  <si>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</si>
  <si>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</si>
  <si>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</si>
  <si>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</si>
  <si>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</si>
  <si>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</si>
  <si>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</si>
  <si>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</si>
  <si>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</si>
  <si>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</si>
  <si>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</si>
  <si>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</si>
  <si>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</si>
  <si>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</si>
  <si>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</si>
  <si>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</si>
  <si>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</si>
  <si>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</si>
  <si>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</si>
  <si>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</si>
  <si>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</si>
  <si>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</si>
  <si>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</si>
  <si>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</si>
  <si>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</si>
  <si>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</si>
  <si>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</si>
  <si>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</si>
  <si>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</si>
  <si>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</si>
  <si>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</si>
  <si>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</si>
  <si>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</si>
  <si>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</si>
  <si>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</si>
  <si>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</si>
  <si>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</si>
  <si>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</si>
  <si>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</si>
  <si>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</si>
  <si>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</si>
  <si>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</si>
  <si>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</si>
  <si>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</si>
  <si>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</si>
  <si>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</si>
  <si>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</si>
  <si>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</si>
  <si>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</si>
  <si>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</si>
  <si>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</si>
  <si>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</si>
  <si>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</si>
  <si>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</si>
  <si>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</si>
  <si>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</si>
  <si>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</si>
  <si>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</si>
  <si>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</si>
  <si>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</si>
  <si>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</si>
  <si>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</si>
  <si>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</si>
  <si>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</si>
  <si>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</si>
  <si>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</si>
  <si>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</si>
  <si>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</si>
  <si>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</si>
  <si>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</si>
  <si>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</si>
  <si>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</si>
  <si>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</si>
  <si>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</si>
  <si>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</si>
  <si>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</si>
  <si>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</si>
  <si>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</si>
  <si>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</si>
  <si>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</si>
  <si>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</si>
  <si>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</si>
  <si>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</si>
  <si>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</si>
  <si>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</si>
  <si>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</si>
  <si>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</si>
  <si>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</si>
  <si>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</si>
  <si>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</si>
  <si>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</si>
  <si>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</si>
  <si>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</si>
  <si>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</si>
  <si>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</si>
  <si>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</si>
  <si>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</si>
  <si>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</si>
  <si>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</si>
  <si>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</si>
  <si>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</si>
  <si>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</si>
  <si>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</si>
  <si>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</si>
  <si>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</si>
  <si>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</si>
  <si>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</si>
  <si>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</si>
  <si>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</si>
  <si>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</si>
  <si>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</si>
  <si>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</si>
  <si>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</si>
  <si>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</si>
  <si>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</si>
  <si>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</si>
  <si>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</si>
  <si>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</si>
  <si>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</si>
  <si>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</si>
  <si>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</si>
  <si>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</si>
  <si>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</si>
  <si>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</si>
  <si>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</si>
  <si>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</si>
  <si>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</si>
  <si>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</si>
  <si>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</si>
  <si>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</si>
  <si>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</si>
  <si>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</si>
  <si>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</si>
  <si>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</si>
  <si>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</si>
  <si>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</si>
  <si>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</si>
  <si>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</si>
  <si>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</si>
  <si>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</si>
  <si>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</si>
  <si>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</si>
  <si>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</si>
  <si>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</si>
  <si>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</si>
  <si>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</si>
  <si>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</si>
  <si>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</si>
  <si>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</si>
  <si>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</si>
  <si>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</si>
  <si>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</si>
  <si>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</si>
  <si>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</si>
  <si>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</si>
  <si>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</si>
  <si>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</si>
  <si>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</si>
  <si>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</si>
  <si>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</si>
  <si>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</si>
  <si>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</si>
  <si>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</si>
  <si>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</si>
  <si>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</si>
  <si>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</si>
  <si>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</si>
  <si>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</si>
  <si>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</si>
  <si>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</si>
  <si>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</si>
  <si>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</si>
  <si>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</si>
  <si>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</si>
  <si>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</si>
  <si>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</si>
  <si>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</si>
  <si>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</si>
  <si>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</si>
  <si>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</si>
  <si>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</si>
  <si>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</si>
  <si>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</si>
  <si>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</si>
  <si>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</si>
  <si>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</si>
  <si>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</si>
  <si>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</si>
  <si>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</si>
  <si>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</si>
  <si>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</si>
  <si>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</si>
  <si>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</si>
  <si>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</si>
  <si>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</si>
  <si>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</si>
  <si>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</si>
  <si>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</si>
  <si>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</si>
  <si>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</si>
  <si>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</si>
  <si>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</si>
  <si>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</si>
  <si>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</si>
  <si>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</si>
  <si>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</si>
  <si>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</si>
  <si>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</si>
  <si>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</si>
  <si>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</si>
  <si>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</si>
  <si>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</si>
  <si>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</si>
  <si>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</si>
  <si>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</si>
  <si>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</si>
  <si>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</si>
  <si>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</si>
  <si>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</si>
  <si>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</si>
  <si>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</si>
  <si>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</si>
  <si>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</si>
  <si>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</si>
  <si>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</si>
  <si>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</si>
  <si>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</si>
  <si>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</si>
  <si>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</si>
  <si>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</si>
  <si>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</si>
  <si>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</si>
  <si>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</si>
  <si>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</si>
  <si>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</si>
  <si>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</si>
  <si>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</si>
  <si>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</si>
  <si>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</si>
  <si>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</si>
  <si>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</si>
  <si>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</si>
  <si>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</si>
  <si>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</si>
  <si>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</si>
  <si>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</si>
  <si>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</si>
  <si>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</si>
  <si>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</si>
  <si>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</si>
  <si>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</si>
  <si>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</si>
  <si>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</si>
  <si>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</si>
  <si>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</si>
  <si>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</si>
  <si>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</si>
  <si>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</si>
  <si>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</si>
  <si>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</si>
  <si>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</si>
  <si>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</si>
  <si>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</si>
  <si>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</si>
  <si>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</si>
  <si>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</si>
  <si>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</si>
  <si>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</si>
  <si>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</si>
  <si>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</si>
  <si>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</si>
  <si>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</si>
  <si>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</si>
  <si>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</si>
  <si>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</si>
  <si>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</si>
  <si>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</si>
  <si>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</si>
  <si>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</si>
  <si>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</si>
  <si>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</si>
  <si>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</si>
  <si>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</si>
  <si>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</si>
  <si>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</si>
  <si>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</si>
  <si>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</si>
  <si>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</si>
  <si>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</si>
  <si>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</si>
  <si>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</si>
  <si>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</si>
  <si>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</si>
  <si>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</si>
  <si>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</si>
  <si>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</si>
  <si>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</si>
  <si>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</si>
  <si>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</si>
  <si>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</si>
  <si>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</si>
  <si>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</si>
  <si>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</si>
  <si>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</si>
  <si>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</si>
  <si>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</si>
  <si>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</si>
  <si>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</si>
  <si>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</si>
  <si>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</si>
  <si>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</si>
  <si>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</si>
  <si>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</si>
  <si>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</si>
  <si>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</si>
  <si>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</si>
  <si>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</si>
  <si>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</si>
  <si>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</si>
  <si>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</si>
  <si>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</si>
  <si>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</si>
  <si>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</si>
  <si>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</si>
  <si>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</si>
  <si>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</si>
  <si>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</si>
  <si>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</si>
  <si>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</si>
  <si>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</si>
  <si>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</si>
  <si>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</si>
  <si>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</si>
  <si>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</si>
  <si>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</si>
  <si>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</si>
  <si>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</si>
  <si>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</si>
  <si>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</si>
  <si>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</si>
  <si>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</si>
  <si>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</si>
  <si>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</si>
  <si>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</si>
  <si>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</si>
  <si>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</si>
  <si>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</si>
  <si>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</si>
  <si>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</si>
  <si>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</si>
  <si>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</si>
  <si>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</si>
  <si>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</si>
  <si>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</si>
  <si>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</si>
  <si>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</si>
  <si>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</si>
  <si>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</si>
  <si>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</si>
  <si>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</si>
  <si>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</si>
  <si>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</si>
  <si>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</si>
  <si>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</si>
  <si>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</si>
  <si>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</si>
  <si>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</si>
  <si>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</si>
  <si>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</si>
  <si>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</si>
  <si>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</si>
  <si>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</si>
  <si>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</si>
  <si>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</si>
  <si>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</si>
  <si>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</si>
  <si>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</si>
  <si>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</si>
  <si>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</si>
  <si>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</si>
  <si>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</si>
  <si>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</si>
  <si>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</si>
  <si>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</si>
  <si>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</si>
  <si>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</si>
  <si>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</si>
  <si>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</si>
  <si>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</si>
  <si>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</si>
  <si>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</si>
  <si>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</si>
  <si>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</si>
  <si>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</si>
  <si>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</si>
  <si>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</si>
  <si>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</si>
  <si>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</si>
  <si>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</si>
  <si>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</si>
  <si>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</si>
  <si>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</si>
  <si>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</si>
  <si>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</si>
  <si>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</si>
  <si>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</si>
  <si>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</si>
  <si>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</si>
  <si>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</si>
  <si>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</si>
  <si>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</si>
  <si>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</si>
  <si>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</si>
  <si>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</si>
  <si>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</si>
  <si>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</si>
  <si>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</si>
  <si>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</si>
  <si>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</si>
  <si>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</si>
  <si>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</si>
  <si>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</si>
  <si>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</si>
  <si>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</si>
  <si>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</si>
  <si>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</si>
  <si>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</si>
  <si>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</si>
  <si>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</si>
  <si>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</si>
  <si>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</si>
  <si>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</si>
  <si>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</si>
  <si>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</si>
  <si>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</si>
  <si>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</si>
  <si>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</si>
  <si>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</si>
  <si>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</si>
  <si>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</si>
  <si>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</si>
  <si>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</si>
  <si>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</si>
  <si>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</si>
  <si>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</si>
  <si>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</si>
  <si>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</si>
  <si>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</si>
  <si>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</si>
  <si>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</si>
  <si>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</si>
  <si>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</si>
  <si>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</si>
  <si>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</si>
  <si>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</si>
  <si>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</si>
  <si>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</si>
  <si>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</si>
  <si>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</si>
  <si>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</si>
  <si>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</si>
  <si>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</si>
  <si>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</si>
  <si>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</si>
  <si>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</si>
  <si>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</si>
  <si>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</si>
  <si>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</si>
  <si>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</si>
  <si>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</si>
  <si>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</si>
  <si>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</si>
  <si>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</si>
  <si>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</si>
  <si>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</si>
  <si>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</si>
  <si>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</si>
  <si>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</si>
  <si>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</si>
  <si>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</si>
  <si>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</si>
  <si>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</si>
  <si>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</si>
  <si>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</si>
  <si>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</si>
  <si>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</si>
  <si>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</si>
  <si>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</si>
  <si>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</si>
  <si>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</si>
  <si>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</si>
  <si>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</si>
  <si>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</si>
  <si>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</si>
  <si>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</si>
  <si>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</si>
  <si>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</si>
  <si>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</si>
  <si>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</si>
  <si>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</si>
  <si>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</si>
  <si>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</si>
  <si>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</si>
  <si>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</si>
  <si>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</si>
  <si>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</si>
  <si>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</si>
  <si>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</si>
  <si>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</si>
  <si>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</si>
  <si>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</si>
  <si>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</si>
  <si>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</si>
  <si>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</si>
  <si>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</si>
  <si>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</si>
  <si>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</si>
  <si>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</si>
  <si>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</si>
  <si>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</si>
  <si>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</si>
  <si>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</si>
  <si>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</si>
  <si>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</si>
  <si>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</si>
  <si>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</si>
  <si>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</si>
  <si>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</si>
  <si>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</si>
  <si>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</si>
  <si>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</si>
  <si>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</si>
  <si>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</si>
  <si>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</si>
  <si>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</si>
  <si>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</si>
  <si>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</si>
  <si>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</si>
  <si>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</si>
  <si>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</si>
  <si>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</si>
  <si>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</si>
  <si>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</si>
  <si>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</si>
  <si>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</si>
  <si>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</si>
  <si>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</si>
  <si>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</si>
  <si>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</si>
  <si>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</si>
  <si>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</si>
  <si>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</si>
  <si>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</si>
  <si>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</si>
  <si>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</si>
  <si>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</si>
  <si>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</si>
  <si>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</si>
  <si>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</si>
  <si>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</si>
  <si>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</si>
  <si>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</si>
  <si>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</si>
  <si>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</si>
  <si>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</si>
  <si>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</si>
  <si>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</si>
  <si>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</si>
  <si>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</si>
  <si>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</si>
  <si>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</si>
  <si>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</si>
  <si>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</si>
  <si>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</si>
  <si>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</si>
  <si>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</si>
  <si>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</si>
  <si>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</si>
  <si>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</si>
  <si>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</si>
  <si>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</si>
  <si>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</si>
  <si>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</si>
  <si>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</si>
  <si>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</si>
  <si>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</si>
  <si>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</si>
  <si>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</si>
  <si>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</si>
  <si>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</si>
  <si>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</si>
  <si>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</si>
  <si>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</si>
  <si>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</si>
  <si>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</si>
  <si>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</si>
  <si>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</si>
  <si>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</si>
  <si>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</si>
  <si>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</si>
  <si>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</si>
  <si>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</si>
  <si>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</si>
  <si>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</si>
  <si>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</si>
  <si>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</si>
  <si>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</si>
  <si>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</si>
  <si>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</si>
  <si>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</si>
  <si>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</si>
  <si>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</si>
  <si>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</si>
  <si>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</si>
  <si>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</si>
  <si>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</si>
  <si>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</si>
  <si>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</si>
  <si>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</si>
  <si>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</si>
  <si>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</si>
  <si>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</si>
  <si>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</si>
  <si>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</si>
  <si>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</si>
  <si>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</si>
  <si>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</si>
  <si>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</si>
  <si>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</si>
  <si>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</si>
  <si>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</si>
  <si>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</si>
  <si>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</si>
  <si>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</si>
  <si>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</si>
  <si>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</si>
  <si>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</si>
  <si>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</si>
  <si>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</si>
  <si>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</si>
  <si>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</si>
  <si>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</si>
  <si>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</si>
  <si>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</si>
  <si>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</si>
  <si>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</si>
  <si>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</si>
  <si>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</si>
  <si>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</si>
  <si>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</si>
  <si>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</si>
  <si>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</si>
  <si>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</si>
  <si>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</si>
  <si>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</si>
  <si>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</si>
  <si>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</si>
  <si>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</si>
  <si>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</si>
  <si>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</si>
  <si>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</si>
  <si>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</si>
  <si>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</si>
  <si>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</si>
  <si>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</si>
  <si>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</si>
  <si>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</si>
  <si>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</si>
  <si>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</si>
  <si>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</si>
  <si>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</si>
  <si>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</si>
  <si>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</si>
  <si>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</si>
  <si>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</si>
  <si>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</si>
  <si>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</si>
  <si>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</si>
  <si>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</si>
  <si>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</si>
  <si>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</si>
  <si>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</si>
  <si>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</si>
  <si>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</si>
  <si>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</si>
  <si>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</si>
  <si>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</si>
  <si>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</si>
  <si>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</si>
  <si>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</si>
  <si>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</si>
  <si>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</si>
  <si>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</si>
  <si>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</si>
  <si>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</si>
  <si>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</si>
  <si>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</si>
  <si>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</si>
  <si>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</si>
  <si>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</si>
  <si>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</si>
  <si>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</si>
  <si>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</si>
  <si>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</si>
  <si>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</si>
  <si>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</si>
  <si>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</si>
  <si>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</si>
  <si>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</si>
  <si>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</si>
  <si>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</si>
  <si>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</si>
  <si>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</si>
  <si>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</si>
  <si>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</si>
  <si>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</si>
  <si>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</si>
  <si>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</si>
  <si>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</si>
  <si>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</si>
  <si>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</si>
  <si>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</si>
  <si>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</si>
  <si>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</si>
  <si>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</si>
  <si>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</si>
  <si>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</si>
  <si>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</si>
  <si>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</si>
  <si>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</si>
  <si>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</si>
  <si>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</si>
  <si>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</si>
  <si>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</si>
  <si>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</si>
  <si>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</si>
  <si>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</si>
  <si>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</si>
  <si>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</si>
  <si>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</si>
  <si>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</si>
  <si>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</si>
  <si>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</si>
  <si>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</si>
  <si>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</si>
  <si>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</si>
  <si>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</si>
  <si>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</si>
  <si>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</si>
  <si>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</si>
  <si>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</si>
  <si>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</si>
  <si>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</si>
  <si>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</si>
  <si>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</si>
  <si>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</si>
  <si>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</si>
  <si>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</si>
  <si>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</si>
  <si>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</si>
  <si>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</si>
  <si>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</si>
  <si>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</si>
  <si>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</si>
  <si>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</si>
  <si>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</si>
  <si>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</si>
  <si>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</si>
  <si>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</si>
  <si>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</si>
  <si>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</si>
  <si>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</si>
  <si>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</si>
  <si>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</si>
  <si>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</si>
  <si>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</si>
  <si>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</si>
  <si>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</si>
  <si>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</si>
  <si>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</si>
  <si>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</si>
  <si>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</si>
  <si>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</si>
  <si>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</si>
  <si>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</si>
  <si>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</si>
  <si>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</si>
  <si>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</si>
  <si>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</si>
  <si>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</si>
  <si>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</si>
  <si>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</si>
  <si>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</si>
  <si>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</si>
  <si>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</si>
  <si>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</si>
  <si>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</si>
  <si>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</si>
  <si>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</si>
  <si>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</si>
  <si>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</si>
  <si>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</si>
  <si>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</si>
  <si>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</si>
  <si>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</si>
  <si>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</si>
  <si>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</si>
  <si>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</si>
  <si>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</si>
  <si>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</si>
  <si>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</si>
  <si>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</si>
  <si>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</si>
  <si>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</si>
  <si>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</si>
  <si>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</si>
  <si>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</si>
  <si>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</si>
  <si>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</si>
  <si>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</si>
  <si>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</si>
  <si>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</si>
  <si>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</si>
  <si>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</si>
  <si>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</si>
  <si>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</si>
  <si>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</si>
  <si>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</si>
  <si>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</si>
  <si>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</si>
  <si>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</si>
  <si>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</si>
  <si>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</si>
  <si>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</si>
  <si>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</si>
  <si>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</si>
  <si>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</si>
  <si>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</si>
  <si>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</si>
  <si>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</si>
  <si>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</si>
  <si>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</si>
  <si>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</si>
  <si>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</si>
  <si>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</si>
  <si>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</si>
  <si>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</si>
  <si>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</si>
  <si>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</si>
  <si>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</si>
  <si>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</si>
  <si>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</si>
  <si>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</si>
  <si>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</si>
  <si>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</si>
  <si>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</si>
  <si>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</si>
  <si>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</si>
  <si>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</si>
  <si>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</si>
  <si>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</si>
  <si>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</si>
  <si>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</si>
  <si>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</si>
  <si>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</si>
  <si>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</si>
  <si>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</si>
  <si>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</si>
  <si>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</si>
  <si>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</si>
  <si>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</si>
  <si>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</si>
  <si>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</si>
  <si>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</si>
  <si>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</si>
  <si>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</si>
  <si>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</si>
  <si>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</si>
  <si>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</si>
  <si>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</si>
  <si>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</si>
  <si>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</si>
  <si>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</si>
  <si>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</si>
  <si>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</si>
  <si>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</si>
  <si>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</si>
  <si>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</si>
  <si>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</si>
  <si>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</si>
  <si>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</si>
  <si>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</si>
  <si>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</si>
  <si>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</si>
  <si>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</si>
  <si>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</si>
  <si>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</si>
  <si>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</si>
  <si>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</si>
  <si>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</si>
  <si>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</si>
  <si>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</si>
  <si>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</si>
  <si>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</si>
  <si>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</si>
  <si>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</si>
  <si>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</si>
  <si>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</si>
  <si>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</si>
  <si>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</si>
  <si>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</si>
  <si>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</si>
  <si>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</si>
  <si>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</si>
  <si>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</si>
  <si>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</si>
  <si>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</si>
  <si>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</si>
  <si>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</si>
  <si>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</si>
  <si>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</si>
  <si>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</si>
  <si>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</si>
  <si>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</si>
  <si>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</si>
  <si>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</si>
  <si>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</si>
  <si>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</si>
  <si>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</si>
  <si>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</si>
  <si>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</si>
  <si>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</si>
  <si>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</si>
  <si>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</si>
  <si>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</si>
  <si>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</si>
  <si>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</si>
  <si>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</si>
  <si>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</si>
  <si>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</si>
  <si>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</si>
  <si>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</si>
  <si>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</si>
  <si>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</si>
  <si>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</si>
  <si>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</si>
  <si>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</si>
  <si>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</si>
  <si>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</si>
  <si>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</si>
  <si>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</si>
  <si>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</si>
  <si>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</si>
  <si>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</si>
  <si>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</si>
  <si>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</si>
  <si>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</si>
  <si>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</si>
  <si>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</si>
  <si>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</si>
  <si>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</si>
  <si>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</si>
  <si>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</si>
  <si>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</si>
  <si>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</si>
  <si>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</si>
  <si>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</si>
  <si>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</si>
  <si>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</si>
  <si>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</si>
  <si>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</si>
  <si>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</si>
  <si>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</si>
  <si>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</si>
  <si>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</si>
  <si>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</si>
  <si>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</si>
  <si>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</si>
  <si>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</si>
  <si>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</si>
  <si>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</si>
  <si>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</si>
  <si>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</si>
  <si>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</si>
  <si>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</si>
  <si>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</si>
  <si>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</si>
  <si>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</si>
  <si>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</si>
  <si>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</si>
  <si>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</si>
  <si>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</si>
  <si>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</si>
  <si>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</si>
  <si>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</si>
  <si>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</si>
  <si>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</si>
  <si>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</si>
  <si>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</si>
  <si>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</si>
  <si>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</si>
  <si>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</si>
  <si>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</si>
  <si>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</si>
  <si>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</si>
  <si>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</si>
  <si>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</si>
  <si>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</si>
  <si>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</si>
  <si>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</si>
  <si>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</si>
  <si>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</si>
  <si>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</si>
  <si>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</si>
  <si>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</si>
  <si>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</si>
  <si>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</si>
  <si>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</si>
  <si>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</si>
  <si>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</si>
  <si>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</si>
  <si>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</si>
  <si>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</si>
  <si>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</si>
  <si>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</si>
  <si>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</si>
  <si>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</si>
  <si>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</si>
  <si>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</si>
  <si>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</si>
  <si>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</si>
  <si>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</si>
  <si>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</si>
  <si>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</si>
  <si>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</si>
  <si>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</si>
  <si>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</si>
  <si>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</si>
  <si>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</si>
  <si>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</si>
  <si>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</si>
  <si>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</si>
  <si>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</si>
  <si>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</si>
  <si>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</si>
  <si>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</si>
  <si>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</si>
  <si>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</si>
  <si>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</si>
  <si>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</si>
  <si>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</si>
  <si>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</si>
  <si>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</si>
  <si>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</si>
  <si>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</si>
  <si>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</si>
  <si>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</si>
  <si>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</si>
  <si>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</si>
  <si>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</si>
  <si>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</si>
  <si>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</si>
  <si>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</si>
  <si>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</si>
  <si>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</si>
  <si>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</si>
  <si>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</si>
  <si>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</si>
  <si>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</si>
  <si>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</si>
  <si>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</si>
  <si>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</si>
  <si>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</si>
  <si>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</si>
  <si>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</si>
  <si>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</si>
  <si>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</si>
  <si>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</si>
  <si>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</si>
  <si>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</si>
  <si>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</si>
  <si>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</si>
  <si>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</si>
  <si>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</si>
  <si>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</si>
  <si>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</si>
  <si>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</si>
  <si>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</si>
  <si>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</si>
  <si>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</si>
  <si>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</si>
  <si>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</si>
  <si>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</si>
  <si>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</si>
  <si>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</si>
  <si>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</si>
  <si>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</si>
  <si>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</si>
  <si>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</si>
  <si>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</si>
  <si>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</si>
  <si>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</si>
  <si>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</si>
  <si>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</si>
  <si>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</si>
  <si>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</si>
  <si>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</si>
  <si>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</si>
  <si>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</si>
  <si>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</si>
  <si>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</si>
  <si>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</si>
  <si>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</si>
  <si>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</si>
  <si>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</si>
  <si>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</si>
  <si>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</si>
  <si>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</si>
  <si>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</si>
  <si>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</si>
  <si>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</si>
  <si>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</si>
  <si>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</si>
  <si>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</si>
  <si>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</si>
  <si>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</si>
  <si>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</si>
  <si>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</si>
  <si>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</si>
  <si>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</si>
  <si>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</si>
  <si>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</si>
  <si>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</si>
  <si>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</si>
  <si>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</si>
  <si>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</si>
  <si>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</si>
  <si>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</si>
  <si>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</si>
  <si>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</si>
  <si>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</si>
  <si>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</si>
  <si>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</si>
  <si>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</si>
  <si>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</si>
  <si>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</si>
  <si>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</si>
  <si>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</si>
  <si>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</si>
  <si>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</si>
  <si>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</si>
  <si>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</si>
  <si>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</si>
  <si>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</si>
  <si>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</si>
  <si>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</si>
  <si>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</si>
  <si>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</si>
  <si>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</si>
  <si>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</si>
  <si>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</si>
  <si>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</si>
  <si>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</si>
  <si>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</si>
  <si>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</si>
  <si>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</si>
  <si>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</si>
  <si>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</si>
  <si>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</si>
  <si>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</si>
  <si>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</si>
  <si>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</si>
  <si>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</si>
  <si>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</si>
  <si>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</si>
  <si>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</si>
  <si>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</si>
  <si>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</si>
  <si>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</si>
  <si>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</si>
  <si>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</si>
  <si>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</si>
  <si>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</si>
  <si>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</si>
  <si>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</si>
  <si>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</si>
  <si>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</si>
  <si>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</si>
  <si>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</si>
  <si>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</si>
  <si>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</si>
  <si>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</si>
  <si>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</si>
  <si>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</si>
  <si>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</si>
  <si>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</si>
  <si>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</si>
  <si>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</si>
  <si>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</si>
  <si>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</si>
  <si>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</si>
  <si>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</si>
  <si>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</si>
  <si>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</si>
  <si>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</si>
  <si>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</si>
  <si>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</si>
  <si>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</si>
  <si>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</si>
  <si>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</si>
  <si>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</si>
  <si>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</si>
  <si>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</si>
  <si>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</si>
  <si>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</si>
  <si>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</si>
  <si>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</si>
  <si>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</si>
  <si>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</si>
  <si>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</si>
  <si>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</si>
  <si>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</si>
  <si>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</si>
  <si>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</si>
  <si>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</si>
  <si>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</si>
  <si>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</si>
  <si>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</si>
  <si>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</si>
  <si>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</si>
  <si>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</si>
  <si>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</si>
  <si>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</si>
  <si>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</si>
  <si>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</si>
  <si>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</si>
  <si>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</si>
  <si>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</si>
  <si>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</si>
  <si>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</si>
  <si>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</si>
  <si>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</si>
  <si>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</si>
  <si>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</si>
  <si>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</si>
  <si>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</si>
  <si>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</si>
  <si>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</si>
  <si>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</si>
  <si>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</si>
  <si>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</si>
  <si>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</si>
  <si>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</si>
  <si>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</si>
  <si>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</si>
  <si>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</si>
  <si>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</si>
  <si>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</si>
  <si>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</si>
  <si>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</si>
  <si>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</si>
  <si>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</si>
  <si>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</si>
  <si>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</si>
  <si>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</si>
  <si>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</si>
  <si>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</si>
  <si>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</si>
  <si>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</si>
  <si>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</si>
  <si>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</si>
  <si>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</si>
  <si>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</si>
  <si>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</si>
  <si>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</si>
  <si>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</si>
  <si>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</si>
  <si>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</si>
  <si>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</si>
  <si>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</si>
  <si>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</si>
  <si>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</si>
  <si>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</si>
  <si>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</si>
  <si>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</si>
  <si>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</si>
  <si>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</si>
  <si>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</si>
  <si>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</si>
  <si>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</si>
  <si>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</si>
  <si>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</si>
  <si>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</si>
  <si>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</si>
  <si>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</si>
  <si>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</si>
  <si>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</si>
  <si>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</si>
  <si>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</si>
  <si>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</si>
  <si>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</si>
  <si>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</si>
  <si>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</si>
  <si>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</si>
  <si>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</si>
  <si>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</si>
  <si>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</si>
  <si>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</si>
  <si>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</si>
  <si>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</si>
  <si>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</si>
  <si>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</si>
  <si>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</si>
  <si>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</si>
  <si>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</si>
  <si>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</si>
  <si>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</si>
  <si>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</si>
  <si>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</si>
  <si>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</si>
  <si>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</si>
  <si>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</si>
  <si>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</si>
  <si>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</si>
  <si>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</si>
  <si>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</si>
  <si>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</si>
  <si>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</si>
  <si>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</si>
  <si>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</si>
  <si>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</si>
  <si>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</si>
  <si>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</si>
  <si>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</si>
  <si>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</si>
  <si>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</si>
  <si>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</si>
  <si>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</si>
  <si>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</si>
  <si>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</si>
  <si>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</si>
  <si>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</si>
  <si>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</si>
  <si>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</si>
  <si>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</si>
  <si>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</si>
  <si>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</si>
  <si>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</si>
  <si>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</si>
  <si>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</si>
  <si>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</si>
  <si>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</si>
  <si>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</si>
  <si>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</si>
  <si>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</si>
  <si>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</si>
  <si>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</si>
  <si>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</si>
  <si>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</si>
  <si>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</si>
  <si>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</si>
  <si>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</si>
  <si>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</si>
  <si>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</si>
  <si>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</si>
  <si>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</si>
  <si>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</si>
  <si>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</si>
  <si>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</si>
  <si>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</si>
  <si>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</si>
  <si>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</si>
  <si>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</si>
  <si>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</si>
  <si>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</si>
  <si>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</si>
  <si>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</si>
  <si>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</si>
  <si>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</si>
  <si>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</si>
  <si>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</si>
  <si>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</si>
  <si>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</si>
  <si>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</si>
  <si>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</si>
  <si>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</si>
  <si>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</si>
  <si>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</si>
  <si>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</si>
  <si>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</si>
  <si>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</si>
  <si>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</si>
  <si>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</si>
  <si>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</si>
  <si>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</si>
  <si>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</si>
  <si>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</si>
  <si>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</si>
  <si>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</si>
  <si>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</si>
  <si>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</si>
  <si>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</si>
  <si>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</si>
  <si>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</si>
  <si>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</si>
  <si>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</si>
  <si>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</si>
  <si>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</si>
  <si>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</si>
  <si>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</si>
  <si>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</si>
  <si>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</si>
  <si>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</si>
  <si>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</si>
  <si>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</si>
  <si>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</si>
  <si>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</si>
  <si>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</si>
  <si>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</si>
  <si>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</si>
  <si>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</si>
  <si>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</si>
  <si>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</si>
  <si>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</si>
  <si>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</si>
  <si>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</si>
  <si>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</si>
  <si>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</si>
  <si>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</si>
  <si>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</si>
  <si>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</si>
  <si>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</si>
  <si>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</si>
  <si>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</si>
  <si>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</si>
  <si>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</si>
  <si>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</si>
  <si>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</si>
  <si>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</si>
  <si>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</si>
  <si>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</si>
  <si>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</si>
  <si>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</si>
  <si>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</si>
  <si>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</si>
  <si>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</si>
  <si>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</si>
  <si>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</si>
  <si>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</si>
  <si>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</si>
  <si>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</si>
  <si>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</si>
  <si>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</si>
  <si>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</si>
  <si>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</si>
  <si>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</si>
  <si>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</si>
  <si>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</si>
  <si>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</si>
  <si>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</si>
  <si>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</si>
  <si>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</si>
  <si>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</si>
  <si>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</si>
  <si>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</si>
  <si>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</si>
  <si>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</si>
  <si>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</si>
  <si>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</si>
  <si>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</si>
  <si>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</si>
  <si>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</si>
  <si>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</si>
  <si>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</si>
  <si>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</si>
  <si>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</si>
  <si>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</si>
  <si>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</si>
  <si>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</si>
  <si>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</si>
  <si>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</si>
  <si>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</si>
  <si>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</si>
  <si>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</si>
  <si>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</si>
  <si>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</si>
  <si>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</si>
  <si>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</si>
  <si>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</si>
  <si>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</si>
  <si>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</si>
  <si>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</si>
  <si>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</si>
  <si>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</si>
  <si>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</si>
  <si>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</si>
  <si>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</si>
  <si>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</si>
  <si>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</si>
  <si>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</si>
  <si>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</si>
  <si>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</si>
  <si>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</si>
  <si>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</si>
  <si>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</si>
  <si>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</si>
  <si>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</si>
  <si>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</si>
  <si>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</si>
  <si>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</si>
  <si>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</si>
  <si>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</si>
  <si>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</si>
  <si>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</si>
  <si>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</si>
  <si>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</si>
  <si>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</si>
  <si>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</si>
  <si>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</si>
  <si>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</si>
  <si>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</si>
  <si>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</si>
  <si>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</si>
  <si>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</si>
  <si>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</si>
  <si>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</si>
  <si>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</si>
  <si>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</si>
  <si>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</si>
  <si>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</si>
  <si>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</si>
  <si>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</si>
  <si>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</si>
  <si>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</si>
  <si>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</si>
  <si>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</si>
  <si>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</si>
  <si>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</si>
  <si>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</si>
  <si>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</si>
  <si>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</si>
  <si>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</si>
  <si>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</si>
  <si>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</si>
  <si>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</si>
  <si>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</si>
  <si>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</si>
  <si>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</si>
  <si>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</si>
  <si>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</si>
  <si>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</si>
  <si>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</si>
  <si>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</si>
  <si>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</si>
  <si>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</si>
  <si>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</si>
  <si>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</si>
  <si>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</si>
  <si>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</si>
  <si>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</si>
  <si>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</si>
  <si>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</si>
  <si>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</si>
  <si>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</si>
  <si>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</si>
  <si>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</si>
  <si>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</si>
  <si>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</si>
  <si>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</si>
  <si>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</si>
  <si>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</si>
  <si>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</si>
  <si>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</si>
  <si>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</si>
  <si>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</si>
  <si>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</si>
  <si>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</si>
  <si>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</si>
  <si>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</si>
  <si>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</si>
  <si>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</si>
  <si>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</si>
  <si>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</si>
  <si>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</si>
  <si>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</si>
  <si>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</si>
  <si>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</si>
  <si>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</si>
  <si>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</si>
  <si>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</si>
  <si>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</si>
  <si>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</si>
  <si>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</si>
  <si>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</si>
  <si>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</si>
  <si>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</si>
  <si>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</si>
  <si>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</si>
  <si>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</si>
  <si>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</si>
  <si>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</si>
  <si>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</si>
  <si>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</si>
  <si>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</si>
  <si>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</si>
  <si>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</si>
  <si>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</si>
  <si>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</si>
  <si>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</si>
  <si>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</si>
  <si>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</si>
  <si>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</si>
  <si>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</si>
  <si>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</si>
  <si>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</si>
  <si>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</si>
  <si>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</si>
  <si>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</si>
  <si>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</si>
  <si>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</si>
  <si>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</si>
  <si>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</si>
  <si>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</si>
  <si>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</si>
  <si>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</si>
  <si>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</si>
  <si>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</si>
  <si>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</si>
  <si>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</si>
  <si>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</si>
  <si>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</si>
  <si>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</si>
  <si>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</si>
  <si>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</si>
  <si>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</si>
  <si>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</si>
  <si>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</si>
  <si>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</si>
  <si>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</si>
  <si>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</si>
  <si>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</si>
  <si>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</si>
  <si>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</si>
  <si>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</si>
  <si>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</si>
  <si>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</si>
  <si>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</si>
  <si>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</si>
  <si>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</si>
  <si>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</si>
  <si>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</si>
  <si>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</si>
  <si>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</si>
  <si>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</si>
  <si>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</si>
  <si>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</si>
  <si>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</si>
  <si>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</si>
  <si>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</si>
  <si>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</si>
  <si>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</si>
  <si>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</si>
  <si>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</si>
  <si>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</si>
  <si>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</si>
  <si>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</si>
  <si>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</si>
  <si>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</si>
  <si>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</si>
  <si>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</si>
  <si>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</si>
  <si>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</si>
  <si>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</si>
  <si>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</si>
  <si>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</si>
  <si>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</si>
  <si>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</si>
  <si>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</si>
  <si>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</si>
  <si>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</si>
  <si>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</si>
  <si>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</si>
  <si>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</si>
  <si>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</si>
  <si>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</si>
  <si>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</si>
  <si>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</si>
  <si>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</si>
  <si>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</si>
  <si>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</si>
  <si>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</si>
  <si>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</si>
  <si>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</si>
  <si>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</si>
  <si>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</si>
  <si>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</si>
  <si>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</si>
  <si>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</si>
  <si>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</si>
  <si>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</si>
  <si>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</si>
  <si>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</si>
  <si>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</si>
  <si>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</si>
  <si>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</si>
  <si>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</si>
  <si>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</si>
  <si>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</si>
  <si>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</si>
  <si>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</si>
  <si>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</si>
  <si>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</si>
  <si>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</si>
  <si>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</si>
  <si>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</si>
  <si>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</si>
  <si>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</si>
  <si>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</si>
  <si>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</si>
  <si>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</si>
  <si>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</si>
  <si>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</si>
  <si>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</si>
  <si>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</si>
  <si>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</si>
  <si>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</si>
  <si>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</si>
  <si>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</si>
  <si>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</si>
  <si>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</si>
  <si>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</si>
  <si>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</si>
  <si>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</si>
  <si>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</si>
  <si>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</si>
  <si>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</si>
  <si>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</si>
  <si>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</si>
  <si>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</si>
  <si>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</si>
  <si>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</si>
  <si>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</si>
  <si>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</si>
  <si>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</si>
  <si>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</si>
  <si>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</si>
  <si>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</si>
  <si>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</si>
  <si>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</si>
  <si>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</si>
  <si>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</si>
  <si>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</si>
  <si>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</si>
  <si>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</si>
  <si>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</si>
  <si>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</si>
  <si>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</si>
  <si>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</si>
  <si>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</si>
  <si>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</si>
  <si>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</si>
  <si>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</si>
  <si>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</si>
  <si>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</si>
  <si>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</si>
  <si>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</si>
  <si>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</si>
  <si>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</si>
  <si>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</si>
  <si>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</si>
  <si>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</si>
  <si>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</si>
  <si>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</si>
  <si>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</si>
  <si>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</si>
  <si>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</si>
  <si>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</si>
  <si>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</si>
  <si>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</si>
  <si>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</si>
  <si>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</si>
  <si>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</si>
  <si>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</si>
  <si>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</si>
  <si>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</si>
  <si>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</si>
  <si>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</si>
  <si>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</si>
  <si>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</si>
  <si>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</si>
  <si>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</si>
  <si>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</si>
  <si>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</si>
  <si>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</si>
  <si>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</si>
  <si>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</si>
  <si>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</si>
  <si>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</si>
  <si>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</si>
  <si>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</si>
  <si>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</si>
  <si>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</si>
  <si>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</si>
  <si>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</si>
  <si>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</si>
  <si>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</si>
  <si>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</si>
  <si>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</si>
  <si>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</si>
  <si>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</si>
  <si>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</si>
  <si>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</si>
  <si>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</si>
  <si>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</si>
  <si>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</si>
  <si>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</si>
  <si>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</si>
  <si>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</si>
  <si>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</si>
  <si>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</si>
  <si>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</si>
  <si>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</si>
  <si>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</si>
  <si>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</si>
  <si>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</si>
  <si>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</si>
  <si>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</si>
  <si>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</si>
  <si>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</si>
  <si>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</si>
  <si>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</si>
  <si>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</si>
  <si>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</si>
  <si>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</si>
  <si>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</si>
  <si>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</si>
  <si>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</si>
  <si>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</si>
  <si>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</si>
  <si>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</si>
  <si>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</si>
  <si>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</si>
  <si>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</si>
  <si>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</si>
  <si>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</si>
  <si>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</si>
  <si>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</si>
  <si>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</si>
  <si>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</si>
  <si>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</si>
  <si>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</si>
  <si>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</si>
  <si>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</si>
  <si>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</si>
  <si>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</si>
  <si>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</si>
  <si>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</si>
  <si>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</si>
  <si>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</si>
  <si>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</si>
  <si>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</si>
  <si>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</si>
  <si>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</si>
  <si>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</si>
  <si>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</si>
  <si>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</si>
  <si>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</si>
  <si>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</si>
  <si>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</si>
  <si>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</si>
  <si>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</si>
  <si>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</si>
  <si>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</si>
  <si>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</si>
  <si>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</si>
  <si>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</si>
  <si>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</si>
  <si>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</si>
  <si>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</si>
  <si>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</si>
  <si>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</si>
  <si>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</si>
  <si>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</si>
  <si>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</si>
  <si>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</si>
  <si>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</si>
  <si>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</si>
  <si>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</si>
  <si>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</si>
  <si>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</si>
  <si>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</si>
  <si>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</si>
  <si>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</si>
  <si>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</si>
  <si>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</si>
  <si>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</si>
  <si>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</si>
  <si>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</si>
  <si>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</si>
  <si>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</si>
  <si>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</si>
  <si>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</si>
  <si>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</si>
  <si>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</si>
  <si>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</si>
  <si>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</si>
  <si>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</si>
  <si>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</si>
  <si>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</si>
  <si>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</si>
  <si>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</si>
  <si>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</si>
  <si>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</si>
  <si>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</si>
  <si>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</si>
  <si>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</si>
  <si>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</si>
  <si>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</si>
  <si>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</si>
  <si>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</si>
  <si>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</si>
  <si>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</si>
  <si>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</si>
  <si>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</si>
  <si>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</si>
  <si>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</si>
  <si>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</si>
  <si>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</si>
  <si>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</si>
  <si>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</si>
  <si>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</si>
  <si>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</si>
  <si>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</si>
  <si>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</si>
  <si>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</si>
  <si>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</si>
  <si>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</si>
  <si>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</si>
  <si>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</si>
  <si>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</si>
  <si>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</si>
  <si>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</si>
  <si>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</si>
  <si>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</si>
  <si>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</si>
  <si>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</si>
  <si>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</si>
  <si>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</si>
  <si>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</si>
  <si>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</si>
  <si>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</si>
  <si>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</si>
  <si>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</si>
  <si>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</si>
  <si>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</si>
  <si>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</si>
  <si>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</si>
  <si>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</si>
  <si>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</si>
  <si>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</si>
  <si>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</si>
  <si>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</si>
  <si>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</si>
  <si>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</si>
  <si>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</si>
  <si>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</si>
  <si>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</si>
  <si>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</si>
  <si>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</si>
  <si>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</si>
  <si>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</si>
  <si>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</si>
  <si>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</si>
  <si>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</si>
  <si>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</si>
  <si>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</si>
  <si>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</si>
  <si>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</si>
  <si>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</si>
  <si>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</si>
  <si>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</si>
  <si>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</si>
  <si>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</si>
  <si>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</si>
  <si>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</si>
  <si>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отгружен</t>
  </si>
  <si>
    <t>15,09,26</t>
  </si>
  <si>
    <t>TSO001120838</t>
  </si>
  <si>
    <t>TSO001120857</t>
  </si>
  <si>
    <t>TSO001121014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</si>
  <si>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</si>
  <si>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</si>
  <si>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</si>
  <si>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</si>
  <si>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</si>
  <si>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</si>
  <si>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</si>
  <si>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</si>
  <si>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</si>
  <si>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</si>
  <si>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</si>
  <si>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</si>
  <si>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</si>
  <si>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</si>
  <si>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</si>
  <si>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</si>
  <si>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</si>
  <si>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</si>
  <si>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</si>
  <si>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</si>
  <si>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</si>
  <si>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</si>
  <si>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</si>
  <si>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</si>
  <si>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</si>
  <si>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</si>
  <si>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</si>
  <si>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</si>
  <si>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</si>
  <si>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</si>
  <si>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</si>
  <si>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</si>
  <si>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</si>
  <si>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</si>
  <si>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</si>
  <si>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</si>
  <si>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</si>
  <si>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</si>
  <si>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</si>
  <si>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</si>
  <si>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</si>
  <si>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</si>
  <si>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</si>
  <si>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</si>
  <si>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</si>
  <si>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</si>
  <si>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</si>
  <si>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</si>
  <si>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</si>
  <si>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+</t>
  </si>
  <si>
    <t>TSO001121620</t>
  </si>
  <si>
    <t>ООО НВ Тс195771-26 12.09.2026 Донецк 16681кг (Шадриков)</t>
  </si>
  <si>
    <t>ООО НВ Тс197433-26 12.09.2026 Донецк(2) 797кг (Шадриков)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</si>
</sst>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7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85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0" fontId="46" fillId="16" borderId="50" xfId="0" applyFont="1" applyFill="1" applyBorder="1" applyAlignment="1">
      <alignment horizontal="center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166" fontId="45" fillId="0" borderId="0" xfId="0" applyNumberFormat="1" applyFont="1" applyFill="1" applyAlignment="1">
      <alignment horizontal="left" vertical="center"/>
    </xf>
    <xf numFmtId="0" fontId="16" fillId="0" borderId="0" xfId="0" applyFont="1" applyFill="1" applyAlignment="1">
      <alignment vertical="center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293"/>
  <sheetViews>
    <sheetView tabSelected="1" zoomScale="70" zoomScaleNormal="70" workbookViewId="0">
      <pane ySplit="2" topLeftCell="A7269" activePane="bottomLeft" state="frozen"/>
      <selection pane="bottomLeft" activeCell="P7284" sqref="P7284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21" width="16.28515625" style="2" customWidth="1"/>
    <col min="22" max="1021" width="9.140625" style="2"/>
  </cols>
  <sheetData>
    <row r="1" spans="1:18" ht="19.5" customHeight="1" thickBot="1" x14ac:dyDescent="0.3">
      <c r="A1" s="1062" t="s">
        <v>0</v>
      </c>
      <c r="B1" s="1062"/>
      <c r="C1" s="1062"/>
      <c r="D1" s="1062"/>
      <c r="E1" s="1062"/>
      <c r="F1" s="1062"/>
      <c r="G1" s="1062"/>
      <c r="H1" s="1062"/>
      <c r="I1" s="1062"/>
      <c r="J1" s="1062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63">
        <v>1</v>
      </c>
      <c r="B3" s="106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63"/>
      <c r="B4" s="106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64">
        <v>3</v>
      </c>
      <c r="B6" s="106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64"/>
      <c r="B7" s="106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64"/>
      <c r="B8" s="106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64">
        <v>5</v>
      </c>
      <c r="B10" s="106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64"/>
      <c r="B11" s="106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65">
        <v>8</v>
      </c>
      <c r="B14" s="106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65"/>
      <c r="B15" s="106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64">
        <v>11</v>
      </c>
      <c r="B18" s="106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64"/>
      <c r="B19" s="106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64"/>
      <c r="B20" s="106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64"/>
      <c r="B21" s="106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64">
        <v>13</v>
      </c>
      <c r="B23" s="106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64"/>
      <c r="B24" s="106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65">
        <v>14</v>
      </c>
      <c r="B25" s="106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65"/>
      <c r="B26" s="106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64">
        <v>15</v>
      </c>
      <c r="B27" s="106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64"/>
      <c r="B28" s="106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64"/>
      <c r="B29" s="106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64"/>
      <c r="B30" s="106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65">
        <v>16</v>
      </c>
      <c r="B31" s="106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65"/>
      <c r="B32" s="106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65"/>
      <c r="B33" s="106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65"/>
      <c r="B34" s="106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64">
        <v>17</v>
      </c>
      <c r="B35" s="106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64"/>
      <c r="B36" s="106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64">
        <v>21</v>
      </c>
      <c r="B40" s="106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64"/>
      <c r="B41" s="106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64">
        <v>23</v>
      </c>
      <c r="B43" s="106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64"/>
      <c r="B44" s="106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64"/>
      <c r="B45" s="106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65">
        <v>24</v>
      </c>
      <c r="B46" s="106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65"/>
      <c r="B47" s="106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64">
        <v>25</v>
      </c>
      <c r="B48" s="106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64"/>
      <c r="B49" s="106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64"/>
      <c r="B50" s="106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65">
        <v>26</v>
      </c>
      <c r="B51" s="106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65"/>
      <c r="B52" s="106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64">
        <v>29</v>
      </c>
      <c r="B55" s="106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64"/>
      <c r="B56" s="106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65">
        <v>32</v>
      </c>
      <c r="B59" s="106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65"/>
      <c r="B60" s="106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65">
        <v>34</v>
      </c>
      <c r="B62" s="106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65"/>
      <c r="B63" s="106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65"/>
      <c r="B64" s="106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65"/>
      <c r="B65" s="106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65"/>
      <c r="B66" s="106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64">
        <v>35</v>
      </c>
      <c r="B67" s="106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64"/>
      <c r="B68" s="106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38">
        <v>40</v>
      </c>
      <c r="B73" s="106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38"/>
      <c r="B74" s="106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39">
        <v>41</v>
      </c>
      <c r="B75" s="106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39"/>
      <c r="B76" s="106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39"/>
      <c r="B77" s="106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38">
        <v>42</v>
      </c>
      <c r="B78" s="106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38"/>
      <c r="B79" s="106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39">
        <v>49</v>
      </c>
      <c r="B86" s="106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39"/>
      <c r="B87" s="106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39"/>
      <c r="B88" s="106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38">
        <v>50</v>
      </c>
      <c r="B89" s="106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38"/>
      <c r="B90" s="106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39">
        <v>51</v>
      </c>
      <c r="B91" s="106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39"/>
      <c r="B92" s="106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39">
        <v>53</v>
      </c>
      <c r="B94" s="106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39"/>
      <c r="B95" s="106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38">
        <v>54</v>
      </c>
      <c r="B96" s="106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38"/>
      <c r="B97" s="106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38"/>
      <c r="B98" s="106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38">
        <v>58</v>
      </c>
      <c r="B102" s="106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38"/>
      <c r="B103" s="106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38">
        <v>60</v>
      </c>
      <c r="B105" s="106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38"/>
      <c r="B106" s="106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38"/>
      <c r="B107" s="106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39">
        <v>61</v>
      </c>
      <c r="B108" s="106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39"/>
      <c r="B109" s="106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39"/>
      <c r="B110" s="106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38">
        <v>64</v>
      </c>
      <c r="B113" s="106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38"/>
      <c r="B114" s="106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38">
        <v>66</v>
      </c>
      <c r="B116" s="106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38"/>
      <c r="B117" s="106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39">
        <v>67</v>
      </c>
      <c r="B118" s="106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39"/>
      <c r="B119" s="106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39"/>
      <c r="B120" s="106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38">
        <v>68</v>
      </c>
      <c r="B121" s="106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38"/>
      <c r="B122" s="106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39">
        <v>69</v>
      </c>
      <c r="B123" s="106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39"/>
      <c r="B124" s="106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38">
        <v>72</v>
      </c>
      <c r="B127" s="1065" t="s">
        <v>65</v>
      </c>
      <c r="C127" s="119" t="s">
        <v>26</v>
      </c>
      <c r="D127" s="120">
        <v>3.3</v>
      </c>
      <c r="E127" s="121"/>
      <c r="F127" s="122" t="s">
        <v>30</v>
      </c>
      <c r="G127" s="1059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38"/>
      <c r="B128" s="1065"/>
      <c r="C128" s="103" t="s">
        <v>26</v>
      </c>
      <c r="D128" s="88">
        <v>12.9</v>
      </c>
      <c r="E128" s="106"/>
      <c r="F128" s="107" t="s">
        <v>16</v>
      </c>
      <c r="G128" s="1059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38">
        <v>76</v>
      </c>
      <c r="B132" s="1066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38"/>
      <c r="B133" s="1066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38"/>
      <c r="B134" s="1066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38"/>
      <c r="B135" s="1066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38">
        <v>78</v>
      </c>
      <c r="B137" s="1060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38"/>
      <c r="B138" s="1060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6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6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3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3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3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39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39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3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3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39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39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39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39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39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39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39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39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3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3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3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3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3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3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39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61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39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61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3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3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3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3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3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3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3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3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3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39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39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3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3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39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39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3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3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39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39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39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39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39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3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3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39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39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39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3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3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39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39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3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3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39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39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3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3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3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39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39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3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59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3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59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3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3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39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39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39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39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3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3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3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3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3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3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39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39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3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3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3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3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39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39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3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3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3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3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3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39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39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3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3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39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39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3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50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3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50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39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39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3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59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3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59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3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3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3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3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3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3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3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3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39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39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3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3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39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39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3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3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3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3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39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39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39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39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39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39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39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39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3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3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39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61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39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61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39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39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39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39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39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39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39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39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39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39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39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39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39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39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3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3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39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39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3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3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3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3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39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39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39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39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39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39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3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3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39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39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39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39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44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39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44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3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3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3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3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3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3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3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3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3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3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3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3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39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39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3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3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39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39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39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39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39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39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39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39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3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3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39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39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39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3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3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39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39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39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44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39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44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3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3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3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3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3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3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58" t="s">
        <v>133</v>
      </c>
      <c r="J420" s="1058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39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39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3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3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39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39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3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3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3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3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39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39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39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39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39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3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3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3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39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39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3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3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39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39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3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41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3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41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39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39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3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3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3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3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3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3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42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42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42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3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3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39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39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3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3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3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3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3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3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3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3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39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39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39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39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3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3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3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39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39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39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44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39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44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3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3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39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54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39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54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3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54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3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54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3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54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3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3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3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3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3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3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39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39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39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3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3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3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39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39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39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39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39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3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3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3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39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39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39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39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39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39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3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3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3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39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39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39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39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3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3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3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39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39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39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3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41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3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41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3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3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3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3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3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39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39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39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39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3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3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3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39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39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39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3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3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3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3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3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3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39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39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39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39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39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39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39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39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3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3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3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39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44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39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44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39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39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3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3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3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3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3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3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3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3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3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3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3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3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39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39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39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3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3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3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39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39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39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39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39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3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3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39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39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39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3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3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3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3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39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39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39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39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39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39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3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3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3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39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44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39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44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39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39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56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39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56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39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3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3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3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39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39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39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3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3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39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39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39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39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39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39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3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3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39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39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3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3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3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3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3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3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3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3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3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39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44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39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44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5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5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5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39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39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39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5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5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39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39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39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5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5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3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3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3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39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39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39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3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3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3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3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3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3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3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3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39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39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39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39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39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39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39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3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55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3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55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3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3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3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3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3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39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39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39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39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39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39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39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3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3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3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3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6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6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6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6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6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6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39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44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39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44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3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3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3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39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39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39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40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40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40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40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40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39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39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39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39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39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6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6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39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39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39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3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3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39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39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3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3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3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3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39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39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39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39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39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39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39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3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3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3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3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39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39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3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41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3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41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39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39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39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39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39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39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39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39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39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39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39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39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39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3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3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3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39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39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39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3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3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39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39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39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39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3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3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3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39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39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39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39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39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39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39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39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39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3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3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3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3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3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3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3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3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3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3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39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39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39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3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3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3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3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3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39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39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3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3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3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39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39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39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3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3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3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3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3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3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3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39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39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3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3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3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39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39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39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3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3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39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39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3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3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39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39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3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3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39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39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39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39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3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41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3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41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39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39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39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39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39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3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3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39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39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39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39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39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39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39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39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3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3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3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3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3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3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7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7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3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3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39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39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3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3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3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3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3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39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39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39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39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39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3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3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3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39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39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39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3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3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3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39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44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39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44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3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3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3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39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39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3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3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3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39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39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39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39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39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3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3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42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42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3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3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39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39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3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3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3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3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3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3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3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39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39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3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3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39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39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3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3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3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39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39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3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3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39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44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39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44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3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3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3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39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39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3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3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39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39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39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3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3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39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39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39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39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39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39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39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39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3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3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3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3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3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39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39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3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3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39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39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39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3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3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3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39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39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3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41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3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41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39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39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39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39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39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39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39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39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3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3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39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39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39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39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3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3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39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39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39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3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3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39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39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39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39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3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41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3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41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39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39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3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3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3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3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39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39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3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3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39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39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3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3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39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39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39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39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3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3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3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3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3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3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3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3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39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39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39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39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3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41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3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41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3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3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39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39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3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3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3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3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39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39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3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3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39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39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39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39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39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39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39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3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3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3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3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3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3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3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41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3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41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3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3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39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39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3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3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39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39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39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39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3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3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3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3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39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39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39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39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39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39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39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39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39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39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39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39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39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3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3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39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39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3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3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39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39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3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41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3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41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39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39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39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39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3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3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3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3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39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39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39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39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3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3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3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3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3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3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3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3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3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3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39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39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3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3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3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3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39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44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39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44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39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39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3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3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3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39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39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3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3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39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39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39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39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39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39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39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39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39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39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39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39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39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3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3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39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39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39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71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39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71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3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3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3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39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39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39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3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3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3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3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39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39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39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39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3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3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39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39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3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3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3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3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3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3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39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39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39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44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39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44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39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39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3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3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39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39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3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3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39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39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39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39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3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3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39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44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39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44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39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44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39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44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3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3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39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39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39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39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39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39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39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44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39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44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39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39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39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39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3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3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39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39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39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39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39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3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3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3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3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3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3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3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3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39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39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3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3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3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39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44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39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44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39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39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39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39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3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3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39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39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39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39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39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39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39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39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39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3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3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39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39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3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41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3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41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39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39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3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3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3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39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39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39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39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39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39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39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39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3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3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39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39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3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3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3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39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44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39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44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39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39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39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3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3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3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3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3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39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39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3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3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3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3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3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39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39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3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3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3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39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39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3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3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39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39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3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3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3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3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3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3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39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39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39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39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39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39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39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39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3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3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39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39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3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3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3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41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3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41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3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3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3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39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39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39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39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39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39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39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39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39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39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39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3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3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3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3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39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39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39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39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39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3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3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39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44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39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44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3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3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3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3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3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3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3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3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39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39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39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3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41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3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41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3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3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3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3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3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39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39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39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39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39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39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39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3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3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3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3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3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39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39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3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3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3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39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44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39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44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39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39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3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3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3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3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3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3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3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39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39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3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3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3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3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39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39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3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3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39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39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3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3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39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44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39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44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39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44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3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3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39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39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39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3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3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39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39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39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39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3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41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3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41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39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39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39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39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39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39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39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39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3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3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3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3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3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38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3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38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3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3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39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39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39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39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39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39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38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3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39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39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39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39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44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39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44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3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3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3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39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39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39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39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39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39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39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39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39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39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39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39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39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39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3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3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39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44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39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44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3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3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39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39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3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3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3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39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39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39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39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39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39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39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39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39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39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39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39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3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3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39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44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39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44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39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39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3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3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3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3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39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39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39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39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3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3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3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39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39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39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39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39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39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3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41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3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41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39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39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39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39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3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3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3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3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39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39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3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3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3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3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3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3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3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39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39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39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3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3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38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3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3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3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3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38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3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39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39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3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3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3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3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39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39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3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3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3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42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42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42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3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3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3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3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39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44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39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44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39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39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3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3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39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39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3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3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3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39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44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39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44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39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39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39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39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39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3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3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39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39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3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3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3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39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39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39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39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3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41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3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41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39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39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3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3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3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3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3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3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39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39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3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3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3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39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39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3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3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3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3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39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39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39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38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3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39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39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3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3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39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39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3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3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3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3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3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3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3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3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39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39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39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39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3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3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39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39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3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3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38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3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39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39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3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3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3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3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3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3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3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39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39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51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52" t="s">
        <v>467</v>
      </c>
      <c r="H2160" s="414" t="s">
        <v>515</v>
      </c>
      <c r="I2160" s="415" t="s">
        <v>516</v>
      </c>
      <c r="J2160" s="1053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51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52"/>
      <c r="H2161" s="421" t="s">
        <v>515</v>
      </c>
      <c r="I2161" s="422" t="s">
        <v>516</v>
      </c>
      <c r="J2161" s="1053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51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52"/>
      <c r="H2162" s="429" t="s">
        <v>515</v>
      </c>
      <c r="I2162" s="430" t="s">
        <v>516</v>
      </c>
      <c r="J2162" s="1053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51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52" t="s">
        <v>467</v>
      </c>
      <c r="H2165" s="414" t="s">
        <v>516</v>
      </c>
      <c r="I2165" s="415" t="s">
        <v>516</v>
      </c>
      <c r="J2165" s="1053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51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52"/>
      <c r="H2166" s="429" t="s">
        <v>516</v>
      </c>
      <c r="I2166" s="430" t="s">
        <v>516</v>
      </c>
      <c r="J2166" s="1053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39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39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39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3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3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39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39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3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3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3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3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39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44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39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44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39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39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39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3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41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3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41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39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49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39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49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3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50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3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50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39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39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39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39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3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3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39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39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3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3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3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3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3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39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39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39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3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3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3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39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39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3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3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3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3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3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3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39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39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39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39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3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3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39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39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39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38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3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3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38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3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3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39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39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39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39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39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39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39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3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3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3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3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3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3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3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39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39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39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39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39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3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3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3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38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3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42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42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3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3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3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39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39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3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3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3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3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3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3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3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39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39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39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39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39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39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39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39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40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40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40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39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39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39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39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39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3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3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39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39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39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3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3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3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3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3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39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39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39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39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39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40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40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40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39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39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40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40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39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39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39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3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3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3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3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39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39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39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39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39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3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3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3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3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3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3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39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39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3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3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42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42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3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3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3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3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3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3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3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39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39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39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39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39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3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3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39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39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3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3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42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42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3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3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3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3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3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3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3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39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39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39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3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3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39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39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39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39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39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42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42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42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3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3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3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39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39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3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3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3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3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3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38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41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3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41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3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41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42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42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42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42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39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39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3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3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42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42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3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41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3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41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3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3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39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39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3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3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39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39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39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39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39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39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4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4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4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48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3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3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39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44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39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44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39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39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40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40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38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3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3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39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39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3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3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42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42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3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3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3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3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42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43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42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43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3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3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3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41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3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41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39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39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39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39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40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40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38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3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39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39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3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3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3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39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39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39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39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39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39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39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3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3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3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41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3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41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3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3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3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3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42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42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42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3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3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39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39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39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39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39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3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3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40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40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40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40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40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40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39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39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4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4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3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3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3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3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39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39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3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3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3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3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3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3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39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39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42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42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42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42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42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42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3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3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39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39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39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39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40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40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3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3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3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39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39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3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3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3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3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39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39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39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39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3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41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3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41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3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41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42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42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42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42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3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3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39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39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3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3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39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39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39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39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39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3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3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3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39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39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3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3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42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42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42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42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42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3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3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39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39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39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39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3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3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42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42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3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3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3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3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40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40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39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39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39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39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39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40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45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40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45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39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39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39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44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39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44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3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3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39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39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39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42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42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39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39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3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3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3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39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39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39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3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3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3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3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40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40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40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40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40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39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39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3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41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3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41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39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39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39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39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3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3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42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42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3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3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3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39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39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39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39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42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42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42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39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44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39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44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40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40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40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40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39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39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39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44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39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44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39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39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3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3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3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42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42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3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3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3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3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42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42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3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3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40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40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40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40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40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39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39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39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39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3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3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3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42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44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42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44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39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39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3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3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39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39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39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42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42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42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40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40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40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40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40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40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39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39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3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3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3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3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3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39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39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39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40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41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40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41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40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41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39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39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3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3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39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39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39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3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3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39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39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40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40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39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39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3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3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39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39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3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41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3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41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3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41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3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41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42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42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42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42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42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3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3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3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41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3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41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3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41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39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39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40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40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40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39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39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3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3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39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39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3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3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3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39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39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39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39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39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3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41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3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41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42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42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3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3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39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39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3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3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39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39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40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40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40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40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40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40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40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40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39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39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39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39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3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3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3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3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3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39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39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39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40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40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39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39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3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3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39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39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39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39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3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3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3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3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39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39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39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39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3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3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3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3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40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40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40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39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39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3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3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39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44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39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44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39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44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39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44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3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3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39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39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3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3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3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39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39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39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3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3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39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39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3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3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3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3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40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40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40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3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3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3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3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3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39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39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39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39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39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3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3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42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42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3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3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39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39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3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3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42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43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42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43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42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43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42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43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42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43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42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43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3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3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3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3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39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39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3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3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42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42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42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42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38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3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3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39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39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39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3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3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39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39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3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3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42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42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42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39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39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3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3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40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40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40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40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40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40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40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40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39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39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3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3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3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3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42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42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42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3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3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3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3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3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39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39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3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3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39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39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39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39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42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42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3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3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39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39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40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40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40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40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40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40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40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40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40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39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39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42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42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42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39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39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39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40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40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39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39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40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40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39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39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40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40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42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42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42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3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3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39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39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3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3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42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42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42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42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42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42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42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42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3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3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39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39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3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3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42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44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42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44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3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3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3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39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39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3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3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3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3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39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44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39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44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42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42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42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42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42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42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39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39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3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3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3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3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39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44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39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44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40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40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40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40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3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3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3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3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3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3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3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3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42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42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39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39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39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39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39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39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39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39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39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3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3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42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43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42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43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42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43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3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3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3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3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39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39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3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3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3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39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39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39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39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40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40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40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40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40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39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39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3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41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3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41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39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39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42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42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39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39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3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3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3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3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3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39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39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39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40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40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40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40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40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40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40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39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39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3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41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3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41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39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39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3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3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3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3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40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40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3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3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3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3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3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39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39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3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41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3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41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90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08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9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09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90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08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9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09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9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09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9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09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88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3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90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3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90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08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3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32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90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9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9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9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88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9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9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9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3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90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3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88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3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90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9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9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9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9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9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88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10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3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35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90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3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88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10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3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35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90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9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9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3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90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9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88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9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9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3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88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9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9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90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9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9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9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9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9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88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3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90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08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3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32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90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08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3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32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90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3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88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3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90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9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90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3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88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3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90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9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3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88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9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3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88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9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9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9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9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9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90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3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88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10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3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35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90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3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88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3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90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9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9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3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90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08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3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32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88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9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3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90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3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88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10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3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35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90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9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9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9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9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9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88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3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88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3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88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10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3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35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90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9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3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88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9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3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90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9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3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88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9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9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9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88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3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90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9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3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90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9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9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9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88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9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88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9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9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9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9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9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90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3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90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08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9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09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3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32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9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9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3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88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9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3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9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9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9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9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08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3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32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88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9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9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3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90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3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90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3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88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3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88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9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9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9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9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90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3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90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9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3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88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3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90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3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88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3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90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08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3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32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88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9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90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9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3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88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3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90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3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88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3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90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3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90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9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92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9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9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9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9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9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90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3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90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3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88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9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9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3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90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9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9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9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9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3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90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3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88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9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9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3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88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9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9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9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9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9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90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3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90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08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3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32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88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9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3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90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9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9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3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88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9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3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90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08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9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09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3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32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88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10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3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35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90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3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88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3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90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9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9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9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9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9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88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3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90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3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88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9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3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90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9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9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3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88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3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90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08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3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32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90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3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88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9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3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88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3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90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9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88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9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88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9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9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9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9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90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3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90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9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88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10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3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35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90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9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9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9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9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9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3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88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9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9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9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90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9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3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90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3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88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3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90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9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3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90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3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21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3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3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90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9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9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9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9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3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88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3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90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9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3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88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3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90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3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90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3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88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9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8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90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9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9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88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8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90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08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9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17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90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9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88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10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8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11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90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9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9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9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9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88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8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90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9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90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9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9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88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8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90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9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9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88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10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9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18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8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11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88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8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88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9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8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90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9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9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88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9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9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9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9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90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9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88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9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8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90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9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9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9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88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8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90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9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9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9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90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9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88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9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9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90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9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88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9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9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9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9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90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9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88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9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8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90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9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88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8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90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9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90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9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9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90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9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88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8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88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9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8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90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9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9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9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9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90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9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88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8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88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8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88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8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90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9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9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88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9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9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8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90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9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9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90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08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9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17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88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9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8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88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9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8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90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9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9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9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90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9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88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10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9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18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9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18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8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11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90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9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9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90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9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88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9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8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90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9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88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9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9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88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10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8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11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90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9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88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9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8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88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8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90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9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88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9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90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9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88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9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9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9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9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90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9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9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90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08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9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09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9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09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9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17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88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8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90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9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90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9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88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9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8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90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9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88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10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8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11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88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9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88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9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9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9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9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8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90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9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88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9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8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90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9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90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9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9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88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9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8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90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9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9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88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9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8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88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8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90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9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88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9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8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9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9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9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9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88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10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9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11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9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9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9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88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8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90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9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9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9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88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8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90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9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88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9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9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8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90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9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88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8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88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8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9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9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88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9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90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9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9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9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90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9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90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9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9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9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88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8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88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8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90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9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9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88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9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8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88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9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8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88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9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8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90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9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90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9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9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9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88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10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9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18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90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9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88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8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90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9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88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8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90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9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90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9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9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88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8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90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9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88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9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8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90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9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9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88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8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90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9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90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9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88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9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8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90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9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9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90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9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90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9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88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8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90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9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88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8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90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9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9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88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9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8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88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9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8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90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9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88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9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8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90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08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9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09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9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17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88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9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8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88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8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88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8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90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9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9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90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9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88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9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90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9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9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9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90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9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90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08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9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17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88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8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88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9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88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8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90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9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9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9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88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9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90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9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90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9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90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9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9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88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9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8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90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9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88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9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8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90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9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88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8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90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9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88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9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8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93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9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88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9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90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9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88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9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9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8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90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9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88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8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90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9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90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08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9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17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90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9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9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88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9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8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90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9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9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88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9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88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8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90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9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88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8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90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9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88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10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9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18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9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18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8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11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88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9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8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88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10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8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11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90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9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90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9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9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88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9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8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90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08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9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17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90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9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88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9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88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9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9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8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90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08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9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09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88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8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88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8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90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9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88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8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90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08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9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17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90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9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9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88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9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8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88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10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8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11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90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9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90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9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90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9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88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9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9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9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90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9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88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8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90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9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88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10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9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18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8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11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90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9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90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08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9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17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88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8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90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9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9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9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88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10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8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11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90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9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88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8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90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9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88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9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90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08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9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17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88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9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9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90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9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90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08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9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17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88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9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9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8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90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9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88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9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8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90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9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9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9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88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8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90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9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88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8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90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08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9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17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88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9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88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9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8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90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08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9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09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88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8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88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9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8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90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9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9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90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9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90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9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88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9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9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8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90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08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9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17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90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9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88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10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8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11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90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9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9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88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8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90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9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88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8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90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08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9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17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88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8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90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9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88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10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8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11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90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9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88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9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8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90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9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88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9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8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88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10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8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11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90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9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88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9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9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90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9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90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9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9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88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9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8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88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10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8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11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88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10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8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11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90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9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90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9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9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88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9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8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90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9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88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8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88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10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8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11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88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9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9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90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9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88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10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8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11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90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9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88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9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8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90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08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9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09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9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09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88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10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8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11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93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9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9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9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93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9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90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9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88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8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90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08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9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31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9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9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9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88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8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90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9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9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88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8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90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9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90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9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88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10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9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18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8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11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90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9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88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10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8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11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88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9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9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8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88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9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8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90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9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9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90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08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93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09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93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09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93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09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88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8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90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08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9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17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90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9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88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9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8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90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08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9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17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88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9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90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93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93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9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88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8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90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08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9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17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88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9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8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88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9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90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93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93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88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8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88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9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9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8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88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8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88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9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90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93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93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9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88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9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8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90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9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88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8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90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9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90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08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93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09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88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9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9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8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90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08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9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17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90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9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90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08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9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17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90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93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9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88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8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90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9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88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10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8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11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88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9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8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90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93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93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9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88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9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8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90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93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90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08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9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17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88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9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90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93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93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88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8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90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93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9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88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8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90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9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88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8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90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9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90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9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88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9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8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90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9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88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8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88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10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9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18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90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93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93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88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8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90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93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93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9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88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9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8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88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9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9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9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88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9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8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90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93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93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9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88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8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90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9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90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93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90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08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93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09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93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09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93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09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93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09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88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8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88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9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9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8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88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9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9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8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90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9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88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9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8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90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93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9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90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93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9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88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8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88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10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8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11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88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10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9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18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9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18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9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18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90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9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88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89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90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9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90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9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88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89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88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9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9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89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93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93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88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89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93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09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93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09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88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9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90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08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9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17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88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92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90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08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93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09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88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89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90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9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88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89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90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9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88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89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90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08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9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17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90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9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88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89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90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9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88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89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90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93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9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88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89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88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89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88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92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92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90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9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90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9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88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92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89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88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92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89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90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93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9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88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92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89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90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93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88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10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89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11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90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93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9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90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9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88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89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90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9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90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08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9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17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90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9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88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89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90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9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88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10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89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11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88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92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92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92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89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90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93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9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90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93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88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10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89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11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88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10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92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18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92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18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92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18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89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11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90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93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9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88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92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92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92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89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9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08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9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17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88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89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9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93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9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90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9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90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9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88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92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89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90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9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88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89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90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93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90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93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93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9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88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89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90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93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9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88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89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90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9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88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10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89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11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88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92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90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9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90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9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90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93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93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9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90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9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88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89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90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9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88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10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89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11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90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9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76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77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24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25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26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88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89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24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25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29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26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30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24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26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88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92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21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92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22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2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03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28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72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73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21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22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88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89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88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92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92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92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92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88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89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88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19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89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20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90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91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90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91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90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93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91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88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89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88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89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88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92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89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90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93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91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88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92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92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90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91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88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92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89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88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92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92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89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88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992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89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90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91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88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10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89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11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88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92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21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22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03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03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04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94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95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90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91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90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93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94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95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02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04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94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05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05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95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02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03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04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94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95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02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04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94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05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95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02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04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94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05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95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90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93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93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93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88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92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92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89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02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04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02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14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03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15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04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16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88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18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89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18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02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08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04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09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94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95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90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91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88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89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90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93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21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23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02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04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02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04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02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03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04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88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92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89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90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93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91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88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92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89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88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89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02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03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04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94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05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05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95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02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03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03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88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92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88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89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02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03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03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04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94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05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05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02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04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94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05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05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02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08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04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17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88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10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92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11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90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91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88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92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92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94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05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05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05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90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93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90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93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93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91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88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92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92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89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88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92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92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92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89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90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93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93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93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93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93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91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94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05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05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95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90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93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91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94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05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95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94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05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05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05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90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93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91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05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05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05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05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95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02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04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94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95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02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03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03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04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02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14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03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15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04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16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88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89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90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91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94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05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95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02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03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04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94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18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95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18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90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08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91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17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90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91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94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95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90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91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88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89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90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93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91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94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05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95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02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03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04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88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92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92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92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90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93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93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91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74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75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88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92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92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92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89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90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93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91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90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91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94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95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90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93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93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91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94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10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05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18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05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18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95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11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90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91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90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91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94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95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02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14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03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15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03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78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03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78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04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16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94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18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05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18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95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11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90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91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90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993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91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94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95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990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993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993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993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91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994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95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990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993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993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993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91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88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992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992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92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990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993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993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91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994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95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990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91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988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992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89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990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993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993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991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994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05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995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02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08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03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09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03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09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03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09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04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17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994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995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990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991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990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993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991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994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10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995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11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994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05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995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990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991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988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992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989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988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992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989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990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991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994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995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990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991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990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993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993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993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991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994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05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995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990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993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993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991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994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995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990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991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988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992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992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989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994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19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05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79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05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79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995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20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990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08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991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17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988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992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992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989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988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989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990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991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994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995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990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12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991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82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988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989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990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991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988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989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994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995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990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991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988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992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992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992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992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989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994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995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02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03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03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04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994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995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990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993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991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988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10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ht="19.5" hidden="1" thickBot="1" x14ac:dyDescent="0.3">
      <c r="A7116" s="992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18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ht="19.5" hidden="1" thickBot="1" x14ac:dyDescent="0.3">
      <c r="A7117" s="992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18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hidden="1" thickBot="1" x14ac:dyDescent="0.3">
      <c r="A7118" s="989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11"/>
      <c r="H7118" s="829" t="s">
        <v>2329</v>
      </c>
      <c r="I7118" s="829" t="s">
        <v>2423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2500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2424</v>
      </c>
      <c r="J7119" s="521"/>
      <c r="K7119" s="518" t="str">
        <f t="shared" ref="K7119:K7179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2514</v>
      </c>
      <c r="Q7119" s="2"/>
      <c r="R7119" s="2"/>
    </row>
    <row r="7120" spans="1:18" ht="57" hidden="1" thickBot="1" x14ac:dyDescent="0.3">
      <c r="A7120" s="988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992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992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2414</v>
      </c>
    </row>
    <row r="7123" spans="1:18" ht="19.5" hidden="1" thickBot="1" x14ac:dyDescent="0.3">
      <c r="A7123" s="992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2415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988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10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hidden="1" thickBot="1" x14ac:dyDescent="0.3">
      <c r="A7128" s="989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11"/>
      <c r="H7128" s="873" t="s">
        <v>2347</v>
      </c>
      <c r="I7128" s="788" t="s">
        <v>2423</v>
      </c>
      <c r="J7128" s="790"/>
      <c r="K7128" s="873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2501</v>
      </c>
    </row>
    <row r="7129" spans="1:18" ht="19.5" hidden="1" thickBot="1" x14ac:dyDescent="0.3">
      <c r="A7129" s="990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08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hidden="1" thickBot="1" x14ac:dyDescent="0.3">
      <c r="A7130" s="991"/>
      <c r="B7130" s="841" t="s">
        <v>2405</v>
      </c>
      <c r="C7130" s="977" t="s">
        <v>47</v>
      </c>
      <c r="D7130" s="978">
        <v>3.8</v>
      </c>
      <c r="E7130" s="978">
        <v>3.8260000000000001</v>
      </c>
      <c r="F7130" s="979" t="s">
        <v>16</v>
      </c>
      <c r="G7130" s="1009"/>
      <c r="H7130" s="979" t="s">
        <v>2405</v>
      </c>
      <c r="I7130" s="979" t="s">
        <v>2405</v>
      </c>
      <c r="J7130" s="845"/>
      <c r="K7130" s="979" t="str">
        <f t="shared" si="215"/>
        <v>09,26</v>
      </c>
      <c r="L7130" s="979" t="s">
        <v>28</v>
      </c>
      <c r="M7130" s="979">
        <v>3810</v>
      </c>
      <c r="N7130" s="846">
        <v>0.5</v>
      </c>
      <c r="O7130" s="897" t="s">
        <v>2425</v>
      </c>
      <c r="P7130" s="867" t="s">
        <v>2447</v>
      </c>
    </row>
    <row r="7131" spans="1:18" ht="19.5" hidden="1" thickBot="1" x14ac:dyDescent="0.3">
      <c r="A7131" s="988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ht="19.5" hidden="1" thickBot="1" x14ac:dyDescent="0.3">
      <c r="A7132" s="992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ht="19.5" hidden="1" thickBot="1" x14ac:dyDescent="0.3">
      <c r="A7133" s="992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hidden="1" thickBot="1" x14ac:dyDescent="0.3">
      <c r="A7134" s="989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ht="19.5" hidden="1" thickBot="1" x14ac:dyDescent="0.3">
      <c r="A7135" s="990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80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993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80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hidden="1" thickBot="1" x14ac:dyDescent="0.3">
      <c r="A7137" s="991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81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ht="19.5" hidden="1" thickBot="1" x14ac:dyDescent="0.3">
      <c r="A7138" s="988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hidden="1" thickBot="1" x14ac:dyDescent="0.3">
      <c r="A7139" s="989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ht="19.5" hidden="1" thickBot="1" x14ac:dyDescent="0.3">
      <c r="A7142" s="990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hidden="1" thickBot="1" x14ac:dyDescent="0.3">
      <c r="A7143" s="991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2423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ht="19.5" hidden="1" thickBot="1" x14ac:dyDescent="0.3">
      <c r="A7144" s="988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2504</v>
      </c>
    </row>
    <row r="7145" spans="1:20" ht="19.5" hidden="1" thickBot="1" x14ac:dyDescent="0.3">
      <c r="A7145" s="992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ht="19.5" hidden="1" thickBot="1" x14ac:dyDescent="0.3">
      <c r="A7146" s="992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2503</v>
      </c>
    </row>
    <row r="7147" spans="1:20" ht="19.5" hidden="1" thickBot="1" x14ac:dyDescent="0.3">
      <c r="A7147" s="989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2502</v>
      </c>
    </row>
    <row r="7148" spans="1:20" ht="19.5" hidden="1" thickBot="1" x14ac:dyDescent="0.3">
      <c r="A7148" s="990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12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ht="19.5" hidden="1" thickBot="1" x14ac:dyDescent="0.3">
      <c r="A7149" s="993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13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hidden="1" thickBot="1" x14ac:dyDescent="0.3">
      <c r="A7150" s="991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13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ht="19.5" hidden="1" thickBot="1" x14ac:dyDescent="0.3">
      <c r="A7151" s="994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ht="19.5" hidden="1" thickBot="1" x14ac:dyDescent="0.3">
      <c r="A7152" s="1005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hidden="1" thickBot="1" x14ac:dyDescent="0.3">
      <c r="A7153" s="995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thickBot="1" x14ac:dyDescent="0.3">
      <c r="A7154" s="513">
        <f t="shared" ref="A7154:A7161" si="217">MAX(A7001:A7153)+1</f>
        <v>4410</v>
      </c>
      <c r="B7154" s="645" t="s">
        <v>2294</v>
      </c>
      <c r="C7154" s="646" t="s">
        <v>1382</v>
      </c>
      <c r="D7154" s="647">
        <v>8</v>
      </c>
      <c r="E7154" s="648"/>
      <c r="F7154" s="649" t="s">
        <v>16</v>
      </c>
      <c r="G7154" s="650" t="s">
        <v>2299</v>
      </c>
      <c r="H7154" s="649" t="s">
        <v>2347</v>
      </c>
      <c r="I7154" s="651"/>
      <c r="J7154" s="652"/>
      <c r="K7154" s="649" t="str">
        <f t="shared" si="215"/>
        <v/>
      </c>
      <c r="L7154" s="649" t="s">
        <v>266</v>
      </c>
      <c r="M7154" s="649">
        <v>8001</v>
      </c>
      <c r="N7154" s="653">
        <v>0.54166666666666663</v>
      </c>
      <c r="O7154" s="897" t="s">
        <v>2373</v>
      </c>
      <c r="P7154" s="867" t="s">
        <v>2413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2416</v>
      </c>
      <c r="I7157" s="510" t="s">
        <v>2423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P7157" s="867" t="s">
        <v>2524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2416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2419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2416</v>
      </c>
      <c r="I7160" s="579" t="s">
        <v>2471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2420</v>
      </c>
      <c r="P7160" s="867" t="s">
        <v>2538</v>
      </c>
    </row>
    <row r="7161" spans="1:18" ht="19.5" hidden="1" thickBot="1" x14ac:dyDescent="0.3">
      <c r="A7161" s="994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hidden="1" thickBot="1" x14ac:dyDescent="0.3">
      <c r="A7162" s="995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2423</v>
      </c>
      <c r="I7162" s="801" t="s">
        <v>2423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ht="19.5" hidden="1" thickBot="1" x14ac:dyDescent="0.3">
      <c r="A7163" s="1002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hidden="1" thickBot="1" x14ac:dyDescent="0.3">
      <c r="A7164" s="1004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2423</v>
      </c>
      <c r="I7164" s="808" t="s">
        <v>2423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ht="19.5" hidden="1" thickBot="1" x14ac:dyDescent="0.3">
      <c r="A7165" s="988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2506</v>
      </c>
    </row>
    <row r="7166" spans="1:18" ht="19.5" hidden="1" thickBot="1" x14ac:dyDescent="0.3">
      <c r="A7166" s="989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2505</v>
      </c>
    </row>
    <row r="7167" spans="1:18" ht="19.5" hidden="1" thickBot="1" x14ac:dyDescent="0.3">
      <c r="A7167" s="1002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2424</v>
      </c>
      <c r="I7167" s="484" t="s">
        <v>2424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2428</v>
      </c>
      <c r="P7167" s="867" t="s">
        <v>2519</v>
      </c>
    </row>
    <row r="7168" spans="1:18" ht="19.5" hidden="1" thickBot="1" x14ac:dyDescent="0.3">
      <c r="A7168" s="1004"/>
      <c r="B7168" s="805" t="s">
        <v>2424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2424</v>
      </c>
      <c r="I7168" s="808" t="s">
        <v>2424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2508</v>
      </c>
      <c r="P7168" s="867" t="s">
        <v>2520</v>
      </c>
    </row>
    <row r="7169" spans="1:16" ht="19.5" hidden="1" thickBot="1" x14ac:dyDescent="0.3">
      <c r="A7169" s="988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2424</v>
      </c>
      <c r="I7169" s="537" t="s">
        <v>2424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2436</v>
      </c>
      <c r="P7169" s="985" t="s">
        <v>2537</v>
      </c>
    </row>
    <row r="7170" spans="1:16" ht="19.5" hidden="1" thickBot="1" x14ac:dyDescent="0.3">
      <c r="A7170" s="992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2424</v>
      </c>
      <c r="I7170" s="782" t="s">
        <v>2424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2435</v>
      </c>
      <c r="P7170" s="985" t="s">
        <v>2536</v>
      </c>
    </row>
    <row r="7171" spans="1:16" ht="19.5" hidden="1" thickBot="1" x14ac:dyDescent="0.3">
      <c r="A7171" s="992"/>
      <c r="B7171" s="836" t="s">
        <v>2424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2424</v>
      </c>
      <c r="I7171" s="839" t="s">
        <v>2424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2507</v>
      </c>
      <c r="P7171" s="867" t="s">
        <v>2531</v>
      </c>
    </row>
    <row r="7172" spans="1:16" ht="19.5" hidden="1" thickBot="1" x14ac:dyDescent="0.3">
      <c r="A7172" s="513">
        <f>MAX(A7015:A7171)+1</f>
        <v>4422</v>
      </c>
      <c r="B7172" s="514" t="s">
        <v>2416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2424</v>
      </c>
      <c r="I7172" s="520" t="s">
        <v>2424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2452</v>
      </c>
      <c r="P7172" s="867" t="s">
        <v>2513</v>
      </c>
    </row>
    <row r="7173" spans="1:16" ht="19.5" hidden="1" thickBot="1" x14ac:dyDescent="0.3">
      <c r="A7173" s="988">
        <f>MAX(A7016:A7172)+1</f>
        <v>4423</v>
      </c>
      <c r="B7173" s="759" t="s">
        <v>2416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06" t="s">
        <v>2498</v>
      </c>
      <c r="H7173" s="535" t="s">
        <v>2424</v>
      </c>
      <c r="I7173" s="537" t="s">
        <v>2424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2454</v>
      </c>
      <c r="P7173" s="867" t="s">
        <v>2515</v>
      </c>
    </row>
    <row r="7174" spans="1:16" ht="38.25" hidden="1" thickBot="1" x14ac:dyDescent="0.3">
      <c r="A7174" s="992"/>
      <c r="B7174" s="983" t="s">
        <v>2416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07"/>
      <c r="H7174" s="915" t="s">
        <v>2424</v>
      </c>
      <c r="I7174" s="917" t="s">
        <v>1496</v>
      </c>
      <c r="J7174" s="984" t="s">
        <v>2544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2455</v>
      </c>
      <c r="P7174" s="921" t="s">
        <v>1024</v>
      </c>
    </row>
    <row r="7175" spans="1:16" ht="19.5" hidden="1" thickBot="1" x14ac:dyDescent="0.3">
      <c r="A7175" s="992"/>
      <c r="B7175" s="760" t="s">
        <v>2416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07"/>
      <c r="H7175" s="567" t="s">
        <v>2424</v>
      </c>
      <c r="I7175" s="569" t="s">
        <v>2424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2456</v>
      </c>
      <c r="P7175" s="867" t="s">
        <v>2516</v>
      </c>
    </row>
    <row r="7176" spans="1:16" ht="19.5" hidden="1" thickBot="1" x14ac:dyDescent="0.3">
      <c r="A7176" s="989"/>
      <c r="B7176" s="762" t="s">
        <v>2416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07"/>
      <c r="H7176" s="594" t="s">
        <v>2424</v>
      </c>
      <c r="I7176" s="596" t="s">
        <v>2424</v>
      </c>
      <c r="J7176" s="980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2457</v>
      </c>
      <c r="P7176" s="867" t="s">
        <v>2517</v>
      </c>
    </row>
    <row r="7177" spans="1:16" ht="19.5" hidden="1" thickBot="1" x14ac:dyDescent="0.3">
      <c r="A7177" s="1002">
        <f>MAX(A7020:A7176)+1</f>
        <v>4424</v>
      </c>
      <c r="B7177" s="610" t="s">
        <v>2416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2453</v>
      </c>
      <c r="I7177" s="484" t="s">
        <v>2453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2458</v>
      </c>
      <c r="P7177" s="867" t="s">
        <v>2521</v>
      </c>
    </row>
    <row r="7178" spans="1:16" ht="19.5" hidden="1" thickBot="1" x14ac:dyDescent="0.3">
      <c r="A7178" s="1003"/>
      <c r="B7178" s="769" t="s">
        <v>2416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2453</v>
      </c>
      <c r="I7178" s="768" t="s">
        <v>2453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2459</v>
      </c>
      <c r="P7178" s="867" t="s">
        <v>2522</v>
      </c>
    </row>
    <row r="7179" spans="1:16" ht="19.5" hidden="1" thickBot="1" x14ac:dyDescent="0.3">
      <c r="A7179" s="1004"/>
      <c r="B7179" s="805" t="s">
        <v>2453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2453</v>
      </c>
      <c r="I7179" s="808" t="s">
        <v>2453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2509</v>
      </c>
      <c r="P7179" s="867" t="s">
        <v>2523</v>
      </c>
    </row>
    <row r="7180" spans="1:16" x14ac:dyDescent="0.25">
      <c r="A7180" s="988">
        <f>MAX(A7022:A7179)+1</f>
        <v>4425</v>
      </c>
      <c r="B7180" s="531" t="s">
        <v>2416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2453</v>
      </c>
      <c r="I7180" s="537" t="s">
        <v>2453</v>
      </c>
      <c r="J7180" s="538"/>
      <c r="K7180" s="531"/>
      <c r="L7180" s="535" t="s">
        <v>28</v>
      </c>
      <c r="M7180" s="535">
        <v>772.8</v>
      </c>
      <c r="N7180" s="539">
        <v>0.41666666666666669</v>
      </c>
      <c r="O7180" s="897" t="s">
        <v>2461</v>
      </c>
      <c r="P7180" s="867" t="s">
        <v>2529</v>
      </c>
    </row>
    <row r="7181" spans="1:16" x14ac:dyDescent="0.25">
      <c r="A7181" s="992"/>
      <c r="B7181" s="824" t="s">
        <v>2416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2453</v>
      </c>
      <c r="I7181" s="782" t="s">
        <v>2453</v>
      </c>
      <c r="J7181" s="825"/>
      <c r="K7181" s="849"/>
      <c r="L7181" s="819" t="s">
        <v>28</v>
      </c>
      <c r="M7181" s="819">
        <v>16789.900000000001</v>
      </c>
      <c r="N7181" s="811">
        <v>0.41666666666666669</v>
      </c>
      <c r="O7181" s="897" t="s">
        <v>2460</v>
      </c>
      <c r="P7181" s="867" t="s">
        <v>2528</v>
      </c>
    </row>
    <row r="7182" spans="1:16" ht="19.5" thickBot="1" x14ac:dyDescent="0.3">
      <c r="A7182" s="992"/>
      <c r="B7182" s="836" t="s">
        <v>2453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2453</v>
      </c>
      <c r="I7182" s="839" t="s">
        <v>2453</v>
      </c>
      <c r="J7182" s="840"/>
      <c r="K7182" s="836"/>
      <c r="L7182" s="839" t="s">
        <v>28</v>
      </c>
      <c r="M7182" s="839">
        <v>1214.1599999999999</v>
      </c>
      <c r="N7182" s="598">
        <v>0.41666666666666669</v>
      </c>
      <c r="O7182" s="897" t="s">
        <v>2510</v>
      </c>
      <c r="P7182" s="867" t="s">
        <v>2530</v>
      </c>
    </row>
    <row r="7183" spans="1:16" ht="19.5" thickBot="1" x14ac:dyDescent="0.3">
      <c r="A7183" s="513">
        <f>MAX(A7024:A7182)+1</f>
        <v>4426</v>
      </c>
      <c r="B7183" s="514" t="s">
        <v>2423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2471</v>
      </c>
      <c r="I7183" s="520" t="s">
        <v>2471</v>
      </c>
      <c r="J7183" s="521"/>
      <c r="K7183" s="514"/>
      <c r="L7183" s="518" t="s">
        <v>265</v>
      </c>
      <c r="M7183" s="518">
        <v>16669.04</v>
      </c>
      <c r="N7183" s="522">
        <v>0.375</v>
      </c>
      <c r="O7183" s="897" t="s">
        <v>2473</v>
      </c>
      <c r="P7183" s="867" t="s">
        <v>2518</v>
      </c>
    </row>
    <row r="7184" spans="1:16" ht="57" thickBot="1" x14ac:dyDescent="0.3">
      <c r="A7184" s="503">
        <f>MAX(A7025:A7183)+1</f>
        <v>4427</v>
      </c>
      <c r="B7184" s="504" t="s">
        <v>2423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2472</v>
      </c>
      <c r="H7184" s="508" t="s">
        <v>2471</v>
      </c>
      <c r="I7184" s="510" t="s">
        <v>2525</v>
      </c>
      <c r="J7184" s="511"/>
      <c r="K7184" s="504"/>
      <c r="L7184" s="508" t="s">
        <v>266</v>
      </c>
      <c r="M7184" s="508">
        <v>10739.76</v>
      </c>
      <c r="N7184" s="512">
        <v>0.5</v>
      </c>
      <c r="O7184" s="897" t="s">
        <v>2474</v>
      </c>
      <c r="P7184" s="867" t="s">
        <v>2609</v>
      </c>
    </row>
    <row r="7185" spans="1:16" x14ac:dyDescent="0.25">
      <c r="A7185" s="1002">
        <f>MAX(A7026:A7184)+1</f>
        <v>4428</v>
      </c>
      <c r="B7185" s="610" t="s">
        <v>2423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2471</v>
      </c>
      <c r="I7185" s="484" t="s">
        <v>2476</v>
      </c>
      <c r="J7185" s="485"/>
      <c r="K7185" s="479"/>
      <c r="L7185" s="483" t="s">
        <v>265</v>
      </c>
      <c r="M7185" s="483">
        <v>17597.66</v>
      </c>
      <c r="N7185" s="486">
        <v>0.375</v>
      </c>
      <c r="O7185" s="897" t="s">
        <v>2478</v>
      </c>
      <c r="P7185" s="867" t="s">
        <v>2554</v>
      </c>
    </row>
    <row r="7186" spans="1:16" x14ac:dyDescent="0.25">
      <c r="A7186" s="1003"/>
      <c r="B7186" s="792" t="s">
        <v>2476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/>
      <c r="H7186" s="795" t="s">
        <v>2471</v>
      </c>
      <c r="I7186" s="795" t="s">
        <v>2476</v>
      </c>
      <c r="J7186" s="797"/>
      <c r="K7186" s="986"/>
      <c r="L7186" s="795" t="s">
        <v>265</v>
      </c>
      <c r="M7186" s="795">
        <v>2325</v>
      </c>
      <c r="N7186" s="502">
        <v>0.375</v>
      </c>
      <c r="O7186" s="897" t="s">
        <v>2542</v>
      </c>
      <c r="P7186" s="867" t="s">
        <v>2563</v>
      </c>
    </row>
    <row r="7187" spans="1:16" ht="19.5" thickBot="1" x14ac:dyDescent="0.3">
      <c r="A7187" s="1004"/>
      <c r="B7187" s="805" t="s">
        <v>2453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2471</v>
      </c>
      <c r="I7187" s="808" t="s">
        <v>2476</v>
      </c>
      <c r="J7187" s="810"/>
      <c r="K7187" s="887"/>
      <c r="L7187" s="808" t="s">
        <v>265</v>
      </c>
      <c r="M7187" s="808">
        <v>2550</v>
      </c>
      <c r="N7187" s="778">
        <v>0.375</v>
      </c>
      <c r="O7187" s="897" t="s">
        <v>2511</v>
      </c>
      <c r="P7187" s="867" t="s">
        <v>2555</v>
      </c>
    </row>
    <row r="7188" spans="1:16" x14ac:dyDescent="0.25">
      <c r="A7188" s="994">
        <f>MAX(A7027:A7185)+1</f>
        <v>4429</v>
      </c>
      <c r="B7188" s="759" t="s">
        <v>2423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2471</v>
      </c>
      <c r="I7188" s="537" t="s">
        <v>2476</v>
      </c>
      <c r="J7188" s="538"/>
      <c r="K7188" s="531"/>
      <c r="L7188" s="535" t="s">
        <v>265</v>
      </c>
      <c r="M7188" s="535">
        <v>17908.080000000002</v>
      </c>
      <c r="N7188" s="539">
        <v>0.41666666666666669</v>
      </c>
      <c r="O7188" s="897" t="s">
        <v>2477</v>
      </c>
      <c r="P7188" s="867" t="s">
        <v>2559</v>
      </c>
    </row>
    <row r="7189" spans="1:16" x14ac:dyDescent="0.25">
      <c r="A7189" s="1005"/>
      <c r="B7189" s="852" t="s">
        <v>2476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/>
      <c r="H7189" s="839" t="s">
        <v>2471</v>
      </c>
      <c r="I7189" s="839" t="s">
        <v>2476</v>
      </c>
      <c r="J7189" s="840"/>
      <c r="K7189" s="836"/>
      <c r="L7189" s="839" t="s">
        <v>265</v>
      </c>
      <c r="M7189" s="839">
        <v>1620</v>
      </c>
      <c r="N7189" s="598">
        <v>0.41666666666666669</v>
      </c>
      <c r="O7189" s="897" t="s">
        <v>2543</v>
      </c>
      <c r="P7189" s="867" t="s">
        <v>2560</v>
      </c>
    </row>
    <row r="7190" spans="1:16" ht="19.5" thickBot="1" x14ac:dyDescent="0.3">
      <c r="A7190" s="995"/>
      <c r="B7190" s="798" t="s">
        <v>2453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2471</v>
      </c>
      <c r="I7190" s="801" t="s">
        <v>2476</v>
      </c>
      <c r="J7190" s="803"/>
      <c r="K7190" s="848"/>
      <c r="L7190" s="801" t="s">
        <v>265</v>
      </c>
      <c r="M7190" s="801">
        <v>1725</v>
      </c>
      <c r="N7190" s="804">
        <v>0.41666666666666669</v>
      </c>
      <c r="O7190" s="897" t="s">
        <v>2512</v>
      </c>
      <c r="P7190" s="867" t="s">
        <v>2561</v>
      </c>
    </row>
    <row r="7191" spans="1:16" x14ac:dyDescent="0.25">
      <c r="A7191" s="1002">
        <f>MAX(A7030:A7188)+1</f>
        <v>4430</v>
      </c>
      <c r="B7191" s="610" t="s">
        <v>2423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14" t="s">
        <v>2475</v>
      </c>
      <c r="H7191" s="483" t="s">
        <v>2471</v>
      </c>
      <c r="I7191" s="484" t="s">
        <v>2476</v>
      </c>
      <c r="J7191" s="485"/>
      <c r="K7191" s="479"/>
      <c r="L7191" s="483" t="s">
        <v>28</v>
      </c>
      <c r="M7191" s="483">
        <v>8730.48</v>
      </c>
      <c r="N7191" s="486">
        <v>0.5</v>
      </c>
      <c r="O7191" s="897" t="s">
        <v>2480</v>
      </c>
      <c r="P7191" s="867" t="s">
        <v>2577</v>
      </c>
    </row>
    <row r="7192" spans="1:16" x14ac:dyDescent="0.25">
      <c r="A7192" s="1003"/>
      <c r="B7192" s="769" t="s">
        <v>2423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15"/>
      <c r="H7192" s="763" t="s">
        <v>2471</v>
      </c>
      <c r="I7192" s="768" t="s">
        <v>2476</v>
      </c>
      <c r="J7192" s="779"/>
      <c r="K7192" s="791"/>
      <c r="L7192" s="763" t="s">
        <v>28</v>
      </c>
      <c r="M7192" s="763">
        <v>7135.9200000000019</v>
      </c>
      <c r="N7192" s="770">
        <v>0.5</v>
      </c>
      <c r="O7192" s="897" t="s">
        <v>2479</v>
      </c>
      <c r="P7192" s="867" t="s">
        <v>2576</v>
      </c>
    </row>
    <row r="7193" spans="1:16" x14ac:dyDescent="0.25">
      <c r="A7193" s="1003"/>
      <c r="B7193" s="864" t="s">
        <v>2471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15"/>
      <c r="H7193" s="860" t="s">
        <v>2471</v>
      </c>
      <c r="I7193" s="860" t="s">
        <v>2476</v>
      </c>
      <c r="J7193" s="865"/>
      <c r="K7193" s="976"/>
      <c r="L7193" s="860" t="s">
        <v>28</v>
      </c>
      <c r="M7193" s="860">
        <v>870</v>
      </c>
      <c r="N7193" s="981">
        <v>0.5</v>
      </c>
      <c r="O7193" s="897" t="s">
        <v>2533</v>
      </c>
      <c r="P7193" s="867" t="s">
        <v>2578</v>
      </c>
    </row>
    <row r="7194" spans="1:16" ht="19.5" thickBot="1" x14ac:dyDescent="0.3">
      <c r="A7194" s="1004"/>
      <c r="B7194" s="805" t="s">
        <v>2471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16"/>
      <c r="H7194" s="808" t="s">
        <v>2471</v>
      </c>
      <c r="I7194" s="808" t="s">
        <v>2476</v>
      </c>
      <c r="J7194" s="810"/>
      <c r="K7194" s="887"/>
      <c r="L7194" s="808" t="s">
        <v>28</v>
      </c>
      <c r="M7194" s="808">
        <v>795</v>
      </c>
      <c r="N7194" s="982">
        <v>0.5</v>
      </c>
      <c r="O7194" s="897" t="s">
        <v>2532</v>
      </c>
      <c r="P7194" s="867" t="s">
        <v>2579</v>
      </c>
    </row>
    <row r="7195" spans="1:16" ht="19.5" thickBot="1" x14ac:dyDescent="0.3">
      <c r="A7195" s="503">
        <f>MAX(A7032:A7194)+1</f>
        <v>4431</v>
      </c>
      <c r="B7195" s="636" t="s">
        <v>2423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2471</v>
      </c>
      <c r="I7195" s="642" t="s">
        <v>2476</v>
      </c>
      <c r="J7195" s="643"/>
      <c r="K7195" s="636"/>
      <c r="L7195" s="640" t="s">
        <v>28</v>
      </c>
      <c r="M7195" s="640">
        <v>8689.0400000000009</v>
      </c>
      <c r="N7195" s="644">
        <v>0.45833333333333331</v>
      </c>
      <c r="O7195" s="897" t="s">
        <v>2487</v>
      </c>
      <c r="P7195" s="867" t="s">
        <v>2583</v>
      </c>
    </row>
    <row r="7196" spans="1:16" x14ac:dyDescent="0.25">
      <c r="A7196" s="990">
        <f>MAX(A7033:A7195)+1</f>
        <v>4432</v>
      </c>
      <c r="B7196" s="479" t="s">
        <v>2423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2471</v>
      </c>
      <c r="I7196" s="484" t="s">
        <v>2471</v>
      </c>
      <c r="J7196" s="485"/>
      <c r="K7196" s="479"/>
      <c r="L7196" s="483" t="s">
        <v>266</v>
      </c>
      <c r="M7196" s="483">
        <v>2026.08</v>
      </c>
      <c r="N7196" s="486">
        <v>0.41666666666666669</v>
      </c>
      <c r="O7196" s="897" t="s">
        <v>2486</v>
      </c>
      <c r="P7196" s="867" t="s">
        <v>2539</v>
      </c>
    </row>
    <row r="7197" spans="1:16" x14ac:dyDescent="0.25">
      <c r="A7197" s="993"/>
      <c r="B7197" s="523" t="s">
        <v>2423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2471</v>
      </c>
      <c r="I7197" s="528" t="s">
        <v>2471</v>
      </c>
      <c r="J7197" s="529"/>
      <c r="K7197" s="523"/>
      <c r="L7197" s="527" t="s">
        <v>28</v>
      </c>
      <c r="M7197" s="527">
        <v>9787.68</v>
      </c>
      <c r="N7197" s="530">
        <v>0.41666666666666669</v>
      </c>
      <c r="O7197" s="897" t="s">
        <v>2488</v>
      </c>
      <c r="P7197" s="867" t="s">
        <v>2540</v>
      </c>
    </row>
    <row r="7198" spans="1:16" ht="19.5" thickBot="1" x14ac:dyDescent="0.3">
      <c r="A7198" s="991"/>
      <c r="B7198" s="645" t="s">
        <v>2423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2471</v>
      </c>
      <c r="I7198" s="651" t="s">
        <v>2471</v>
      </c>
      <c r="J7198" s="652"/>
      <c r="K7198" s="645"/>
      <c r="L7198" s="649" t="s">
        <v>28</v>
      </c>
      <c r="M7198" s="649">
        <v>1257.5999999999999</v>
      </c>
      <c r="N7198" s="653">
        <v>0.41666666666666669</v>
      </c>
      <c r="O7198" s="897" t="s">
        <v>2485</v>
      </c>
      <c r="P7198" s="867" t="s">
        <v>2541</v>
      </c>
    </row>
    <row r="7199" spans="1:16" x14ac:dyDescent="0.25">
      <c r="A7199" s="994">
        <f t="shared" ref="A7199" si="218">MAX(A7036:A7198)+1</f>
        <v>4433</v>
      </c>
      <c r="B7199" s="759" t="s">
        <v>2423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2476</v>
      </c>
      <c r="I7199" s="537" t="s">
        <v>2476</v>
      </c>
      <c r="J7199" s="538"/>
      <c r="K7199" s="531"/>
      <c r="L7199" s="535" t="s">
        <v>265</v>
      </c>
      <c r="M7199" s="535">
        <v>17575.240000000002</v>
      </c>
      <c r="N7199" s="539">
        <v>0.375</v>
      </c>
      <c r="O7199" s="897" t="s">
        <v>2481</v>
      </c>
      <c r="P7199" s="867" t="s">
        <v>2557</v>
      </c>
    </row>
    <row r="7200" spans="1:16" ht="19.5" thickBot="1" x14ac:dyDescent="0.3">
      <c r="A7200" s="995"/>
      <c r="B7200" s="798" t="s">
        <v>2471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2476</v>
      </c>
      <c r="I7200" s="801" t="s">
        <v>2476</v>
      </c>
      <c r="J7200" s="803"/>
      <c r="K7200" s="848"/>
      <c r="L7200" s="801" t="s">
        <v>265</v>
      </c>
      <c r="M7200" s="801">
        <v>2700</v>
      </c>
      <c r="N7200" s="804">
        <v>0.375</v>
      </c>
      <c r="O7200" s="897" t="s">
        <v>2534</v>
      </c>
      <c r="P7200" s="867" t="s">
        <v>2558</v>
      </c>
    </row>
    <row r="7201" spans="1:18" x14ac:dyDescent="0.25">
      <c r="A7201" s="1002">
        <f>MAX(A7037:A7199)+1</f>
        <v>4434</v>
      </c>
      <c r="B7201" s="610" t="s">
        <v>2423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2476</v>
      </c>
      <c r="I7201" s="484" t="s">
        <v>2476</v>
      </c>
      <c r="J7201" s="485"/>
      <c r="K7201" s="479"/>
      <c r="L7201" s="483" t="s">
        <v>265</v>
      </c>
      <c r="M7201" s="483">
        <v>17884.45</v>
      </c>
      <c r="N7201" s="486">
        <v>0.41666666666666669</v>
      </c>
      <c r="O7201" s="897" t="s">
        <v>2482</v>
      </c>
      <c r="P7201" s="867" t="s">
        <v>2562</v>
      </c>
    </row>
    <row r="7202" spans="1:18" x14ac:dyDescent="0.25">
      <c r="A7202" s="1003"/>
      <c r="B7202" s="792" t="s">
        <v>2476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2476</v>
      </c>
      <c r="I7202" s="795" t="s">
        <v>2476</v>
      </c>
      <c r="J7202" s="797"/>
      <c r="K7202" s="986"/>
      <c r="L7202" s="795" t="s">
        <v>265</v>
      </c>
      <c r="M7202" s="795">
        <v>510</v>
      </c>
      <c r="N7202" s="502">
        <v>0.41666666666666669</v>
      </c>
      <c r="O7202" s="897" t="s">
        <v>2545</v>
      </c>
      <c r="P7202" s="867" t="s">
        <v>2564</v>
      </c>
    </row>
    <row r="7203" spans="1:18" ht="19.5" thickBot="1" x14ac:dyDescent="0.3">
      <c r="A7203" s="1003"/>
      <c r="B7203" s="841" t="s">
        <v>2471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2476</v>
      </c>
      <c r="I7203" s="844" t="s">
        <v>2476</v>
      </c>
      <c r="J7203" s="845"/>
      <c r="K7203" s="886"/>
      <c r="L7203" s="844" t="s">
        <v>265</v>
      </c>
      <c r="M7203" s="844">
        <v>3225</v>
      </c>
      <c r="N7203" s="846">
        <v>0.41666666666666669</v>
      </c>
      <c r="O7203" s="897" t="s">
        <v>2535</v>
      </c>
      <c r="P7203" s="867" t="s">
        <v>2556</v>
      </c>
    </row>
    <row r="7204" spans="1:18" x14ac:dyDescent="0.25">
      <c r="A7204" s="996">
        <f>MAX(A7038:A7201)+1</f>
        <v>4435</v>
      </c>
      <c r="B7204" s="759" t="s">
        <v>2423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998" t="s">
        <v>1634</v>
      </c>
      <c r="H7204" s="535" t="s">
        <v>2476</v>
      </c>
      <c r="I7204" s="537" t="s">
        <v>2476</v>
      </c>
      <c r="J7204" s="538"/>
      <c r="K7204" s="531"/>
      <c r="L7204" s="535" t="s">
        <v>28</v>
      </c>
      <c r="M7204" s="535">
        <v>17311.98</v>
      </c>
      <c r="N7204" s="539">
        <v>0.45833333333333331</v>
      </c>
      <c r="O7204" s="897" t="s">
        <v>2483</v>
      </c>
      <c r="P7204" s="867" t="s">
        <v>2574</v>
      </c>
    </row>
    <row r="7205" spans="1:18" ht="19.5" thickBot="1" x14ac:dyDescent="0.3">
      <c r="A7205" s="997"/>
      <c r="B7205" s="798" t="s">
        <v>2476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999"/>
      <c r="H7205" s="801" t="s">
        <v>2476</v>
      </c>
      <c r="I7205" s="801" t="s">
        <v>2476</v>
      </c>
      <c r="J7205" s="803"/>
      <c r="K7205" s="848"/>
      <c r="L7205" s="801" t="s">
        <v>28</v>
      </c>
      <c r="M7205" s="801">
        <v>1717.56</v>
      </c>
      <c r="N7205" s="804">
        <v>0.45833333333333331</v>
      </c>
      <c r="O7205" s="897" t="s">
        <v>2547</v>
      </c>
      <c r="P7205" s="867" t="s">
        <v>2575</v>
      </c>
    </row>
    <row r="7206" spans="1:18" x14ac:dyDescent="0.25">
      <c r="A7206" s="990">
        <f>MAX(A7039:A7204)+1</f>
        <v>4436</v>
      </c>
      <c r="B7206" s="610" t="s">
        <v>2423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000" t="s">
        <v>1634</v>
      </c>
      <c r="H7206" s="483" t="s">
        <v>2476</v>
      </c>
      <c r="I7206" s="484" t="s">
        <v>2546</v>
      </c>
      <c r="J7206" s="485"/>
      <c r="K7206" s="479"/>
      <c r="L7206" s="483" t="s">
        <v>28</v>
      </c>
      <c r="M7206" s="483">
        <v>17304.93</v>
      </c>
      <c r="N7206" s="486">
        <v>0.5</v>
      </c>
      <c r="O7206" s="897" t="s">
        <v>2484</v>
      </c>
      <c r="P7206" s="867" t="s">
        <v>2580</v>
      </c>
    </row>
    <row r="7207" spans="1:18" ht="19.5" thickBot="1" x14ac:dyDescent="0.3">
      <c r="A7207" s="991"/>
      <c r="B7207" s="805" t="s">
        <v>2476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001"/>
      <c r="H7207" s="808" t="s">
        <v>2476</v>
      </c>
      <c r="I7207" s="808" t="s">
        <v>2546</v>
      </c>
      <c r="J7207" s="810"/>
      <c r="K7207" s="887"/>
      <c r="L7207" s="808" t="s">
        <v>28</v>
      </c>
      <c r="M7207" s="808">
        <v>825</v>
      </c>
      <c r="N7207" s="778">
        <v>0.5</v>
      </c>
      <c r="O7207" s="897" t="s">
        <v>2548</v>
      </c>
      <c r="P7207" s="867" t="s">
        <v>2581</v>
      </c>
    </row>
    <row r="7208" spans="1:18" ht="19.5" thickBot="1" x14ac:dyDescent="0.3">
      <c r="A7208" s="503">
        <f>MAX(A7040:A7206)+1</f>
        <v>4437</v>
      </c>
      <c r="B7208" s="636" t="s">
        <v>2423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2476</v>
      </c>
      <c r="I7208" s="642" t="s">
        <v>2546</v>
      </c>
      <c r="J7208" s="643"/>
      <c r="K7208" s="636"/>
      <c r="L7208" s="640" t="s">
        <v>28</v>
      </c>
      <c r="M7208" s="640">
        <v>12076.199999999999</v>
      </c>
      <c r="N7208" s="644">
        <v>0.41666666666666669</v>
      </c>
      <c r="O7208" s="897" t="s">
        <v>2489</v>
      </c>
      <c r="P7208" s="867" t="s">
        <v>2582</v>
      </c>
    </row>
    <row r="7209" spans="1:18" x14ac:dyDescent="0.25">
      <c r="A7209" s="990">
        <f>MAX(A7041:A7208)+1</f>
        <v>4438</v>
      </c>
      <c r="B7209" s="479" t="s">
        <v>2471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2546</v>
      </c>
      <c r="I7209" s="484" t="s">
        <v>2525</v>
      </c>
      <c r="J7209" s="485"/>
      <c r="K7209" s="479"/>
      <c r="L7209" s="483" t="s">
        <v>266</v>
      </c>
      <c r="M7209" s="483">
        <v>2937.4599999999996</v>
      </c>
      <c r="N7209" s="486">
        <v>0.5</v>
      </c>
      <c r="O7209" s="897" t="s">
        <v>2526</v>
      </c>
      <c r="P7209" s="867" t="s">
        <v>2611</v>
      </c>
    </row>
    <row r="7210" spans="1:18" ht="19.5" thickBot="1" x14ac:dyDescent="0.3">
      <c r="A7210" s="993"/>
      <c r="B7210" s="495" t="s">
        <v>2471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2546</v>
      </c>
      <c r="I7210" s="500" t="s">
        <v>2525</v>
      </c>
      <c r="J7210" s="501"/>
      <c r="K7210" s="495"/>
      <c r="L7210" s="499" t="s">
        <v>266</v>
      </c>
      <c r="M7210" s="499">
        <v>15070.84</v>
      </c>
      <c r="N7210" s="502">
        <v>0.5</v>
      </c>
      <c r="O7210" s="897" t="s">
        <v>2527</v>
      </c>
      <c r="P7210" s="867" t="s">
        <v>2612</v>
      </c>
    </row>
    <row r="7211" spans="1:18" ht="19.5" thickBot="1" x14ac:dyDescent="0.3">
      <c r="A7211" s="503">
        <f t="shared" ref="A7211:A7216" si="219">MAX(A7043:A7210)+1</f>
        <v>4439</v>
      </c>
      <c r="B7211" s="504" t="s">
        <v>2476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2525</v>
      </c>
      <c r="I7211" s="510" t="s">
        <v>2525</v>
      </c>
      <c r="J7211" s="511"/>
      <c r="K7211" s="504"/>
      <c r="L7211" s="508" t="s">
        <v>266</v>
      </c>
      <c r="M7211" s="508">
        <v>18206.340000000004</v>
      </c>
      <c r="N7211" s="512">
        <v>0.41666666666666669</v>
      </c>
      <c r="O7211" s="897" t="s">
        <v>2549</v>
      </c>
      <c r="P7211" s="867" t="s">
        <v>2610</v>
      </c>
    </row>
    <row r="7212" spans="1:18" ht="19.5" thickBot="1" x14ac:dyDescent="0.3">
      <c r="A7212" s="513">
        <f t="shared" si="219"/>
        <v>4440</v>
      </c>
      <c r="B7212" s="514" t="s">
        <v>2476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2525</v>
      </c>
      <c r="I7212" s="520" t="s">
        <v>2565</v>
      </c>
      <c r="J7212" s="521"/>
      <c r="K7212" s="514"/>
      <c r="L7212" s="518" t="s">
        <v>266</v>
      </c>
      <c r="M7212" s="518">
        <v>18073.95</v>
      </c>
      <c r="N7212" s="522">
        <v>0.45833333333333331</v>
      </c>
      <c r="O7212" s="897" t="s">
        <v>2550</v>
      </c>
      <c r="P7212" s="867" t="s">
        <v>2649</v>
      </c>
    </row>
    <row r="7213" spans="1:18" ht="19.5" thickBot="1" x14ac:dyDescent="0.3">
      <c r="A7213" s="503">
        <f t="shared" si="219"/>
        <v>4441</v>
      </c>
      <c r="B7213" s="504" t="s">
        <v>2476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2525</v>
      </c>
      <c r="I7213" s="510" t="s">
        <v>2587</v>
      </c>
      <c r="J7213" s="511"/>
      <c r="K7213" s="504"/>
      <c r="L7213" s="508" t="s">
        <v>266</v>
      </c>
      <c r="M7213" s="508">
        <v>18103.2</v>
      </c>
      <c r="N7213" s="512">
        <v>0.5</v>
      </c>
      <c r="O7213" s="897" t="s">
        <v>2552</v>
      </c>
      <c r="P7213" s="867" t="s">
        <v>2661</v>
      </c>
    </row>
    <row r="7214" spans="1:18" ht="19.5" thickBot="1" x14ac:dyDescent="0.3">
      <c r="A7214" s="513">
        <f t="shared" si="219"/>
        <v>4442</v>
      </c>
      <c r="B7214" s="663" t="s">
        <v>2476</v>
      </c>
      <c r="C7214" s="664" t="s">
        <v>32</v>
      </c>
      <c r="D7214" s="665">
        <v>17.600000000000001</v>
      </c>
      <c r="E7214" s="666"/>
      <c r="F7214" s="667" t="s">
        <v>16</v>
      </c>
      <c r="G7214" s="668" t="s">
        <v>2299</v>
      </c>
      <c r="H7214" s="667" t="s">
        <v>2525</v>
      </c>
      <c r="I7214" s="669"/>
      <c r="J7214" s="670"/>
      <c r="K7214" s="663"/>
      <c r="L7214" s="667" t="s">
        <v>266</v>
      </c>
      <c r="M7214" s="667">
        <v>17604.599999999999</v>
      </c>
      <c r="N7214" s="671">
        <v>0.54166666666666663</v>
      </c>
      <c r="O7214" s="920" t="s">
        <v>2551</v>
      </c>
      <c r="P7214" s="921" t="s">
        <v>2413</v>
      </c>
    </row>
    <row r="7215" spans="1:18" ht="19.5" thickBot="1" x14ac:dyDescent="0.3">
      <c r="A7215" s="551">
        <f t="shared" si="219"/>
        <v>4443</v>
      </c>
      <c r="B7215" s="552" t="s">
        <v>2476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2525</v>
      </c>
      <c r="I7215" s="558" t="s">
        <v>2565</v>
      </c>
      <c r="J7215" s="559"/>
      <c r="K7215" s="552"/>
      <c r="L7215" s="556" t="s">
        <v>266</v>
      </c>
      <c r="M7215" s="556">
        <v>18066.18</v>
      </c>
      <c r="N7215" s="560">
        <v>0.58333333333333337</v>
      </c>
      <c r="O7215" s="897" t="s">
        <v>2553</v>
      </c>
      <c r="P7215" s="867" t="s">
        <v>2648</v>
      </c>
    </row>
    <row r="7216" spans="1:18" x14ac:dyDescent="0.25">
      <c r="A7216" s="1002">
        <f t="shared" si="219"/>
        <v>4444</v>
      </c>
      <c r="B7216" s="610" t="s">
        <v>2546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2565</v>
      </c>
      <c r="I7216" s="484" t="s">
        <v>2565</v>
      </c>
      <c r="J7216" s="485"/>
      <c r="K7216" s="479"/>
      <c r="L7216" s="483" t="s">
        <v>265</v>
      </c>
      <c r="M7216" s="483">
        <v>18021.300000000003</v>
      </c>
      <c r="N7216" s="486">
        <v>0.375</v>
      </c>
      <c r="O7216" s="897" t="s">
        <v>2566</v>
      </c>
      <c r="P7216" s="867" t="s">
        <v>2642</v>
      </c>
      <c r="Q7216" s="847" t="s">
        <v>2643</v>
      </c>
      <c r="R7216" s="847" t="s">
        <v>2644</v>
      </c>
    </row>
    <row r="7217" spans="1:20" ht="19.5" thickBot="1" x14ac:dyDescent="0.3">
      <c r="A7217" s="1004"/>
      <c r="B7217" s="805" t="s">
        <v>2565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2565</v>
      </c>
      <c r="I7217" s="808" t="s">
        <v>2565</v>
      </c>
      <c r="J7217" s="810"/>
      <c r="K7217" s="887"/>
      <c r="L7217" s="808" t="s">
        <v>265</v>
      </c>
      <c r="M7217" s="808">
        <v>3030</v>
      </c>
      <c r="N7217" s="778">
        <v>0.375</v>
      </c>
      <c r="O7217" s="897" t="s">
        <v>2637</v>
      </c>
      <c r="P7217" s="867" t="s">
        <v>2641</v>
      </c>
    </row>
    <row r="7218" spans="1:20" x14ac:dyDescent="0.25">
      <c r="A7218" s="994">
        <f>MAX(A7049:A7216)+1</f>
        <v>4445</v>
      </c>
      <c r="B7218" s="760" t="s">
        <v>2546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2565</v>
      </c>
      <c r="I7218" s="569" t="s">
        <v>2565</v>
      </c>
      <c r="J7218" s="570"/>
      <c r="K7218" s="563"/>
      <c r="L7218" s="567" t="s">
        <v>265</v>
      </c>
      <c r="M7218" s="567">
        <v>19042.120000000003</v>
      </c>
      <c r="N7218" s="571">
        <v>0.41666666666666669</v>
      </c>
      <c r="O7218" s="897" t="s">
        <v>2567</v>
      </c>
      <c r="P7218" s="867" t="s">
        <v>2645</v>
      </c>
      <c r="Q7218" s="847" t="s">
        <v>2647</v>
      </c>
      <c r="T7218" s="833"/>
    </row>
    <row r="7219" spans="1:20" ht="19.5" thickBot="1" x14ac:dyDescent="0.3">
      <c r="A7219" s="995"/>
      <c r="B7219" s="798" t="s">
        <v>2525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2565</v>
      </c>
      <c r="I7219" s="801" t="s">
        <v>2565</v>
      </c>
      <c r="J7219" s="803"/>
      <c r="K7219" s="848"/>
      <c r="L7219" s="801" t="s">
        <v>265</v>
      </c>
      <c r="M7219" s="801">
        <v>2551.5</v>
      </c>
      <c r="N7219" s="804">
        <v>0.41666666666666669</v>
      </c>
      <c r="O7219" s="897" t="s">
        <v>2584</v>
      </c>
      <c r="P7219" s="867" t="s">
        <v>2646</v>
      </c>
    </row>
    <row r="7220" spans="1:20" ht="19.5" thickBot="1" x14ac:dyDescent="0.3">
      <c r="A7220" s="513">
        <f>MAX(A7050:A7218)+1</f>
        <v>4446</v>
      </c>
      <c r="B7220" s="514" t="s">
        <v>2546</v>
      </c>
      <c r="C7220" s="515" t="s">
        <v>47</v>
      </c>
      <c r="D7220" s="516">
        <v>13.638</v>
      </c>
      <c r="E7220" s="517"/>
      <c r="F7220" s="518" t="s">
        <v>30</v>
      </c>
      <c r="G7220" s="519"/>
      <c r="H7220" s="518" t="s">
        <v>2565</v>
      </c>
      <c r="I7220" s="520"/>
      <c r="J7220" s="521"/>
      <c r="K7220" s="514"/>
      <c r="L7220" s="518" t="s">
        <v>28</v>
      </c>
      <c r="M7220" s="518">
        <v>13638.64</v>
      </c>
      <c r="N7220" s="522">
        <v>0.41666666666666669</v>
      </c>
      <c r="O7220" s="897" t="s">
        <v>2569</v>
      </c>
    </row>
    <row r="7221" spans="1:20" x14ac:dyDescent="0.25">
      <c r="A7221" s="994">
        <f t="shared" ref="A7221" si="220">MAX(A7051:A7220)+1</f>
        <v>4447</v>
      </c>
      <c r="B7221" s="760" t="s">
        <v>2546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2568</v>
      </c>
      <c r="I7221" s="569" t="s">
        <v>2587</v>
      </c>
      <c r="J7221" s="570"/>
      <c r="K7221" s="563"/>
      <c r="L7221" s="567" t="s">
        <v>265</v>
      </c>
      <c r="M7221" s="567">
        <v>21025.500000000004</v>
      </c>
      <c r="N7221" s="571">
        <v>0.375</v>
      </c>
      <c r="O7221" s="897" t="s">
        <v>2570</v>
      </c>
      <c r="P7221" s="867" t="s">
        <v>2659</v>
      </c>
    </row>
    <row r="7222" spans="1:20" ht="19.5" thickBot="1" x14ac:dyDescent="0.3">
      <c r="A7222" s="995"/>
      <c r="B7222" s="798" t="s">
        <v>2587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/>
      <c r="H7222" s="801" t="s">
        <v>2568</v>
      </c>
      <c r="I7222" s="801" t="s">
        <v>2587</v>
      </c>
      <c r="J7222" s="803"/>
      <c r="K7222" s="848"/>
      <c r="L7222" s="801" t="s">
        <v>265</v>
      </c>
      <c r="M7222" s="801">
        <v>510</v>
      </c>
      <c r="N7222" s="804">
        <v>0.375</v>
      </c>
      <c r="O7222" s="897" t="s">
        <v>2650</v>
      </c>
      <c r="P7222" s="867" t="s">
        <v>2660</v>
      </c>
    </row>
    <row r="7223" spans="1:20" x14ac:dyDescent="0.25">
      <c r="A7223" s="1002">
        <f>MAX(A7052:A7221)+1</f>
        <v>4448</v>
      </c>
      <c r="B7223" s="610" t="s">
        <v>2546</v>
      </c>
      <c r="C7223" s="480" t="s">
        <v>24</v>
      </c>
      <c r="D7223" s="481">
        <v>17.606999999999999</v>
      </c>
      <c r="E7223" s="482"/>
      <c r="F7223" s="483" t="s">
        <v>16</v>
      </c>
      <c r="G7223" s="549"/>
      <c r="H7223" s="483" t="s">
        <v>2568</v>
      </c>
      <c r="I7223" s="484"/>
      <c r="J7223" s="485"/>
      <c r="K7223" s="479"/>
      <c r="L7223" s="483" t="s">
        <v>28</v>
      </c>
      <c r="M7223" s="483">
        <v>17783.120000000003</v>
      </c>
      <c r="N7223" s="486">
        <v>0.41666666666666669</v>
      </c>
      <c r="O7223" s="897" t="s">
        <v>2571</v>
      </c>
      <c r="P7223" s="867">
        <v>6311080</v>
      </c>
      <c r="Q7223" s="847">
        <v>-677</v>
      </c>
      <c r="R7223" s="833" t="s">
        <v>2619</v>
      </c>
      <c r="S7223" s="2">
        <v>6311970</v>
      </c>
      <c r="T7223" s="2">
        <v>0</v>
      </c>
    </row>
    <row r="7224" spans="1:20" ht="19.5" thickBot="1" x14ac:dyDescent="0.3">
      <c r="A7224" s="1004"/>
      <c r="B7224" s="805" t="s">
        <v>2568</v>
      </c>
      <c r="C7224" s="806" t="s">
        <v>24</v>
      </c>
      <c r="D7224" s="807">
        <v>0.67</v>
      </c>
      <c r="E7224" s="807"/>
      <c r="F7224" s="808" t="s">
        <v>16</v>
      </c>
      <c r="G7224" s="809"/>
      <c r="H7224" s="808" t="s">
        <v>2568</v>
      </c>
      <c r="I7224" s="808"/>
      <c r="J7224" s="810"/>
      <c r="K7224" s="887"/>
      <c r="L7224" s="808" t="s">
        <v>28</v>
      </c>
      <c r="M7224" s="808">
        <v>675</v>
      </c>
      <c r="N7224" s="778">
        <v>0.41666666666666669</v>
      </c>
      <c r="O7224" s="897" t="s">
        <v>2638</v>
      </c>
      <c r="Q7224" s="847">
        <v>0</v>
      </c>
    </row>
    <row r="7225" spans="1:20" x14ac:dyDescent="0.25">
      <c r="A7225" s="994">
        <f>MAX(A7053:A7223)+1</f>
        <v>4449</v>
      </c>
      <c r="B7225" s="760" t="s">
        <v>2546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2568</v>
      </c>
      <c r="I7225" s="569" t="s">
        <v>2568</v>
      </c>
      <c r="J7225" s="570"/>
      <c r="K7225" s="563"/>
      <c r="L7225" s="567" t="s">
        <v>28</v>
      </c>
      <c r="M7225" s="567">
        <v>17540.11</v>
      </c>
      <c r="N7225" s="571">
        <v>0.45833333333333331</v>
      </c>
      <c r="O7225" s="897" t="s">
        <v>2572</v>
      </c>
      <c r="P7225" s="867" t="s">
        <v>2671</v>
      </c>
    </row>
    <row r="7226" spans="1:20" ht="19.5" thickBot="1" x14ac:dyDescent="0.3">
      <c r="A7226" s="995"/>
      <c r="B7226" s="798" t="s">
        <v>2568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2568</v>
      </c>
      <c r="I7226" s="801" t="s">
        <v>2568</v>
      </c>
      <c r="J7226" s="803"/>
      <c r="K7226" s="848"/>
      <c r="L7226" s="801" t="s">
        <v>28</v>
      </c>
      <c r="M7226" s="801">
        <v>795</v>
      </c>
      <c r="N7226" s="804">
        <v>0.45833333333333331</v>
      </c>
      <c r="O7226" s="897" t="s">
        <v>2639</v>
      </c>
      <c r="P7226" s="867" t="s">
        <v>2672</v>
      </c>
    </row>
    <row r="7227" spans="1:20" x14ac:dyDescent="0.25">
      <c r="A7227" s="1002">
        <f>MAX(A7054:A7225)+1</f>
        <v>4450</v>
      </c>
      <c r="B7227" s="610" t="s">
        <v>2546</v>
      </c>
      <c r="C7227" s="480" t="s">
        <v>47</v>
      </c>
      <c r="D7227" s="481">
        <v>17.614999999999998</v>
      </c>
      <c r="E7227" s="482"/>
      <c r="F7227" s="483" t="s">
        <v>16</v>
      </c>
      <c r="G7227" s="549"/>
      <c r="H7227" s="483" t="s">
        <v>2568</v>
      </c>
      <c r="I7227" s="484"/>
      <c r="J7227" s="485"/>
      <c r="K7227" s="479"/>
      <c r="L7227" s="483" t="s">
        <v>28</v>
      </c>
      <c r="M7227" s="483">
        <v>17846.140000000003</v>
      </c>
      <c r="N7227" s="486">
        <v>0.5</v>
      </c>
      <c r="O7227" s="897" t="s">
        <v>2573</v>
      </c>
      <c r="P7227" s="867">
        <v>6311078</v>
      </c>
      <c r="Q7227" s="847">
        <v>17050</v>
      </c>
      <c r="R7227" s="833" t="s">
        <v>2615</v>
      </c>
    </row>
    <row r="7228" spans="1:20" ht="19.5" thickBot="1" x14ac:dyDescent="0.3">
      <c r="A7228" s="1004"/>
      <c r="B7228" s="805" t="s">
        <v>2568</v>
      </c>
      <c r="C7228" s="806" t="s">
        <v>47</v>
      </c>
      <c r="D7228" s="807">
        <v>0.8</v>
      </c>
      <c r="E7228" s="807"/>
      <c r="F7228" s="808" t="s">
        <v>16</v>
      </c>
      <c r="G7228" s="809"/>
      <c r="H7228" s="808" t="s">
        <v>2568</v>
      </c>
      <c r="I7228" s="808"/>
      <c r="J7228" s="810"/>
      <c r="K7228" s="887"/>
      <c r="L7228" s="808" t="s">
        <v>28</v>
      </c>
      <c r="M7228" s="808">
        <v>810</v>
      </c>
      <c r="N7228" s="778">
        <v>0.5</v>
      </c>
      <c r="O7228" s="897" t="s">
        <v>2640</v>
      </c>
      <c r="Q7228" s="847">
        <v>809</v>
      </c>
      <c r="R7228" s="833" t="s">
        <v>2615</v>
      </c>
    </row>
    <row r="7229" spans="1:20" ht="19.5" thickBot="1" x14ac:dyDescent="0.3">
      <c r="A7229" s="503">
        <f>MAX(A7055:A7227)+1</f>
        <v>4451</v>
      </c>
      <c r="B7229" s="504" t="s">
        <v>2525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2568</v>
      </c>
      <c r="I7229" s="510" t="s">
        <v>2568</v>
      </c>
      <c r="J7229" s="511"/>
      <c r="K7229" s="504"/>
      <c r="L7229" s="508" t="s">
        <v>265</v>
      </c>
      <c r="M7229" s="508">
        <v>15326.64</v>
      </c>
      <c r="N7229" s="512">
        <v>0.375</v>
      </c>
      <c r="O7229" s="897" t="s">
        <v>2585</v>
      </c>
      <c r="P7229" s="867" t="s">
        <v>2664</v>
      </c>
    </row>
    <row r="7230" spans="1:20" x14ac:dyDescent="0.25">
      <c r="A7230" s="990">
        <f>MAX(A7056:A7229)+1</f>
        <v>4452</v>
      </c>
      <c r="B7230" s="479" t="s">
        <v>2525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2568</v>
      </c>
      <c r="I7230" s="484" t="s">
        <v>2587</v>
      </c>
      <c r="J7230" s="485"/>
      <c r="K7230" s="479"/>
      <c r="L7230" s="483" t="s">
        <v>266</v>
      </c>
      <c r="M7230" s="483">
        <v>12825.84</v>
      </c>
      <c r="N7230" s="486">
        <v>0.54166666666666663</v>
      </c>
      <c r="O7230" s="897" t="s">
        <v>2591</v>
      </c>
      <c r="P7230" s="867" t="s">
        <v>2655</v>
      </c>
    </row>
    <row r="7231" spans="1:20" ht="19.5" thickBot="1" x14ac:dyDescent="0.3">
      <c r="A7231" s="991"/>
      <c r="B7231" s="645" t="s">
        <v>2525</v>
      </c>
      <c r="C7231" s="646" t="s">
        <v>981</v>
      </c>
      <c r="D7231" s="647">
        <v>4.2160000000000002</v>
      </c>
      <c r="E7231" s="648"/>
      <c r="F7231" s="649" t="s">
        <v>16</v>
      </c>
      <c r="G7231" s="650"/>
      <c r="H7231" s="649" t="s">
        <v>2568</v>
      </c>
      <c r="I7231" s="651"/>
      <c r="J7231" s="652"/>
      <c r="K7231" s="645"/>
      <c r="L7231" s="649" t="s">
        <v>266</v>
      </c>
      <c r="M7231" s="649">
        <v>4217.8600000000006</v>
      </c>
      <c r="N7231" s="653">
        <v>0.54166666666666663</v>
      </c>
      <c r="O7231" s="897" t="s">
        <v>2592</v>
      </c>
    </row>
    <row r="7232" spans="1:20" x14ac:dyDescent="0.25">
      <c r="A7232" s="988">
        <f>MAX(A7058:A7231)+1</f>
        <v>4453</v>
      </c>
      <c r="B7232" s="531" t="s">
        <v>2525</v>
      </c>
      <c r="C7232" s="532" t="s">
        <v>41</v>
      </c>
      <c r="D7232" s="533">
        <v>3.7850000000000001</v>
      </c>
      <c r="E7232" s="534"/>
      <c r="F7232" s="535" t="s">
        <v>16</v>
      </c>
      <c r="G7232" s="536"/>
      <c r="H7232" s="535" t="s">
        <v>2568</v>
      </c>
      <c r="I7232" s="537"/>
      <c r="J7232" s="538"/>
      <c r="K7232" s="531"/>
      <c r="L7232" s="535" t="s">
        <v>266</v>
      </c>
      <c r="M7232" s="535">
        <v>3859.44</v>
      </c>
      <c r="N7232" s="539">
        <v>0.58333333333333337</v>
      </c>
      <c r="O7232" s="897" t="s">
        <v>2595</v>
      </c>
    </row>
    <row r="7233" spans="1:18" x14ac:dyDescent="0.25">
      <c r="A7233" s="992"/>
      <c r="B7233" s="563" t="s">
        <v>2525</v>
      </c>
      <c r="C7233" s="564" t="s">
        <v>480</v>
      </c>
      <c r="D7233" s="565">
        <v>9.3000000000000007</v>
      </c>
      <c r="E7233" s="566"/>
      <c r="F7233" s="567" t="s">
        <v>16</v>
      </c>
      <c r="G7233" s="568"/>
      <c r="H7233" s="567" t="s">
        <v>2568</v>
      </c>
      <c r="I7233" s="569"/>
      <c r="J7233" s="570"/>
      <c r="K7233" s="563"/>
      <c r="L7233" s="567" t="s">
        <v>266</v>
      </c>
      <c r="M7233" s="567">
        <v>9427.0800000000017</v>
      </c>
      <c r="N7233" s="571">
        <v>0.58333333333333337</v>
      </c>
      <c r="O7233" s="897" t="s">
        <v>2593</v>
      </c>
    </row>
    <row r="7234" spans="1:18" ht="19.5" thickBot="1" x14ac:dyDescent="0.3">
      <c r="A7234" s="989"/>
      <c r="B7234" s="636" t="s">
        <v>2525</v>
      </c>
      <c r="C7234" s="637" t="s">
        <v>32</v>
      </c>
      <c r="D7234" s="638">
        <v>1.657</v>
      </c>
      <c r="E7234" s="639"/>
      <c r="F7234" s="640" t="s">
        <v>16</v>
      </c>
      <c r="G7234" s="641" t="s">
        <v>1702</v>
      </c>
      <c r="H7234" s="640" t="s">
        <v>2568</v>
      </c>
      <c r="I7234" s="642"/>
      <c r="J7234" s="643"/>
      <c r="K7234" s="636"/>
      <c r="L7234" s="640" t="s">
        <v>266</v>
      </c>
      <c r="M7234" s="640">
        <v>1657</v>
      </c>
      <c r="N7234" s="644">
        <v>0.58333333333333337</v>
      </c>
      <c r="O7234" s="897" t="s">
        <v>2594</v>
      </c>
    </row>
    <row r="7235" spans="1:18" ht="56.25" x14ac:dyDescent="0.25">
      <c r="A7235" s="990">
        <f>MAX(A7061:A7234)+1</f>
        <v>4454</v>
      </c>
      <c r="B7235" s="479" t="s">
        <v>2525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7" t="s">
        <v>2613</v>
      </c>
      <c r="H7235" s="483" t="s">
        <v>2568</v>
      </c>
      <c r="I7235" s="484" t="s">
        <v>2587</v>
      </c>
      <c r="J7235" s="485"/>
      <c r="K7235" s="479"/>
      <c r="L7235" s="483" t="s">
        <v>266</v>
      </c>
      <c r="M7235" s="483">
        <v>15748.080000000004</v>
      </c>
      <c r="N7235" s="486">
        <v>0.625</v>
      </c>
      <c r="O7235" s="897" t="s">
        <v>2607</v>
      </c>
      <c r="P7235" s="867" t="s">
        <v>2663</v>
      </c>
    </row>
    <row r="7236" spans="1:18" ht="19.5" thickBot="1" x14ac:dyDescent="0.3">
      <c r="A7236" s="991"/>
      <c r="B7236" s="645" t="s">
        <v>2525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2568</v>
      </c>
      <c r="I7236" s="651" t="s">
        <v>2587</v>
      </c>
      <c r="J7236" s="652"/>
      <c r="K7236" s="645"/>
      <c r="L7236" s="649" t="s">
        <v>266</v>
      </c>
      <c r="M7236" s="649">
        <v>4500</v>
      </c>
      <c r="N7236" s="653">
        <v>0.625</v>
      </c>
      <c r="O7236" s="897" t="s">
        <v>2608</v>
      </c>
      <c r="P7236" s="867" t="s">
        <v>2662</v>
      </c>
    </row>
    <row r="7237" spans="1:18" x14ac:dyDescent="0.25">
      <c r="A7237" s="988">
        <f>MAX(A7063:A7236)+1</f>
        <v>4455</v>
      </c>
      <c r="B7237" s="750" t="s">
        <v>2525</v>
      </c>
      <c r="C7237" s="751" t="s">
        <v>41</v>
      </c>
      <c r="D7237" s="752">
        <v>2</v>
      </c>
      <c r="E7237" s="753"/>
      <c r="F7237" s="754" t="s">
        <v>16</v>
      </c>
      <c r="G7237" s="931" t="s">
        <v>2299</v>
      </c>
      <c r="H7237" s="754" t="s">
        <v>2568</v>
      </c>
      <c r="I7237" s="932"/>
      <c r="J7237" s="755"/>
      <c r="K7237" s="750"/>
      <c r="L7237" s="754" t="s">
        <v>266</v>
      </c>
      <c r="M7237" s="754">
        <v>2004.6</v>
      </c>
      <c r="N7237" s="756">
        <v>0.66666666666666663</v>
      </c>
      <c r="O7237" s="920" t="s">
        <v>2604</v>
      </c>
      <c r="P7237" s="921" t="s">
        <v>2413</v>
      </c>
    </row>
    <row r="7238" spans="1:18" x14ac:dyDescent="0.25">
      <c r="A7238" s="992"/>
      <c r="B7238" s="563" t="s">
        <v>2525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2568</v>
      </c>
      <c r="I7238" s="569" t="s">
        <v>2587</v>
      </c>
      <c r="J7238" s="570"/>
      <c r="K7238" s="563"/>
      <c r="L7238" s="567" t="s">
        <v>266</v>
      </c>
      <c r="M7238" s="567">
        <v>4005</v>
      </c>
      <c r="N7238" s="571">
        <v>0.66666666666666663</v>
      </c>
      <c r="O7238" s="897" t="s">
        <v>2602</v>
      </c>
      <c r="P7238" s="867" t="s">
        <v>2657</v>
      </c>
    </row>
    <row r="7239" spans="1:18" x14ac:dyDescent="0.25">
      <c r="A7239" s="992"/>
      <c r="B7239" s="563" t="s">
        <v>2525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2568</v>
      </c>
      <c r="I7239" s="569" t="s">
        <v>2587</v>
      </c>
      <c r="J7239" s="570"/>
      <c r="K7239" s="563"/>
      <c r="L7239" s="567" t="s">
        <v>266</v>
      </c>
      <c r="M7239" s="567">
        <v>1008</v>
      </c>
      <c r="N7239" s="571">
        <v>0.66666666666666663</v>
      </c>
      <c r="O7239" s="897" t="s">
        <v>2603</v>
      </c>
      <c r="P7239" s="867" t="s">
        <v>2658</v>
      </c>
    </row>
    <row r="7240" spans="1:18" x14ac:dyDescent="0.25">
      <c r="A7240" s="992"/>
      <c r="B7240" s="911" t="s">
        <v>2525</v>
      </c>
      <c r="C7240" s="912" t="s">
        <v>981</v>
      </c>
      <c r="D7240" s="913">
        <v>0.998</v>
      </c>
      <c r="E7240" s="914"/>
      <c r="F7240" s="915" t="s">
        <v>16</v>
      </c>
      <c r="G7240" s="916" t="s">
        <v>2299</v>
      </c>
      <c r="H7240" s="915" t="s">
        <v>2568</v>
      </c>
      <c r="I7240" s="917"/>
      <c r="J7240" s="918"/>
      <c r="K7240" s="911"/>
      <c r="L7240" s="915" t="s">
        <v>266</v>
      </c>
      <c r="M7240" s="915">
        <v>998.4</v>
      </c>
      <c r="N7240" s="919">
        <v>0.66666666666666663</v>
      </c>
      <c r="O7240" s="920" t="s">
        <v>2606</v>
      </c>
      <c r="P7240" s="921" t="s">
        <v>2413</v>
      </c>
    </row>
    <row r="7241" spans="1:18" ht="19.5" thickBot="1" x14ac:dyDescent="0.3">
      <c r="A7241" s="989"/>
      <c r="B7241" s="933" t="s">
        <v>2525</v>
      </c>
      <c r="C7241" s="934" t="s">
        <v>32</v>
      </c>
      <c r="D7241" s="935">
        <v>2.496</v>
      </c>
      <c r="E7241" s="936"/>
      <c r="F7241" s="937" t="s">
        <v>16</v>
      </c>
      <c r="G7241" s="938" t="s">
        <v>2586</v>
      </c>
      <c r="H7241" s="937" t="s">
        <v>2568</v>
      </c>
      <c r="I7241" s="939"/>
      <c r="J7241" s="940"/>
      <c r="K7241" s="933"/>
      <c r="L7241" s="937" t="s">
        <v>266</v>
      </c>
      <c r="M7241" s="937">
        <v>2496</v>
      </c>
      <c r="N7241" s="941">
        <v>0.66666666666666663</v>
      </c>
      <c r="O7241" s="920" t="s">
        <v>2605</v>
      </c>
      <c r="P7241" s="921" t="s">
        <v>2413</v>
      </c>
    </row>
    <row r="7242" spans="1:18" x14ac:dyDescent="0.25">
      <c r="A7242" s="1002">
        <f>MAX(A7068:A7241)+1</f>
        <v>4456</v>
      </c>
      <c r="B7242" s="610" t="s">
        <v>2525</v>
      </c>
      <c r="C7242" s="480" t="s">
        <v>26</v>
      </c>
      <c r="D7242" s="481">
        <v>17.407</v>
      </c>
      <c r="E7242" s="482"/>
      <c r="F7242" s="483" t="s">
        <v>16</v>
      </c>
      <c r="G7242" s="549"/>
      <c r="H7242" s="483" t="s">
        <v>2587</v>
      </c>
      <c r="I7242" s="484"/>
      <c r="J7242" s="485"/>
      <c r="K7242" s="479"/>
      <c r="L7242" s="483" t="s">
        <v>265</v>
      </c>
      <c r="M7242" s="483">
        <v>17582.64</v>
      </c>
      <c r="N7242" s="486">
        <v>4.1666666666666664E-2</v>
      </c>
      <c r="O7242" s="897" t="s">
        <v>2588</v>
      </c>
    </row>
    <row r="7243" spans="1:18" ht="19.5" thickBot="1" x14ac:dyDescent="0.3">
      <c r="A7243" s="1004"/>
      <c r="B7243" s="805" t="s">
        <v>2614</v>
      </c>
      <c r="C7243" s="806" t="s">
        <v>26</v>
      </c>
      <c r="D7243" s="807">
        <v>1.4</v>
      </c>
      <c r="E7243" s="807"/>
      <c r="F7243" s="808" t="s">
        <v>16</v>
      </c>
      <c r="G7243" s="809" t="s">
        <v>76</v>
      </c>
      <c r="H7243" s="808" t="s">
        <v>2587</v>
      </c>
      <c r="I7243" s="808"/>
      <c r="J7243" s="810"/>
      <c r="K7243" s="887"/>
      <c r="L7243" s="808" t="s">
        <v>265</v>
      </c>
      <c r="M7243" s="808">
        <v>1410</v>
      </c>
      <c r="N7243" s="778">
        <v>4.1666666666666664E-2</v>
      </c>
      <c r="O7243" s="897" t="s">
        <v>2669</v>
      </c>
    </row>
    <row r="7244" spans="1:18" x14ac:dyDescent="0.25">
      <c r="A7244" s="988">
        <f>MAX(A7069:A7242)+1</f>
        <v>4457</v>
      </c>
      <c r="B7244" s="531" t="s">
        <v>2525</v>
      </c>
      <c r="C7244" s="532" t="s">
        <v>26</v>
      </c>
      <c r="D7244" s="533">
        <v>15.430999999999999</v>
      </c>
      <c r="E7244" s="534"/>
      <c r="F7244" s="535" t="s">
        <v>16</v>
      </c>
      <c r="G7244" s="536"/>
      <c r="H7244" s="535" t="s">
        <v>2587</v>
      </c>
      <c r="I7244" s="537"/>
      <c r="J7244" s="538"/>
      <c r="K7244" s="531"/>
      <c r="L7244" s="535" t="s">
        <v>265</v>
      </c>
      <c r="M7244" s="535">
        <v>15567.38</v>
      </c>
      <c r="N7244" s="539">
        <v>8.3333333333333329E-2</v>
      </c>
      <c r="O7244" s="897" t="s">
        <v>2589</v>
      </c>
    </row>
    <row r="7245" spans="1:18" x14ac:dyDescent="0.25">
      <c r="A7245" s="992"/>
      <c r="B7245" s="563" t="s">
        <v>2525</v>
      </c>
      <c r="C7245" s="564" t="s">
        <v>952</v>
      </c>
      <c r="D7245" s="565">
        <v>2.246</v>
      </c>
      <c r="E7245" s="566"/>
      <c r="F7245" s="567" t="s">
        <v>16</v>
      </c>
      <c r="G7245" s="568"/>
      <c r="H7245" s="567" t="s">
        <v>2587</v>
      </c>
      <c r="I7245" s="569"/>
      <c r="J7245" s="570"/>
      <c r="K7245" s="563"/>
      <c r="L7245" s="567" t="s">
        <v>265</v>
      </c>
      <c r="M7245" s="567">
        <v>2315.7800000000007</v>
      </c>
      <c r="N7245" s="571">
        <v>8.3333333333333329E-2</v>
      </c>
      <c r="O7245" s="897" t="s">
        <v>2590</v>
      </c>
    </row>
    <row r="7246" spans="1:18" ht="19.5" thickBot="1" x14ac:dyDescent="0.3">
      <c r="A7246" s="989"/>
      <c r="B7246" s="832" t="s">
        <v>2614</v>
      </c>
      <c r="C7246" s="827" t="s">
        <v>26</v>
      </c>
      <c r="D7246" s="828">
        <v>2.1</v>
      </c>
      <c r="E7246" s="828"/>
      <c r="F7246" s="829" t="s">
        <v>16</v>
      </c>
      <c r="G7246" s="830" t="s">
        <v>76</v>
      </c>
      <c r="H7246" s="829" t="s">
        <v>2587</v>
      </c>
      <c r="I7246" s="829"/>
      <c r="J7246" s="831"/>
      <c r="K7246" s="832"/>
      <c r="L7246" s="829" t="s">
        <v>265</v>
      </c>
      <c r="M7246" s="829">
        <v>2130</v>
      </c>
      <c r="N7246" s="644">
        <v>8.3333333333333329E-2</v>
      </c>
      <c r="O7246" s="897" t="s">
        <v>2669</v>
      </c>
    </row>
    <row r="7247" spans="1:18" ht="56.25" x14ac:dyDescent="0.25">
      <c r="A7247" s="990">
        <f>MAX(A7071:A7246)+1</f>
        <v>4458</v>
      </c>
      <c r="B7247" s="479" t="s">
        <v>2525</v>
      </c>
      <c r="C7247" s="480" t="s">
        <v>587</v>
      </c>
      <c r="D7247" s="481">
        <v>0.96399999999999997</v>
      </c>
      <c r="E7247" s="482"/>
      <c r="F7247" s="483" t="s">
        <v>16</v>
      </c>
      <c r="G7247" s="549" t="s">
        <v>794</v>
      </c>
      <c r="H7247" s="483" t="s">
        <v>2587</v>
      </c>
      <c r="I7247" s="484"/>
      <c r="J7247" s="485"/>
      <c r="K7247" s="479"/>
      <c r="L7247" s="483" t="s">
        <v>28</v>
      </c>
      <c r="M7247" s="483">
        <v>964.8</v>
      </c>
      <c r="N7247" s="486">
        <v>0.41666666666666669</v>
      </c>
      <c r="O7247" s="897" t="s">
        <v>2597</v>
      </c>
      <c r="P7247" s="867">
        <v>6311164</v>
      </c>
      <c r="Q7247" s="1083">
        <v>-101</v>
      </c>
      <c r="R7247" s="1084"/>
    </row>
    <row r="7248" spans="1:18" x14ac:dyDescent="0.25">
      <c r="A7248" s="993"/>
      <c r="B7248" s="523" t="s">
        <v>2525</v>
      </c>
      <c r="C7248" s="524" t="s">
        <v>587</v>
      </c>
      <c r="D7248" s="525">
        <v>7.2750000000000004</v>
      </c>
      <c r="E7248" s="526"/>
      <c r="F7248" s="527" t="s">
        <v>16</v>
      </c>
      <c r="G7248" s="561" t="s">
        <v>47</v>
      </c>
      <c r="H7248" s="527" t="s">
        <v>2587</v>
      </c>
      <c r="I7248" s="528"/>
      <c r="J7248" s="529"/>
      <c r="K7248" s="523"/>
      <c r="L7248" s="527" t="s">
        <v>28</v>
      </c>
      <c r="M7248" s="527">
        <v>7275.92</v>
      </c>
      <c r="N7248" s="530">
        <v>0.41666666666666669</v>
      </c>
      <c r="O7248" s="897" t="s">
        <v>2598</v>
      </c>
      <c r="P7248" s="867">
        <v>6311156</v>
      </c>
      <c r="Q7248" s="1083">
        <v>-578</v>
      </c>
      <c r="R7248" s="1084"/>
    </row>
    <row r="7249" spans="1:18" x14ac:dyDescent="0.25">
      <c r="A7249" s="993"/>
      <c r="B7249" s="523" t="s">
        <v>2525</v>
      </c>
      <c r="C7249" s="524" t="s">
        <v>47</v>
      </c>
      <c r="D7249" s="525">
        <v>9.3019999999999996</v>
      </c>
      <c r="E7249" s="526"/>
      <c r="F7249" s="527" t="s">
        <v>16</v>
      </c>
      <c r="G7249" s="561"/>
      <c r="H7249" s="527" t="s">
        <v>2587</v>
      </c>
      <c r="I7249" s="528"/>
      <c r="J7249" s="529"/>
      <c r="K7249" s="523"/>
      <c r="L7249" s="527" t="s">
        <v>28</v>
      </c>
      <c r="M7249" s="527">
        <v>9418.86</v>
      </c>
      <c r="N7249" s="530">
        <v>0.41666666666666669</v>
      </c>
      <c r="O7249" s="897" t="s">
        <v>2596</v>
      </c>
      <c r="P7249" s="867">
        <v>6311183</v>
      </c>
      <c r="Q7249" s="1083">
        <v>-138</v>
      </c>
      <c r="R7249" s="1084"/>
    </row>
    <row r="7250" spans="1:18" ht="19.5" thickBot="1" x14ac:dyDescent="0.3">
      <c r="A7250" s="991"/>
      <c r="B7250" s="859" t="s">
        <v>2587</v>
      </c>
      <c r="C7250" s="854" t="s">
        <v>47</v>
      </c>
      <c r="D7250" s="855">
        <v>0.8</v>
      </c>
      <c r="E7250" s="855"/>
      <c r="F7250" s="856" t="s">
        <v>16</v>
      </c>
      <c r="G7250" s="857" t="s">
        <v>76</v>
      </c>
      <c r="H7250" s="856" t="s">
        <v>2587</v>
      </c>
      <c r="I7250" s="856"/>
      <c r="J7250" s="858"/>
      <c r="K7250" s="859"/>
      <c r="L7250" s="856" t="s">
        <v>28</v>
      </c>
      <c r="M7250" s="856">
        <v>810</v>
      </c>
      <c r="N7250" s="653">
        <v>0.41666666666666669</v>
      </c>
      <c r="O7250" s="897" t="s">
        <v>2652</v>
      </c>
      <c r="Q7250" s="1083">
        <v>0</v>
      </c>
      <c r="R7250" s="1084"/>
    </row>
    <row r="7251" spans="1:18" x14ac:dyDescent="0.25">
      <c r="A7251" s="988">
        <f>MAX(A7074:A7250)+1</f>
        <v>4459</v>
      </c>
      <c r="B7251" s="531" t="s">
        <v>2525</v>
      </c>
      <c r="C7251" s="532" t="s">
        <v>913</v>
      </c>
      <c r="D7251" s="533">
        <v>1.55</v>
      </c>
      <c r="E7251" s="534">
        <v>1.4430000000000001</v>
      </c>
      <c r="F7251" s="535" t="s">
        <v>16</v>
      </c>
      <c r="G7251" s="536"/>
      <c r="H7251" s="535" t="s">
        <v>2587</v>
      </c>
      <c r="I7251" s="537" t="s">
        <v>2587</v>
      </c>
      <c r="J7251" s="538"/>
      <c r="K7251" s="531"/>
      <c r="L7251" s="535" t="s">
        <v>266</v>
      </c>
      <c r="M7251" s="535">
        <v>1556.3</v>
      </c>
      <c r="N7251" s="539">
        <v>0.45833333333333331</v>
      </c>
      <c r="O7251" s="897" t="s">
        <v>2600</v>
      </c>
      <c r="P7251" s="867" t="s">
        <v>2656</v>
      </c>
      <c r="Q7251" s="1083"/>
      <c r="R7251" s="1084"/>
    </row>
    <row r="7252" spans="1:18" x14ac:dyDescent="0.25">
      <c r="A7252" s="992"/>
      <c r="B7252" s="563" t="s">
        <v>2525</v>
      </c>
      <c r="C7252" s="564" t="s">
        <v>23</v>
      </c>
      <c r="D7252" s="565">
        <v>16.050999999999998</v>
      </c>
      <c r="E7252" s="566"/>
      <c r="F7252" s="567" t="s">
        <v>16</v>
      </c>
      <c r="G7252" s="568"/>
      <c r="H7252" s="567" t="s">
        <v>2587</v>
      </c>
      <c r="I7252" s="569"/>
      <c r="J7252" s="570"/>
      <c r="K7252" s="563"/>
      <c r="L7252" s="567" t="s">
        <v>28</v>
      </c>
      <c r="M7252" s="567">
        <v>16165.960000000001</v>
      </c>
      <c r="N7252" s="571">
        <v>0.45833333333333331</v>
      </c>
      <c r="O7252" s="897" t="s">
        <v>2599</v>
      </c>
      <c r="P7252" s="867">
        <v>6311153</v>
      </c>
      <c r="Q7252" s="1083">
        <v>-491</v>
      </c>
      <c r="R7252" s="1084">
        <v>1200</v>
      </c>
    </row>
    <row r="7253" spans="1:18" x14ac:dyDescent="0.25">
      <c r="A7253" s="992"/>
      <c r="B7253" s="905" t="s">
        <v>2614</v>
      </c>
      <c r="C7253" s="906" t="s">
        <v>23</v>
      </c>
      <c r="D7253" s="907">
        <v>1.2</v>
      </c>
      <c r="E7253" s="907"/>
      <c r="F7253" s="908" t="s">
        <v>16</v>
      </c>
      <c r="G7253" s="909" t="s">
        <v>1279</v>
      </c>
      <c r="H7253" s="908" t="s">
        <v>2587</v>
      </c>
      <c r="I7253" s="908"/>
      <c r="J7253" s="910"/>
      <c r="K7253" s="905"/>
      <c r="L7253" s="908" t="s">
        <v>28</v>
      </c>
      <c r="M7253" s="908">
        <v>1200</v>
      </c>
      <c r="N7253" s="571">
        <v>0.45833333333333331</v>
      </c>
      <c r="O7253" s="897" t="s">
        <v>2669</v>
      </c>
      <c r="Q7253" s="1083"/>
      <c r="R7253" s="1084"/>
    </row>
    <row r="7254" spans="1:18" ht="19.5" thickBot="1" x14ac:dyDescent="0.3">
      <c r="A7254" s="989"/>
      <c r="B7254" s="832" t="s">
        <v>2587</v>
      </c>
      <c r="C7254" s="827" t="s">
        <v>23</v>
      </c>
      <c r="D7254" s="828">
        <v>0.6</v>
      </c>
      <c r="E7254" s="828"/>
      <c r="F7254" s="829" t="s">
        <v>16</v>
      </c>
      <c r="G7254" s="830" t="s">
        <v>76</v>
      </c>
      <c r="H7254" s="829" t="s">
        <v>2587</v>
      </c>
      <c r="I7254" s="829"/>
      <c r="J7254" s="831"/>
      <c r="K7254" s="832"/>
      <c r="L7254" s="829" t="s">
        <v>28</v>
      </c>
      <c r="M7254" s="829">
        <v>600</v>
      </c>
      <c r="N7254" s="644">
        <v>0.45833333333333331</v>
      </c>
      <c r="O7254" s="897" t="s">
        <v>2653</v>
      </c>
      <c r="Q7254" s="1083">
        <v>0</v>
      </c>
      <c r="R7254" s="1084"/>
    </row>
    <row r="7255" spans="1:18" x14ac:dyDescent="0.25">
      <c r="A7255" s="1002">
        <f>MAX(A7076:A7254)+1</f>
        <v>4460</v>
      </c>
      <c r="B7255" s="610" t="s">
        <v>2525</v>
      </c>
      <c r="C7255" s="480" t="s">
        <v>15</v>
      </c>
      <c r="D7255" s="481">
        <v>17.529</v>
      </c>
      <c r="E7255" s="482"/>
      <c r="F7255" s="483" t="s">
        <v>16</v>
      </c>
      <c r="G7255" s="549"/>
      <c r="H7255" s="483" t="s">
        <v>2587</v>
      </c>
      <c r="I7255" s="484"/>
      <c r="J7255" s="485"/>
      <c r="K7255" s="479"/>
      <c r="L7255" s="483" t="s">
        <v>28</v>
      </c>
      <c r="M7255" s="483">
        <v>17727.21</v>
      </c>
      <c r="N7255" s="486">
        <v>0.5</v>
      </c>
      <c r="O7255" s="897" t="s">
        <v>2601</v>
      </c>
      <c r="P7255" s="867">
        <v>6311144</v>
      </c>
      <c r="Q7255" s="1083">
        <v>-515</v>
      </c>
      <c r="R7255" s="1084"/>
    </row>
    <row r="7256" spans="1:18" ht="19.5" thickBot="1" x14ac:dyDescent="0.3">
      <c r="A7256" s="1004"/>
      <c r="B7256" s="805" t="s">
        <v>2587</v>
      </c>
      <c r="C7256" s="806" t="s">
        <v>15</v>
      </c>
      <c r="D7256" s="807">
        <v>0.5</v>
      </c>
      <c r="E7256" s="807"/>
      <c r="F7256" s="808" t="s">
        <v>16</v>
      </c>
      <c r="G7256" s="857" t="s">
        <v>76</v>
      </c>
      <c r="H7256" s="808" t="s">
        <v>2587</v>
      </c>
      <c r="I7256" s="808"/>
      <c r="J7256" s="810"/>
      <c r="K7256" s="887"/>
      <c r="L7256" s="808" t="s">
        <v>28</v>
      </c>
      <c r="M7256" s="808">
        <v>510</v>
      </c>
      <c r="N7256" s="778">
        <v>0.5</v>
      </c>
      <c r="O7256" s="897" t="s">
        <v>2651</v>
      </c>
      <c r="Q7256" s="1083">
        <v>0</v>
      </c>
      <c r="R7256" s="1084"/>
    </row>
    <row r="7257" spans="1:18" ht="19.5" thickBot="1" x14ac:dyDescent="0.3">
      <c r="A7257" s="503">
        <f>MAX(A7077:A7255)+1</f>
        <v>4461</v>
      </c>
      <c r="B7257" s="504" t="s">
        <v>2565</v>
      </c>
      <c r="C7257" s="505" t="s">
        <v>26</v>
      </c>
      <c r="D7257" s="506">
        <v>15.423</v>
      </c>
      <c r="E7257" s="507">
        <v>15.423</v>
      </c>
      <c r="F7257" s="508" t="s">
        <v>30</v>
      </c>
      <c r="G7257" s="509"/>
      <c r="H7257" s="508" t="s">
        <v>2587</v>
      </c>
      <c r="I7257" s="510" t="s">
        <v>2587</v>
      </c>
      <c r="J7257" s="511"/>
      <c r="K7257" s="504"/>
      <c r="L7257" s="508" t="s">
        <v>265</v>
      </c>
      <c r="M7257" s="508">
        <v>15423.2</v>
      </c>
      <c r="N7257" s="512">
        <v>4.1666666666666664E-2</v>
      </c>
      <c r="O7257" s="897" t="s">
        <v>2617</v>
      </c>
      <c r="P7257" s="867" t="s">
        <v>2654</v>
      </c>
    </row>
    <row r="7258" spans="1:18" x14ac:dyDescent="0.25">
      <c r="A7258" s="1002">
        <f>MAX(A7078:A7257)+1</f>
        <v>4462</v>
      </c>
      <c r="B7258" s="610" t="s">
        <v>2565</v>
      </c>
      <c r="C7258" s="480" t="s">
        <v>26</v>
      </c>
      <c r="D7258" s="481">
        <v>17.606000000000002</v>
      </c>
      <c r="E7258" s="482"/>
      <c r="F7258" s="483" t="s">
        <v>16</v>
      </c>
      <c r="G7258" s="549"/>
      <c r="H7258" s="483" t="s">
        <v>2614</v>
      </c>
      <c r="I7258" s="484"/>
      <c r="J7258" s="485"/>
      <c r="K7258" s="479"/>
      <c r="L7258" s="483" t="s">
        <v>265</v>
      </c>
      <c r="M7258" s="483">
        <v>17751.039999999997</v>
      </c>
      <c r="N7258" s="486">
        <v>4.1666666666666664E-2</v>
      </c>
      <c r="O7258" s="897" t="s">
        <v>2622</v>
      </c>
    </row>
    <row r="7259" spans="1:18" ht="19.5" thickBot="1" x14ac:dyDescent="0.3">
      <c r="A7259" s="1004"/>
      <c r="B7259" s="805" t="s">
        <v>2614</v>
      </c>
      <c r="C7259" s="806" t="s">
        <v>26</v>
      </c>
      <c r="D7259" s="807">
        <v>2.2000000000000002</v>
      </c>
      <c r="E7259" s="807"/>
      <c r="F7259" s="808" t="s">
        <v>16</v>
      </c>
      <c r="G7259" s="809" t="s">
        <v>76</v>
      </c>
      <c r="H7259" s="808" t="s">
        <v>2614</v>
      </c>
      <c r="I7259" s="808"/>
      <c r="J7259" s="810"/>
      <c r="K7259" s="887"/>
      <c r="L7259" s="808" t="s">
        <v>265</v>
      </c>
      <c r="M7259" s="808">
        <v>2220</v>
      </c>
      <c r="N7259" s="778">
        <v>4.1666666666666664E-2</v>
      </c>
      <c r="O7259" s="897" t="s">
        <v>2669</v>
      </c>
    </row>
    <row r="7260" spans="1:18" x14ac:dyDescent="0.25">
      <c r="A7260" s="988">
        <f>MAX(A7079:A7258)+1</f>
        <v>4463</v>
      </c>
      <c r="B7260" s="531" t="s">
        <v>2565</v>
      </c>
      <c r="C7260" s="532" t="s">
        <v>26</v>
      </c>
      <c r="D7260" s="533">
        <v>10.585000000000001</v>
      </c>
      <c r="E7260" s="534"/>
      <c r="F7260" s="535" t="s">
        <v>16</v>
      </c>
      <c r="G7260" s="536"/>
      <c r="H7260" s="535" t="s">
        <v>2614</v>
      </c>
      <c r="I7260" s="537"/>
      <c r="J7260" s="538"/>
      <c r="K7260" s="531"/>
      <c r="L7260" s="535" t="s">
        <v>265</v>
      </c>
      <c r="M7260" s="535">
        <v>10686.22</v>
      </c>
      <c r="N7260" s="539">
        <v>8.3333333333333329E-2</v>
      </c>
      <c r="O7260" s="897" t="s">
        <v>2624</v>
      </c>
    </row>
    <row r="7261" spans="1:18" x14ac:dyDescent="0.25">
      <c r="A7261" s="992"/>
      <c r="B7261" s="563" t="s">
        <v>2565</v>
      </c>
      <c r="C7261" s="564" t="s">
        <v>1358</v>
      </c>
      <c r="D7261" s="565">
        <v>2.1509999999999998</v>
      </c>
      <c r="E7261" s="566"/>
      <c r="F7261" s="567" t="s">
        <v>16</v>
      </c>
      <c r="G7261" s="568" t="s">
        <v>844</v>
      </c>
      <c r="H7261" s="567" t="s">
        <v>2614</v>
      </c>
      <c r="I7261" s="569"/>
      <c r="J7261" s="570"/>
      <c r="K7261" s="563"/>
      <c r="L7261" s="567" t="s">
        <v>265</v>
      </c>
      <c r="M7261" s="567">
        <v>2259.3000000000002</v>
      </c>
      <c r="N7261" s="571">
        <v>8.3333333333333329E-2</v>
      </c>
      <c r="O7261" s="897" t="s">
        <v>2625</v>
      </c>
    </row>
    <row r="7262" spans="1:18" x14ac:dyDescent="0.25">
      <c r="A7262" s="992"/>
      <c r="B7262" s="563" t="s">
        <v>2565</v>
      </c>
      <c r="C7262" s="564" t="s">
        <v>1358</v>
      </c>
      <c r="D7262" s="565">
        <v>4.8019999999999996</v>
      </c>
      <c r="E7262" s="566"/>
      <c r="F7262" s="567" t="s">
        <v>16</v>
      </c>
      <c r="G7262" s="568" t="s">
        <v>845</v>
      </c>
      <c r="H7262" s="567" t="s">
        <v>2614</v>
      </c>
      <c r="I7262" s="569"/>
      <c r="J7262" s="570"/>
      <c r="K7262" s="563"/>
      <c r="L7262" s="567" t="s">
        <v>265</v>
      </c>
      <c r="M7262" s="567">
        <v>4914</v>
      </c>
      <c r="N7262" s="571">
        <v>8.3333333333333329E-2</v>
      </c>
      <c r="O7262" s="897" t="s">
        <v>2626</v>
      </c>
    </row>
    <row r="7263" spans="1:18" ht="19.5" thickBot="1" x14ac:dyDescent="0.3">
      <c r="A7263" s="989"/>
      <c r="B7263" s="832" t="s">
        <v>2614</v>
      </c>
      <c r="C7263" s="827" t="s">
        <v>26</v>
      </c>
      <c r="D7263" s="828">
        <v>3.9</v>
      </c>
      <c r="E7263" s="828"/>
      <c r="F7263" s="829" t="s">
        <v>16</v>
      </c>
      <c r="G7263" s="830" t="s">
        <v>76</v>
      </c>
      <c r="H7263" s="829" t="s">
        <v>2614</v>
      </c>
      <c r="I7263" s="829"/>
      <c r="J7263" s="831"/>
      <c r="K7263" s="832"/>
      <c r="L7263" s="829" t="s">
        <v>265</v>
      </c>
      <c r="M7263" s="829">
        <v>3930</v>
      </c>
      <c r="N7263" s="644">
        <v>8.3333333333333329E-2</v>
      </c>
      <c r="O7263" s="897" t="s">
        <v>2669</v>
      </c>
    </row>
    <row r="7264" spans="1:18" x14ac:dyDescent="0.25">
      <c r="A7264" s="990">
        <f>MAX(A7082:A7263)+1</f>
        <v>4464</v>
      </c>
      <c r="B7264" s="479" t="s">
        <v>2565</v>
      </c>
      <c r="C7264" s="480" t="s">
        <v>15</v>
      </c>
      <c r="D7264" s="481">
        <v>9.3030000000000008</v>
      </c>
      <c r="E7264" s="482"/>
      <c r="F7264" s="483" t="s">
        <v>16</v>
      </c>
      <c r="G7264" s="549"/>
      <c r="H7264" s="483" t="s">
        <v>2614</v>
      </c>
      <c r="I7264" s="484"/>
      <c r="J7264" s="485"/>
      <c r="K7264" s="479"/>
      <c r="L7264" s="483" t="s">
        <v>28</v>
      </c>
      <c r="M7264" s="483">
        <v>9525.1799999999985</v>
      </c>
      <c r="N7264" s="486">
        <v>0.41666666666666669</v>
      </c>
      <c r="O7264" s="897" t="s">
        <v>2632</v>
      </c>
      <c r="Q7264" s="847">
        <v>-1213</v>
      </c>
      <c r="R7264" s="1084">
        <v>1500</v>
      </c>
    </row>
    <row r="7265" spans="1:18" x14ac:dyDescent="0.25">
      <c r="A7265" s="993"/>
      <c r="B7265" s="523" t="s">
        <v>2565</v>
      </c>
      <c r="C7265" s="524" t="s">
        <v>24</v>
      </c>
      <c r="D7265" s="525">
        <v>8.202</v>
      </c>
      <c r="E7265" s="526"/>
      <c r="F7265" s="527" t="s">
        <v>16</v>
      </c>
      <c r="G7265" s="561"/>
      <c r="H7265" s="527" t="s">
        <v>2614</v>
      </c>
      <c r="I7265" s="528"/>
      <c r="J7265" s="529"/>
      <c r="K7265" s="523"/>
      <c r="L7265" s="527" t="s">
        <v>28</v>
      </c>
      <c r="M7265" s="527">
        <v>8393.86</v>
      </c>
      <c r="N7265" s="530">
        <v>0.41666666666666669</v>
      </c>
      <c r="O7265" s="897" t="s">
        <v>2631</v>
      </c>
      <c r="Q7265" s="847">
        <v>-456</v>
      </c>
    </row>
    <row r="7266" spans="1:18" ht="19.5" thickBot="1" x14ac:dyDescent="0.3">
      <c r="A7266" s="991"/>
      <c r="B7266" s="859" t="s">
        <v>2614</v>
      </c>
      <c r="C7266" s="854" t="s">
        <v>15</v>
      </c>
      <c r="D7266" s="855">
        <v>1.5</v>
      </c>
      <c r="E7266" s="855"/>
      <c r="F7266" s="856" t="s">
        <v>16</v>
      </c>
      <c r="G7266" s="857" t="s">
        <v>76</v>
      </c>
      <c r="H7266" s="856" t="s">
        <v>2614</v>
      </c>
      <c r="I7266" s="856"/>
      <c r="J7266" s="858"/>
      <c r="K7266" s="859"/>
      <c r="L7266" s="856" t="s">
        <v>28</v>
      </c>
      <c r="M7266" s="856">
        <v>1500</v>
      </c>
      <c r="N7266" s="653">
        <v>0.41666666666666669</v>
      </c>
      <c r="O7266" s="897" t="s">
        <v>2669</v>
      </c>
    </row>
    <row r="7267" spans="1:18" x14ac:dyDescent="0.25">
      <c r="A7267" s="994">
        <f>MAX(A7084:A7266)+1</f>
        <v>4465</v>
      </c>
      <c r="B7267" s="760" t="s">
        <v>2565</v>
      </c>
      <c r="C7267" s="564" t="s">
        <v>23</v>
      </c>
      <c r="D7267" s="565">
        <v>17.399999999999999</v>
      </c>
      <c r="E7267" s="566"/>
      <c r="F7267" s="567" t="s">
        <v>16</v>
      </c>
      <c r="G7267" s="568"/>
      <c r="H7267" s="567" t="s">
        <v>2614</v>
      </c>
      <c r="I7267" s="569"/>
      <c r="J7267" s="570"/>
      <c r="K7267" s="563"/>
      <c r="L7267" s="567" t="s">
        <v>28</v>
      </c>
      <c r="M7267" s="567">
        <v>17593.480000000003</v>
      </c>
      <c r="N7267" s="571">
        <v>0.45833333333333331</v>
      </c>
      <c r="O7267" s="897" t="s">
        <v>2633</v>
      </c>
      <c r="Q7267" s="847">
        <v>-600</v>
      </c>
      <c r="R7267" s="833">
        <v>600</v>
      </c>
    </row>
    <row r="7268" spans="1:18" ht="19.5" thickBot="1" x14ac:dyDescent="0.3">
      <c r="A7268" s="995"/>
      <c r="B7268" s="798" t="s">
        <v>2614</v>
      </c>
      <c r="C7268" s="799" t="s">
        <v>23</v>
      </c>
      <c r="D7268" s="800">
        <v>0.6</v>
      </c>
      <c r="E7268" s="800"/>
      <c r="F7268" s="801" t="s">
        <v>16</v>
      </c>
      <c r="G7268" s="802" t="s">
        <v>76</v>
      </c>
      <c r="H7268" s="801" t="s">
        <v>2614</v>
      </c>
      <c r="I7268" s="801"/>
      <c r="J7268" s="803"/>
      <c r="K7268" s="848"/>
      <c r="L7268" s="801" t="s">
        <v>28</v>
      </c>
      <c r="M7268" s="801">
        <v>600</v>
      </c>
      <c r="N7268" s="804">
        <v>0.45833333333333331</v>
      </c>
      <c r="O7268" s="897" t="s">
        <v>2669</v>
      </c>
    </row>
    <row r="7269" spans="1:18" x14ac:dyDescent="0.25">
      <c r="A7269" s="1002">
        <f>MAX(A7085:A7267)+1</f>
        <v>4466</v>
      </c>
      <c r="B7269" s="610" t="s">
        <v>2565</v>
      </c>
      <c r="C7269" s="480" t="s">
        <v>47</v>
      </c>
      <c r="D7269" s="481">
        <v>17.597999999999999</v>
      </c>
      <c r="E7269" s="482"/>
      <c r="F7269" s="483" t="s">
        <v>16</v>
      </c>
      <c r="G7269" s="549"/>
      <c r="H7269" s="483" t="s">
        <v>2614</v>
      </c>
      <c r="I7269" s="484"/>
      <c r="J7269" s="485"/>
      <c r="K7269" s="479"/>
      <c r="L7269" s="483" t="s">
        <v>28</v>
      </c>
      <c r="M7269" s="483">
        <v>17815.55</v>
      </c>
      <c r="N7269" s="486">
        <v>0.5</v>
      </c>
      <c r="O7269" s="897" t="s">
        <v>2634</v>
      </c>
      <c r="Q7269" s="847">
        <v>-1143</v>
      </c>
      <c r="R7269" s="833">
        <v>1100</v>
      </c>
    </row>
    <row r="7270" spans="1:18" ht="19.5" thickBot="1" x14ac:dyDescent="0.3">
      <c r="A7270" s="1004"/>
      <c r="B7270" s="805" t="s">
        <v>2614</v>
      </c>
      <c r="C7270" s="806" t="s">
        <v>47</v>
      </c>
      <c r="D7270" s="807">
        <v>1.1100000000000001</v>
      </c>
      <c r="E7270" s="807"/>
      <c r="F7270" s="808" t="s">
        <v>16</v>
      </c>
      <c r="G7270" s="857"/>
      <c r="H7270" s="808" t="s">
        <v>2614</v>
      </c>
      <c r="I7270" s="808"/>
      <c r="J7270" s="810"/>
      <c r="K7270" s="887"/>
      <c r="L7270" s="808" t="s">
        <v>28</v>
      </c>
      <c r="M7270" s="808">
        <v>1110</v>
      </c>
      <c r="N7270" s="778">
        <v>0.5</v>
      </c>
      <c r="O7270" s="897" t="s">
        <v>2669</v>
      </c>
    </row>
    <row r="7271" spans="1:18" x14ac:dyDescent="0.25">
      <c r="A7271" s="988">
        <f>MAX(A7086:A7269)+1</f>
        <v>4467</v>
      </c>
      <c r="B7271" s="531" t="s">
        <v>2565</v>
      </c>
      <c r="C7271" s="532" t="s">
        <v>23</v>
      </c>
      <c r="D7271" s="533">
        <v>6.44</v>
      </c>
      <c r="E7271" s="534"/>
      <c r="F7271" s="535" t="s">
        <v>30</v>
      </c>
      <c r="G7271" s="536"/>
      <c r="H7271" s="535" t="s">
        <v>2614</v>
      </c>
      <c r="I7271" s="537"/>
      <c r="J7271" s="538"/>
      <c r="K7271" s="531"/>
      <c r="L7271" s="535" t="s">
        <v>28</v>
      </c>
      <c r="M7271" s="535">
        <v>6440.84</v>
      </c>
      <c r="N7271" s="539">
        <v>0.41666666666666669</v>
      </c>
      <c r="O7271" s="897" t="s">
        <v>2627</v>
      </c>
    </row>
    <row r="7272" spans="1:18" ht="19.5" thickBot="1" x14ac:dyDescent="0.3">
      <c r="A7272" s="989"/>
      <c r="B7272" s="636" t="s">
        <v>2565</v>
      </c>
      <c r="C7272" s="637" t="s">
        <v>587</v>
      </c>
      <c r="D7272" s="638">
        <v>6.43</v>
      </c>
      <c r="E7272" s="639"/>
      <c r="F7272" s="640" t="s">
        <v>30</v>
      </c>
      <c r="G7272" s="641" t="s">
        <v>23</v>
      </c>
      <c r="H7272" s="640" t="s">
        <v>2614</v>
      </c>
      <c r="I7272" s="642"/>
      <c r="J7272" s="643"/>
      <c r="K7272" s="636"/>
      <c r="L7272" s="640" t="s">
        <v>28</v>
      </c>
      <c r="M7272" s="640">
        <v>6430.28</v>
      </c>
      <c r="N7272" s="644">
        <v>0.41666666666666669</v>
      </c>
      <c r="O7272" s="897" t="s">
        <v>2630</v>
      </c>
    </row>
    <row r="7273" spans="1:18" ht="19.5" thickBot="1" x14ac:dyDescent="0.3">
      <c r="A7273" s="513">
        <f>MAX(A7088:A7272)+1</f>
        <v>4468</v>
      </c>
      <c r="B7273" s="514" t="s">
        <v>2565</v>
      </c>
      <c r="C7273" s="515" t="s">
        <v>26</v>
      </c>
      <c r="D7273" s="516">
        <v>15.627000000000001</v>
      </c>
      <c r="E7273" s="517"/>
      <c r="F7273" s="518" t="s">
        <v>30</v>
      </c>
      <c r="G7273" s="519"/>
      <c r="H7273" s="518" t="s">
        <v>2616</v>
      </c>
      <c r="I7273" s="520"/>
      <c r="J7273" s="521"/>
      <c r="K7273" s="514"/>
      <c r="L7273" s="518" t="s">
        <v>265</v>
      </c>
      <c r="M7273" s="518">
        <v>15627.560000000001</v>
      </c>
      <c r="N7273" s="522">
        <v>4.1666666666666664E-2</v>
      </c>
      <c r="O7273" s="897" t="s">
        <v>2618</v>
      </c>
    </row>
    <row r="7274" spans="1:18" ht="19.5" thickBot="1" x14ac:dyDescent="0.3">
      <c r="A7274" s="503">
        <f>MAX(A7089:A7273)+1</f>
        <v>4469</v>
      </c>
      <c r="B7274" s="504" t="s">
        <v>2565</v>
      </c>
      <c r="C7274" s="505" t="s">
        <v>26</v>
      </c>
      <c r="D7274" s="506">
        <v>18.628</v>
      </c>
      <c r="E7274" s="507"/>
      <c r="F7274" s="508" t="s">
        <v>16</v>
      </c>
      <c r="G7274" s="509"/>
      <c r="H7274" s="508" t="s">
        <v>2616</v>
      </c>
      <c r="I7274" s="510"/>
      <c r="J7274" s="511"/>
      <c r="K7274" s="504"/>
      <c r="L7274" s="508" t="s">
        <v>265</v>
      </c>
      <c r="M7274" s="508">
        <v>18819.259999999998</v>
      </c>
      <c r="N7274" s="512">
        <v>4.1666666666666664E-2</v>
      </c>
      <c r="O7274" s="897" t="s">
        <v>2623</v>
      </c>
    </row>
    <row r="7275" spans="1:18" ht="169.5" thickBot="1" x14ac:dyDescent="0.3">
      <c r="A7275" s="513">
        <f>MAX(A7090:A7274)+1</f>
        <v>4470</v>
      </c>
      <c r="B7275" s="514" t="s">
        <v>2565</v>
      </c>
      <c r="C7275" s="515" t="s">
        <v>24</v>
      </c>
      <c r="D7275" s="516">
        <v>5.4640000000000004</v>
      </c>
      <c r="E7275" s="517"/>
      <c r="F7275" s="518" t="s">
        <v>16</v>
      </c>
      <c r="G7275" s="519" t="s">
        <v>2620</v>
      </c>
      <c r="H7275" s="518" t="s">
        <v>2616</v>
      </c>
      <c r="I7275" s="520"/>
      <c r="J7275" s="521"/>
      <c r="K7275" s="514"/>
      <c r="L7275" s="518" t="s">
        <v>28</v>
      </c>
      <c r="M7275" s="518">
        <v>5549.28</v>
      </c>
      <c r="N7275" s="522">
        <v>0.41666666666666669</v>
      </c>
      <c r="O7275" s="897" t="s">
        <v>2635</v>
      </c>
      <c r="P7275" s="867">
        <v>6312213</v>
      </c>
    </row>
    <row r="7276" spans="1:18" ht="57" thickBot="1" x14ac:dyDescent="0.3">
      <c r="A7276" s="503">
        <f>MAX(A7091:A7275)+1</f>
        <v>4471</v>
      </c>
      <c r="B7276" s="504" t="s">
        <v>2565</v>
      </c>
      <c r="C7276" s="505" t="s">
        <v>47</v>
      </c>
      <c r="D7276" s="506">
        <v>17.265000000000001</v>
      </c>
      <c r="E7276" s="507"/>
      <c r="F7276" s="508" t="s">
        <v>16</v>
      </c>
      <c r="G7276" s="509" t="s">
        <v>2621</v>
      </c>
      <c r="H7276" s="508" t="s">
        <v>2616</v>
      </c>
      <c r="I7276" s="510"/>
      <c r="J7276" s="511"/>
      <c r="K7276" s="504"/>
      <c r="L7276" s="508" t="s">
        <v>28</v>
      </c>
      <c r="M7276" s="508">
        <v>17410.560000000001</v>
      </c>
      <c r="N7276" s="512">
        <v>0.45833333333333331</v>
      </c>
      <c r="O7276" s="897" t="s">
        <v>2636</v>
      </c>
      <c r="P7276" s="867">
        <v>6312214</v>
      </c>
    </row>
    <row r="7277" spans="1:18" x14ac:dyDescent="0.25">
      <c r="A7277" s="990">
        <f>MAX(A7092:A7276)+1</f>
        <v>4472</v>
      </c>
      <c r="B7277" s="479" t="s">
        <v>2565</v>
      </c>
      <c r="C7277" s="480" t="s">
        <v>15</v>
      </c>
      <c r="D7277" s="481">
        <v>10.851000000000001</v>
      </c>
      <c r="E7277" s="482"/>
      <c r="F7277" s="483" t="s">
        <v>30</v>
      </c>
      <c r="G7277" s="549"/>
      <c r="H7277" s="483" t="s">
        <v>2616</v>
      </c>
      <c r="I7277" s="484"/>
      <c r="J7277" s="485"/>
      <c r="K7277" s="479"/>
      <c r="L7277" s="483" t="s">
        <v>28</v>
      </c>
      <c r="M7277" s="483">
        <v>10851.199999999999</v>
      </c>
      <c r="N7277" s="486">
        <v>0.41666666666666669</v>
      </c>
      <c r="O7277" s="897" t="s">
        <v>2629</v>
      </c>
    </row>
    <row r="7278" spans="1:18" ht="19.5" thickBot="1" x14ac:dyDescent="0.3">
      <c r="A7278" s="991"/>
      <c r="B7278" s="645" t="s">
        <v>2565</v>
      </c>
      <c r="C7278" s="646" t="s">
        <v>24</v>
      </c>
      <c r="D7278" s="647">
        <v>3.746</v>
      </c>
      <c r="E7278" s="648"/>
      <c r="F7278" s="649" t="s">
        <v>30</v>
      </c>
      <c r="G7278" s="650"/>
      <c r="H7278" s="649" t="s">
        <v>2616</v>
      </c>
      <c r="I7278" s="651"/>
      <c r="J7278" s="652"/>
      <c r="K7278" s="645"/>
      <c r="L7278" s="649" t="s">
        <v>28</v>
      </c>
      <c r="M7278" s="649">
        <v>3746.52</v>
      </c>
      <c r="N7278" s="653">
        <v>0.41666666666666669</v>
      </c>
      <c r="O7278" s="897" t="s">
        <v>2628</v>
      </c>
      <c r="P7278" s="867">
        <v>6312119</v>
      </c>
    </row>
    <row r="7279" spans="1:18" x14ac:dyDescent="0.25">
      <c r="A7279" s="988">
        <f>MAX(A7094:A7278)+1</f>
        <v>4473</v>
      </c>
      <c r="B7279" s="531" t="s">
        <v>2614</v>
      </c>
      <c r="C7279" s="532" t="s">
        <v>2665</v>
      </c>
      <c r="D7279" s="533">
        <v>4.085</v>
      </c>
      <c r="E7279" s="534"/>
      <c r="F7279" s="535" t="s">
        <v>16</v>
      </c>
      <c r="G7279" s="536" t="s">
        <v>844</v>
      </c>
      <c r="H7279" s="535" t="s">
        <v>2666</v>
      </c>
      <c r="I7279" s="537"/>
      <c r="J7279" s="538"/>
      <c r="K7279" s="531"/>
      <c r="L7279" s="535" t="s">
        <v>266</v>
      </c>
      <c r="M7279" s="535">
        <v>4197.7699999999995</v>
      </c>
      <c r="N7279" s="539">
        <v>0.41666666666666669</v>
      </c>
      <c r="O7279" s="897" t="s">
        <v>2667</v>
      </c>
    </row>
    <row r="7280" spans="1:18" ht="19.5" thickBot="1" x14ac:dyDescent="0.3">
      <c r="A7280" s="989"/>
      <c r="B7280" s="636" t="s">
        <v>2614</v>
      </c>
      <c r="C7280" s="637" t="s">
        <v>2665</v>
      </c>
      <c r="D7280" s="638">
        <v>2.1040000000000001</v>
      </c>
      <c r="E7280" s="639"/>
      <c r="F7280" s="640" t="s">
        <v>16</v>
      </c>
      <c r="G7280" s="641" t="s">
        <v>845</v>
      </c>
      <c r="H7280" s="640" t="s">
        <v>2666</v>
      </c>
      <c r="I7280" s="642"/>
      <c r="J7280" s="643"/>
      <c r="K7280" s="636"/>
      <c r="L7280" s="640" t="s">
        <v>266</v>
      </c>
      <c r="M7280" s="640">
        <v>2167.4700000000003</v>
      </c>
      <c r="N7280" s="644">
        <v>0.41666666666666669</v>
      </c>
      <c r="O7280" s="897" t="s">
        <v>2668</v>
      </c>
    </row>
    <row r="7281" spans="1:15" ht="19.5" thickBot="1" x14ac:dyDescent="0.3">
      <c r="A7281" s="513">
        <f>MAX(A7096:A7280)+1</f>
        <v>4474</v>
      </c>
      <c r="B7281" s="514" t="s">
        <v>2614</v>
      </c>
      <c r="C7281" s="515" t="s">
        <v>32</v>
      </c>
      <c r="D7281" s="516">
        <v>17.600000000000001</v>
      </c>
      <c r="E7281" s="517"/>
      <c r="F7281" s="518" t="s">
        <v>16</v>
      </c>
      <c r="G7281" s="519" t="s">
        <v>2299</v>
      </c>
      <c r="H7281" s="518" t="s">
        <v>2666</v>
      </c>
      <c r="I7281" s="520"/>
      <c r="J7281" s="521"/>
      <c r="K7281" s="514"/>
      <c r="L7281" s="518" t="s">
        <v>266</v>
      </c>
      <c r="M7281" s="518">
        <v>17604.599999999999</v>
      </c>
      <c r="N7281" s="522">
        <v>0.45833333333333331</v>
      </c>
      <c r="O7281" s="897" t="s">
        <v>2670</v>
      </c>
    </row>
    <row r="7282" spans="1:15" x14ac:dyDescent="0.25">
      <c r="A7282" s="676">
        <f>MAX(A7097:A7281)+1</f>
        <v>4475</v>
      </c>
      <c r="B7282" s="676"/>
      <c r="C7282" s="473"/>
      <c r="D7282" s="474"/>
      <c r="E7282" s="475"/>
      <c r="F7282" s="676"/>
      <c r="G7282" s="476"/>
      <c r="H7282" s="676"/>
      <c r="I7282" s="477"/>
      <c r="J7282" s="478"/>
      <c r="K7282" s="676"/>
      <c r="L7282" s="676"/>
      <c r="M7282" s="676"/>
      <c r="N7282" s="676"/>
    </row>
    <row r="7283" spans="1:15" x14ac:dyDescent="0.25">
      <c r="A7283" s="676">
        <f>MAX(A7098:A7282)+1</f>
        <v>4476</v>
      </c>
      <c r="B7283" s="676"/>
      <c r="C7283" s="473"/>
      <c r="D7283" s="474"/>
      <c r="E7283" s="475"/>
      <c r="F7283" s="676"/>
      <c r="G7283" s="476"/>
      <c r="H7283" s="676"/>
      <c r="I7283" s="477"/>
      <c r="J7283" s="478"/>
      <c r="K7283" s="676"/>
      <c r="L7283" s="676"/>
      <c r="M7283" s="676"/>
      <c r="N7283" s="676"/>
    </row>
    <row r="7284" spans="1:15" x14ac:dyDescent="0.25">
      <c r="A7284" s="676">
        <f>MAX(A7099:A7283)+1</f>
        <v>4477</v>
      </c>
      <c r="B7284" s="676"/>
      <c r="C7284" s="473"/>
      <c r="D7284" s="474"/>
      <c r="E7284" s="475"/>
      <c r="F7284" s="676"/>
      <c r="G7284" s="476"/>
      <c r="H7284" s="676"/>
      <c r="I7284" s="477"/>
      <c r="J7284" s="478"/>
      <c r="K7284" s="676"/>
      <c r="L7284" s="676"/>
      <c r="M7284" s="676"/>
      <c r="N7284" s="676"/>
    </row>
    <row r="7285" spans="1:15" x14ac:dyDescent="0.25">
      <c r="A7285" s="676">
        <f>MAX(A7100:A7284)+1</f>
        <v>4478</v>
      </c>
      <c r="B7285" s="676"/>
      <c r="C7285" s="473"/>
      <c r="D7285" s="474"/>
      <c r="E7285" s="475"/>
      <c r="F7285" s="676"/>
      <c r="G7285" s="476"/>
      <c r="H7285" s="676"/>
      <c r="I7285" s="477"/>
      <c r="J7285" s="478"/>
      <c r="K7285" s="676"/>
      <c r="L7285" s="676"/>
      <c r="M7285" s="676"/>
      <c r="N7285" s="676"/>
    </row>
    <row r="7286" spans="1:15" x14ac:dyDescent="0.25">
      <c r="A7286" s="676">
        <f>MAX(A7101:A7285)+1</f>
        <v>4479</v>
      </c>
      <c r="B7286" s="676"/>
      <c r="C7286" s="473"/>
      <c r="D7286" s="474"/>
      <c r="E7286" s="475"/>
      <c r="F7286" s="676"/>
      <c r="G7286" s="476"/>
      <c r="H7286" s="676"/>
      <c r="I7286" s="477"/>
      <c r="J7286" s="478"/>
      <c r="K7286" s="676"/>
      <c r="L7286" s="676"/>
      <c r="M7286" s="676"/>
      <c r="N7286" s="676"/>
    </row>
    <row r="7287" spans="1:15" x14ac:dyDescent="0.25">
      <c r="A7287" s="676">
        <f>MAX(A7102:A7286)+1</f>
        <v>4480</v>
      </c>
      <c r="B7287" s="676"/>
      <c r="C7287" s="473"/>
      <c r="D7287" s="474"/>
      <c r="E7287" s="475"/>
      <c r="F7287" s="676"/>
      <c r="G7287" s="476"/>
      <c r="H7287" s="676"/>
      <c r="I7287" s="477"/>
      <c r="J7287" s="478"/>
      <c r="K7287" s="676"/>
      <c r="L7287" s="676"/>
      <c r="M7287" s="676"/>
      <c r="N7287" s="676"/>
    </row>
    <row r="7288" spans="1:15" x14ac:dyDescent="0.25">
      <c r="A7288" s="676">
        <f>MAX(A7103:A7287)+1</f>
        <v>4481</v>
      </c>
      <c r="B7288" s="676"/>
      <c r="C7288" s="473"/>
      <c r="D7288" s="474"/>
      <c r="E7288" s="475"/>
      <c r="F7288" s="676"/>
      <c r="G7288" s="476"/>
      <c r="H7288" s="676"/>
      <c r="I7288" s="477"/>
      <c r="J7288" s="478"/>
      <c r="K7288" s="676"/>
      <c r="L7288" s="676"/>
      <c r="M7288" s="676"/>
      <c r="N7288" s="676"/>
    </row>
    <row r="7289" spans="1:15" x14ac:dyDescent="0.25">
      <c r="A7289" s="676">
        <f>MAX(A7104:A7288)+1</f>
        <v>4482</v>
      </c>
      <c r="B7289" s="676"/>
      <c r="C7289" s="473"/>
      <c r="D7289" s="474"/>
      <c r="E7289" s="475"/>
      <c r="F7289" s="676"/>
      <c r="G7289" s="476"/>
      <c r="H7289" s="676"/>
      <c r="I7289" s="477"/>
      <c r="J7289" s="478"/>
      <c r="K7289" s="676"/>
      <c r="L7289" s="676"/>
      <c r="M7289" s="676"/>
      <c r="N7289" s="676"/>
    </row>
    <row r="7290" spans="1:15" x14ac:dyDescent="0.25">
      <c r="A7290" s="676">
        <f>MAX(A7105:A7289)+1</f>
        <v>4483</v>
      </c>
      <c r="B7290" s="676"/>
      <c r="C7290" s="473"/>
      <c r="D7290" s="474"/>
      <c r="E7290" s="475"/>
      <c r="F7290" s="676"/>
      <c r="G7290" s="476"/>
      <c r="H7290" s="676"/>
      <c r="I7290" s="477"/>
      <c r="J7290" s="478"/>
      <c r="K7290" s="676"/>
      <c r="L7290" s="676"/>
      <c r="M7290" s="676"/>
      <c r="N7290" s="676"/>
    </row>
    <row r="7291" spans="1:15" x14ac:dyDescent="0.25">
      <c r="A7291" s="676">
        <f>MAX(A7106:A7290)+1</f>
        <v>4484</v>
      </c>
      <c r="B7291" s="676"/>
      <c r="C7291" s="473"/>
      <c r="D7291" s="474"/>
      <c r="E7291" s="475"/>
      <c r="F7291" s="676"/>
      <c r="G7291" s="476"/>
      <c r="H7291" s="676"/>
      <c r="I7291" s="477"/>
      <c r="J7291" s="478"/>
      <c r="K7291" s="676"/>
      <c r="L7291" s="676"/>
      <c r="M7291" s="676"/>
      <c r="N7291" s="676"/>
    </row>
    <row r="7292" spans="1:15" x14ac:dyDescent="0.25">
      <c r="A7292" s="676">
        <f>MAX(A7107:A7291)+1</f>
        <v>4485</v>
      </c>
      <c r="B7292" s="676"/>
      <c r="C7292" s="473"/>
      <c r="D7292" s="474"/>
      <c r="E7292" s="475"/>
      <c r="F7292" s="676"/>
      <c r="G7292" s="476"/>
      <c r="H7292" s="676"/>
      <c r="I7292" s="477"/>
      <c r="J7292" s="478"/>
      <c r="K7292" s="676"/>
      <c r="L7292" s="676"/>
      <c r="M7292" s="676"/>
      <c r="N7292" s="676"/>
    </row>
    <row r="7293" spans="1:15" x14ac:dyDescent="0.25">
      <c r="A7293" s="676">
        <f>MAX(A7108:A7292)+1</f>
        <v>4486</v>
      </c>
      <c r="B7293" s="676"/>
      <c r="C7293" s="473"/>
      <c r="D7293" s="474"/>
      <c r="E7293" s="475"/>
      <c r="F7293" s="676"/>
      <c r="G7293" s="476"/>
      <c r="H7293" s="676"/>
      <c r="I7293" s="477"/>
      <c r="J7293" s="478"/>
      <c r="K7293" s="676"/>
      <c r="L7293" s="676"/>
      <c r="M7293" s="676"/>
      <c r="N7293" s="676"/>
    </row>
  </sheetData>
  <autoFilter ref="A2:R7293" xr:uid="{9E4C531E-AD50-422A-AC7C-8C5AF4C19268}">
    <filterColumn colId="10">
      <filters blank="1"/>
    </filterColumn>
  </autoFilter>
  <mergeCells count="1930"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A7279:A7280"/>
    <mergeCell ref="A7264:A7266"/>
    <mergeCell ref="A7271:A7272"/>
    <mergeCell ref="A7277:A7278"/>
    <mergeCell ref="A7230:A7231"/>
    <mergeCell ref="A7232:A7234"/>
    <mergeCell ref="A7235:A7236"/>
    <mergeCell ref="A7237:A7241"/>
    <mergeCell ref="A7244:A7246"/>
    <mergeCell ref="A7247:A7250"/>
    <mergeCell ref="A7251:A7254"/>
    <mergeCell ref="A7218:A7219"/>
    <mergeCell ref="A7204:A7205"/>
    <mergeCell ref="G7204:G7205"/>
    <mergeCell ref="A7206:A7207"/>
    <mergeCell ref="G7206:G7207"/>
    <mergeCell ref="A7199:A7200"/>
    <mergeCell ref="A7201:A7203"/>
    <mergeCell ref="A7260:A7263"/>
    <mergeCell ref="A7216:A7217"/>
    <mergeCell ref="A7225:A7226"/>
    <mergeCell ref="A7223:A7224"/>
    <mergeCell ref="A7227:A7228"/>
    <mergeCell ref="A7255:A7256"/>
    <mergeCell ref="A7221:A7222"/>
    <mergeCell ref="A7242:A7243"/>
    <mergeCell ref="A7258:A7259"/>
    <mergeCell ref="A7269:A7270"/>
    <mergeCell ref="A7267:A726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2026-09-14T16:06:13Z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